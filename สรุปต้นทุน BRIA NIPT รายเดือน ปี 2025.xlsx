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photchanathorn/Desktop/"/>
    </mc:Choice>
  </mc:AlternateContent>
  <xr:revisionPtr revIDLastSave="0" documentId="13_ncr:1_{8F0E5AEE-CAAD-F347-B5FB-7B2C9A9E76E1}" xr6:coauthVersionLast="47" xr6:coauthVersionMax="47" xr10:uidLastSave="{00000000-0000-0000-0000-000000000000}"/>
  <bookViews>
    <workbookView xWindow="28800" yWindow="500" windowWidth="51200" windowHeight="28300" xr2:uid="{960F3FC6-47FB-EE41-9D45-42E7DC52D49E}"/>
  </bookViews>
  <sheets>
    <sheet name="สรุป" sheetId="1" r:id="rId1"/>
    <sheet name="May2025" sheetId="2" r:id="rId2"/>
    <sheet name="June2025" sheetId="3" r:id="rId3"/>
    <sheet name="July2025" sheetId="4" r:id="rId4"/>
    <sheet name="Aug2025" sheetId="5" r:id="rId5"/>
    <sheet name="Sep2025" sheetId="6" r:id="rId6"/>
    <sheet name="Oct2025" sheetId="7" r:id="rId7"/>
    <sheet name="Nov2025" sheetId="8" r:id="rId8"/>
  </sheets>
  <definedNames>
    <definedName name="_xlnm._FilterDatabase" localSheetId="4" hidden="1">'Aug2025'!$P$1:$P$334</definedName>
    <definedName name="_xlnm._FilterDatabase" localSheetId="5" hidden="1">'Sep2025'!$A$1:$S$458</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6" i="1" l="1"/>
  <c r="D412" i="8"/>
  <c r="D413" i="8" s="1"/>
  <c r="D411" i="8"/>
  <c r="D410" i="8"/>
  <c r="D409" i="8"/>
  <c r="E409" i="8" s="1"/>
  <c r="D408" i="8"/>
  <c r="E408" i="8" s="1"/>
  <c r="D407" i="8"/>
  <c r="E407" i="8" s="1"/>
  <c r="D406" i="8"/>
  <c r="E406" i="8" s="1"/>
  <c r="D405" i="8"/>
  <c r="S402" i="8"/>
  <c r="S401" i="8"/>
  <c r="S400" i="8"/>
  <c r="P400" i="8"/>
  <c r="S399" i="8"/>
  <c r="P399" i="8"/>
  <c r="S398" i="8"/>
  <c r="P398" i="8"/>
  <c r="S397" i="8"/>
  <c r="P397" i="8"/>
  <c r="S396" i="8"/>
  <c r="P396" i="8"/>
  <c r="S395" i="8"/>
  <c r="P395" i="8"/>
  <c r="S394" i="8"/>
  <c r="P394" i="8"/>
  <c r="S393" i="8"/>
  <c r="P393" i="8"/>
  <c r="S392" i="8"/>
  <c r="P392" i="8"/>
  <c r="S391" i="8"/>
  <c r="P391" i="8"/>
  <c r="S390" i="8"/>
  <c r="P390" i="8"/>
  <c r="S389" i="8"/>
  <c r="P389" i="8"/>
  <c r="S388" i="8"/>
  <c r="P388" i="8"/>
  <c r="S387" i="8"/>
  <c r="P387" i="8"/>
  <c r="S386" i="8"/>
  <c r="P386" i="8"/>
  <c r="S385" i="8"/>
  <c r="P385" i="8"/>
  <c r="S384" i="8"/>
  <c r="P384" i="8"/>
  <c r="S383" i="8"/>
  <c r="P383" i="8"/>
  <c r="S382" i="8"/>
  <c r="P382" i="8"/>
  <c r="S381" i="8"/>
  <c r="P381" i="8"/>
  <c r="S380" i="8"/>
  <c r="P380" i="8"/>
  <c r="S379" i="8"/>
  <c r="P379" i="8"/>
  <c r="S378" i="8"/>
  <c r="P378" i="8"/>
  <c r="S377" i="8"/>
  <c r="P377" i="8"/>
  <c r="S376" i="8"/>
  <c r="P376" i="8"/>
  <c r="S375" i="8"/>
  <c r="P375" i="8"/>
  <c r="S374" i="8"/>
  <c r="P374" i="8"/>
  <c r="S373" i="8"/>
  <c r="P373" i="8"/>
  <c r="S372" i="8"/>
  <c r="P372" i="8"/>
  <c r="S371" i="8"/>
  <c r="S370" i="8"/>
  <c r="S369" i="8"/>
  <c r="P369" i="8"/>
  <c r="S368" i="8"/>
  <c r="P368" i="8"/>
  <c r="S367" i="8"/>
  <c r="P367" i="8"/>
  <c r="S366" i="8"/>
  <c r="P366" i="8"/>
  <c r="S365" i="8"/>
  <c r="P365" i="8"/>
  <c r="S364" i="8"/>
  <c r="P364" i="8"/>
  <c r="S363" i="8"/>
  <c r="P363" i="8"/>
  <c r="S362" i="8"/>
  <c r="P362" i="8"/>
  <c r="S361" i="8"/>
  <c r="P361" i="8"/>
  <c r="S360" i="8"/>
  <c r="P360" i="8"/>
  <c r="S359" i="8"/>
  <c r="P359" i="8"/>
  <c r="S358" i="8"/>
  <c r="P358" i="8"/>
  <c r="S357" i="8"/>
  <c r="P357" i="8"/>
  <c r="S356" i="8"/>
  <c r="P356" i="8"/>
  <c r="S355" i="8"/>
  <c r="P355" i="8"/>
  <c r="S354" i="8"/>
  <c r="P354" i="8"/>
  <c r="S353" i="8"/>
  <c r="P353" i="8"/>
  <c r="S352" i="8"/>
  <c r="P352" i="8"/>
  <c r="S351" i="8"/>
  <c r="P351" i="8"/>
  <c r="R350" i="8"/>
  <c r="S350" i="8" s="1"/>
  <c r="P350" i="8"/>
  <c r="S349" i="8"/>
  <c r="R349" i="8"/>
  <c r="P349" i="8"/>
  <c r="R348" i="8"/>
  <c r="S348" i="8" s="1"/>
  <c r="P348" i="8"/>
  <c r="R347" i="8"/>
  <c r="S347" i="8" s="1"/>
  <c r="P347" i="8"/>
  <c r="R346" i="8"/>
  <c r="S346" i="8" s="1"/>
  <c r="P346" i="8"/>
  <c r="S345" i="8"/>
  <c r="R345" i="8"/>
  <c r="P345" i="8"/>
  <c r="R344" i="8"/>
  <c r="S344" i="8" s="1"/>
  <c r="P344" i="8"/>
  <c r="R343" i="8"/>
  <c r="S343" i="8" s="1"/>
  <c r="P343" i="8"/>
  <c r="R342" i="8"/>
  <c r="S342" i="8" s="1"/>
  <c r="P342" i="8"/>
  <c r="S341" i="8"/>
  <c r="R341" i="8"/>
  <c r="P341" i="8"/>
  <c r="S340" i="8"/>
  <c r="S339" i="8"/>
  <c r="S338" i="8"/>
  <c r="P338" i="8"/>
  <c r="S337" i="8"/>
  <c r="P337" i="8"/>
  <c r="S336" i="8"/>
  <c r="P336" i="8"/>
  <c r="S335" i="8"/>
  <c r="P335" i="8"/>
  <c r="S334" i="8"/>
  <c r="P334" i="8"/>
  <c r="S333" i="8"/>
  <c r="P333" i="8"/>
  <c r="S332" i="8"/>
  <c r="P332" i="8"/>
  <c r="S331" i="8"/>
  <c r="P331" i="8"/>
  <c r="S330" i="8"/>
  <c r="P330" i="8"/>
  <c r="S329" i="8"/>
  <c r="P329" i="8"/>
  <c r="S328" i="8"/>
  <c r="P328" i="8"/>
  <c r="S327" i="8"/>
  <c r="P327" i="8"/>
  <c r="S326" i="8"/>
  <c r="P326" i="8"/>
  <c r="S325" i="8"/>
  <c r="P325" i="8"/>
  <c r="S324" i="8"/>
  <c r="P324" i="8"/>
  <c r="S323" i="8"/>
  <c r="P323" i="8"/>
  <c r="S322" i="8"/>
  <c r="P322" i="8"/>
  <c r="S321" i="8"/>
  <c r="P321" i="8"/>
  <c r="S320" i="8"/>
  <c r="P320" i="8"/>
  <c r="S319" i="8"/>
  <c r="P319" i="8"/>
  <c r="S318" i="8"/>
  <c r="P318" i="8"/>
  <c r="S317" i="8"/>
  <c r="P317" i="8"/>
  <c r="S316" i="8"/>
  <c r="P316" i="8"/>
  <c r="S315" i="8"/>
  <c r="P315" i="8"/>
  <c r="S314" i="8"/>
  <c r="P314" i="8"/>
  <c r="S313" i="8"/>
  <c r="P313" i="8"/>
  <c r="S312" i="8"/>
  <c r="P312" i="8"/>
  <c r="S311" i="8"/>
  <c r="P311" i="8"/>
  <c r="S310" i="8"/>
  <c r="P310" i="8"/>
  <c r="S309" i="8"/>
  <c r="P309" i="8"/>
  <c r="S308" i="8"/>
  <c r="P308" i="8"/>
  <c r="S307" i="8"/>
  <c r="P307" i="8"/>
  <c r="S306" i="8"/>
  <c r="S305" i="8"/>
  <c r="S304" i="8"/>
  <c r="P304" i="8"/>
  <c r="S303" i="8"/>
  <c r="P303" i="8"/>
  <c r="S302" i="8"/>
  <c r="P302" i="8"/>
  <c r="S301" i="8"/>
  <c r="P301" i="8"/>
  <c r="S300" i="8"/>
  <c r="P300" i="8"/>
  <c r="S299" i="8"/>
  <c r="P299" i="8"/>
  <c r="S298" i="8"/>
  <c r="P298" i="8"/>
  <c r="S297" i="8"/>
  <c r="P297" i="8"/>
  <c r="S296" i="8"/>
  <c r="P296" i="8"/>
  <c r="S295" i="8"/>
  <c r="P295" i="8"/>
  <c r="S294" i="8"/>
  <c r="P294" i="8"/>
  <c r="S293" i="8"/>
  <c r="P293" i="8"/>
  <c r="S292" i="8"/>
  <c r="P292" i="8"/>
  <c r="S291" i="8"/>
  <c r="P291" i="8"/>
  <c r="S290" i="8"/>
  <c r="P290" i="8"/>
  <c r="S289" i="8"/>
  <c r="P289" i="8"/>
  <c r="S288" i="8"/>
  <c r="P288" i="8"/>
  <c r="S287" i="8"/>
  <c r="P287" i="8"/>
  <c r="S286" i="8"/>
  <c r="P286" i="8"/>
  <c r="S285" i="8"/>
  <c r="P285" i="8"/>
  <c r="S284" i="8"/>
  <c r="P284" i="8"/>
  <c r="S283" i="8"/>
  <c r="P283" i="8"/>
  <c r="S282" i="8"/>
  <c r="P282" i="8"/>
  <c r="S281" i="8"/>
  <c r="P281" i="8"/>
  <c r="S280" i="8"/>
  <c r="P280" i="8"/>
  <c r="S279" i="8"/>
  <c r="P279" i="8"/>
  <c r="S278" i="8"/>
  <c r="P278" i="8"/>
  <c r="S277" i="8"/>
  <c r="P277" i="8"/>
  <c r="S276" i="8"/>
  <c r="P276" i="8"/>
  <c r="S275" i="8"/>
  <c r="P275" i="8"/>
  <c r="S274" i="8"/>
  <c r="S273" i="8"/>
  <c r="S272" i="8"/>
  <c r="P272" i="8"/>
  <c r="S271" i="8"/>
  <c r="P271" i="8"/>
  <c r="S270" i="8"/>
  <c r="P270" i="8"/>
  <c r="S269" i="8"/>
  <c r="P269" i="8"/>
  <c r="S268" i="8"/>
  <c r="P268" i="8"/>
  <c r="S267" i="8"/>
  <c r="P267" i="8"/>
  <c r="S266" i="8"/>
  <c r="P266" i="8"/>
  <c r="S265" i="8"/>
  <c r="P265" i="8"/>
  <c r="S264" i="8"/>
  <c r="P264" i="8"/>
  <c r="S263" i="8"/>
  <c r="P263" i="8"/>
  <c r="S262" i="8"/>
  <c r="P262" i="8"/>
  <c r="S261" i="8"/>
  <c r="P261" i="8"/>
  <c r="S260" i="8"/>
  <c r="P260" i="8"/>
  <c r="S259" i="8"/>
  <c r="P259" i="8"/>
  <c r="S258" i="8"/>
  <c r="P258" i="8"/>
  <c r="S257" i="8"/>
  <c r="P257" i="8"/>
  <c r="S256" i="8"/>
  <c r="P256" i="8"/>
  <c r="S255" i="8"/>
  <c r="P255" i="8"/>
  <c r="S254" i="8"/>
  <c r="P254" i="8"/>
  <c r="S253" i="8"/>
  <c r="P253" i="8"/>
  <c r="S252" i="8"/>
  <c r="P252" i="8"/>
  <c r="S251" i="8"/>
  <c r="P251" i="8"/>
  <c r="S250" i="8"/>
  <c r="P250" i="8"/>
  <c r="S249" i="8"/>
  <c r="P249" i="8"/>
  <c r="S248" i="8"/>
  <c r="P248" i="8"/>
  <c r="S247" i="8"/>
  <c r="P247" i="8"/>
  <c r="S246" i="8"/>
  <c r="P246" i="8"/>
  <c r="S245" i="8"/>
  <c r="S244" i="8"/>
  <c r="S243" i="8"/>
  <c r="P243" i="8"/>
  <c r="S242" i="8"/>
  <c r="P242" i="8"/>
  <c r="S241" i="8"/>
  <c r="P241" i="8"/>
  <c r="S240" i="8"/>
  <c r="P240" i="8"/>
  <c r="S239" i="8"/>
  <c r="P239" i="8"/>
  <c r="S238" i="8"/>
  <c r="P238" i="8"/>
  <c r="S237" i="8"/>
  <c r="P237" i="8"/>
  <c r="S236" i="8"/>
  <c r="P236" i="8"/>
  <c r="S235" i="8"/>
  <c r="P235" i="8"/>
  <c r="S234" i="8"/>
  <c r="P234" i="8"/>
  <c r="S233" i="8"/>
  <c r="P233" i="8"/>
  <c r="S232" i="8"/>
  <c r="P232" i="8"/>
  <c r="S231" i="8"/>
  <c r="P231" i="8"/>
  <c r="S230" i="8"/>
  <c r="P230" i="8"/>
  <c r="S229" i="8"/>
  <c r="P229" i="8"/>
  <c r="S228" i="8"/>
  <c r="P228" i="8"/>
  <c r="S227" i="8"/>
  <c r="P227" i="8"/>
  <c r="S226" i="8"/>
  <c r="P226" i="8"/>
  <c r="S225" i="8"/>
  <c r="P225" i="8"/>
  <c r="S224" i="8"/>
  <c r="P224" i="8"/>
  <c r="S223" i="8"/>
  <c r="P223" i="8"/>
  <c r="S222" i="8"/>
  <c r="P222" i="8"/>
  <c r="S221" i="8"/>
  <c r="S220" i="8"/>
  <c r="S219" i="8"/>
  <c r="P219" i="8"/>
  <c r="S218" i="8"/>
  <c r="P218" i="8"/>
  <c r="S217" i="8"/>
  <c r="P217" i="8"/>
  <c r="S216" i="8"/>
  <c r="P216" i="8"/>
  <c r="S215" i="8"/>
  <c r="P215" i="8"/>
  <c r="S214" i="8"/>
  <c r="P214" i="8"/>
  <c r="S213" i="8"/>
  <c r="P213" i="8"/>
  <c r="S212" i="8"/>
  <c r="P212" i="8"/>
  <c r="S211" i="8"/>
  <c r="P211" i="8"/>
  <c r="S210" i="8"/>
  <c r="P210" i="8"/>
  <c r="S209" i="8"/>
  <c r="P209" i="8"/>
  <c r="S208" i="8"/>
  <c r="P208" i="8"/>
  <c r="S207" i="8"/>
  <c r="P207" i="8"/>
  <c r="S206" i="8"/>
  <c r="P206" i="8"/>
  <c r="S205" i="8"/>
  <c r="P205" i="8"/>
  <c r="S204" i="8"/>
  <c r="P204" i="8"/>
  <c r="S203" i="8"/>
  <c r="P203" i="8"/>
  <c r="S202" i="8"/>
  <c r="P202" i="8"/>
  <c r="S201" i="8"/>
  <c r="P201" i="8"/>
  <c r="S200" i="8"/>
  <c r="P200" i="8"/>
  <c r="S199" i="8"/>
  <c r="P199" i="8"/>
  <c r="S198" i="8"/>
  <c r="P198" i="8"/>
  <c r="S197" i="8"/>
  <c r="P197" i="8"/>
  <c r="S196" i="8"/>
  <c r="P196" i="8"/>
  <c r="S195" i="8"/>
  <c r="P195" i="8"/>
  <c r="S194" i="8"/>
  <c r="P194" i="8"/>
  <c r="S193" i="8"/>
  <c r="P193" i="8"/>
  <c r="S192" i="8"/>
  <c r="P192" i="8"/>
  <c r="S191" i="8"/>
  <c r="P191" i="8"/>
  <c r="S190" i="8"/>
  <c r="S189" i="8"/>
  <c r="S188" i="8"/>
  <c r="P188" i="8"/>
  <c r="S187" i="8"/>
  <c r="P187" i="8"/>
  <c r="S186" i="8"/>
  <c r="P186" i="8"/>
  <c r="S185" i="8"/>
  <c r="P185" i="8"/>
  <c r="S184" i="8"/>
  <c r="P184" i="8"/>
  <c r="S183" i="8"/>
  <c r="P183" i="8"/>
  <c r="S182" i="8"/>
  <c r="P182" i="8"/>
  <c r="S181" i="8"/>
  <c r="P181" i="8"/>
  <c r="S180" i="8"/>
  <c r="P180" i="8"/>
  <c r="S179" i="8"/>
  <c r="P179" i="8"/>
  <c r="S178" i="8"/>
  <c r="P178" i="8"/>
  <c r="S177" i="8"/>
  <c r="P177" i="8"/>
  <c r="S176" i="8"/>
  <c r="P176" i="8"/>
  <c r="S175" i="8"/>
  <c r="P175" i="8"/>
  <c r="S174" i="8"/>
  <c r="P174" i="8"/>
  <c r="S173" i="8"/>
  <c r="P173" i="8"/>
  <c r="S172" i="8"/>
  <c r="P172" i="8"/>
  <c r="S171" i="8"/>
  <c r="P171" i="8"/>
  <c r="S170" i="8"/>
  <c r="P170" i="8"/>
  <c r="S169" i="8"/>
  <c r="P169" i="8"/>
  <c r="S168" i="8"/>
  <c r="P168" i="8"/>
  <c r="S167" i="8"/>
  <c r="P167" i="8"/>
  <c r="S166" i="8"/>
  <c r="P166" i="8"/>
  <c r="S165" i="8"/>
  <c r="P165" i="8"/>
  <c r="S164" i="8"/>
  <c r="P164" i="8"/>
  <c r="S163" i="8"/>
  <c r="P163" i="8"/>
  <c r="S162" i="8"/>
  <c r="P162" i="8"/>
  <c r="S161" i="8"/>
  <c r="S160" i="8"/>
  <c r="S159" i="8"/>
  <c r="P159" i="8"/>
  <c r="S158" i="8"/>
  <c r="P158" i="8"/>
  <c r="S157" i="8"/>
  <c r="P157" i="8"/>
  <c r="S156" i="8"/>
  <c r="P156" i="8"/>
  <c r="S155" i="8"/>
  <c r="P155" i="8"/>
  <c r="S154" i="8"/>
  <c r="P154" i="8"/>
  <c r="S153" i="8"/>
  <c r="P153" i="8"/>
  <c r="S152" i="8"/>
  <c r="P152" i="8"/>
  <c r="S151" i="8"/>
  <c r="P151" i="8"/>
  <c r="S150" i="8"/>
  <c r="P150" i="8"/>
  <c r="S149" i="8"/>
  <c r="P149" i="8"/>
  <c r="S148" i="8"/>
  <c r="P148" i="8"/>
  <c r="S147" i="8"/>
  <c r="P147" i="8"/>
  <c r="S146" i="8"/>
  <c r="P146" i="8"/>
  <c r="S145" i="8"/>
  <c r="P145" i="8"/>
  <c r="S144" i="8"/>
  <c r="P144" i="8"/>
  <c r="S143" i="8"/>
  <c r="P143" i="8"/>
  <c r="S142" i="8"/>
  <c r="P142" i="8"/>
  <c r="S141" i="8"/>
  <c r="P141" i="8"/>
  <c r="S140" i="8"/>
  <c r="P140" i="8"/>
  <c r="S139" i="8"/>
  <c r="P139" i="8"/>
  <c r="S138" i="8"/>
  <c r="P138" i="8"/>
  <c r="S137" i="8"/>
  <c r="P137" i="8"/>
  <c r="S136" i="8"/>
  <c r="P136" i="8"/>
  <c r="S135" i="8"/>
  <c r="P135" i="8"/>
  <c r="S134" i="8"/>
  <c r="P134" i="8"/>
  <c r="S133" i="8"/>
  <c r="P133" i="8"/>
  <c r="S132" i="8"/>
  <c r="P132" i="8"/>
  <c r="S131" i="8"/>
  <c r="P131" i="8"/>
  <c r="S130" i="8"/>
  <c r="P130" i="8"/>
  <c r="S129" i="8"/>
  <c r="S128" i="8"/>
  <c r="S127" i="8"/>
  <c r="P127" i="8"/>
  <c r="S126" i="8"/>
  <c r="P126" i="8"/>
  <c r="S125" i="8"/>
  <c r="P125" i="8"/>
  <c r="S124" i="8"/>
  <c r="P124" i="8"/>
  <c r="S123" i="8"/>
  <c r="P123" i="8"/>
  <c r="S122" i="8"/>
  <c r="P122" i="8"/>
  <c r="S121" i="8"/>
  <c r="P121" i="8"/>
  <c r="S120" i="8"/>
  <c r="P120" i="8"/>
  <c r="S119" i="8"/>
  <c r="P119" i="8"/>
  <c r="S118" i="8"/>
  <c r="P118" i="8"/>
  <c r="S117" i="8"/>
  <c r="P117" i="8"/>
  <c r="S116" i="8"/>
  <c r="P116" i="8"/>
  <c r="S115" i="8"/>
  <c r="P115" i="8"/>
  <c r="S114" i="8"/>
  <c r="P114" i="8"/>
  <c r="S113" i="8"/>
  <c r="P113" i="8"/>
  <c r="S112" i="8"/>
  <c r="P112" i="8"/>
  <c r="S111" i="8"/>
  <c r="P111" i="8"/>
  <c r="S110" i="8"/>
  <c r="P110" i="8"/>
  <c r="S109" i="8"/>
  <c r="P109" i="8"/>
  <c r="S108" i="8"/>
  <c r="P108" i="8"/>
  <c r="S107" i="8"/>
  <c r="P107" i="8"/>
  <c r="S106" i="8"/>
  <c r="P106" i="8"/>
  <c r="S105" i="8"/>
  <c r="P105" i="8"/>
  <c r="S104" i="8"/>
  <c r="P104" i="8"/>
  <c r="S103" i="8"/>
  <c r="P103" i="8"/>
  <c r="S102" i="8"/>
  <c r="P102" i="8"/>
  <c r="S101" i="8"/>
  <c r="P101" i="8"/>
  <c r="S100" i="8"/>
  <c r="P100" i="8"/>
  <c r="S99" i="8"/>
  <c r="S98" i="8"/>
  <c r="S97" i="8"/>
  <c r="P97" i="8"/>
  <c r="S96" i="8"/>
  <c r="P96" i="8"/>
  <c r="S95" i="8"/>
  <c r="P95" i="8"/>
  <c r="S94" i="8"/>
  <c r="P94" i="8"/>
  <c r="S93" i="8"/>
  <c r="P93" i="8"/>
  <c r="S92" i="8"/>
  <c r="P92" i="8"/>
  <c r="S91" i="8"/>
  <c r="P91" i="8"/>
  <c r="S90" i="8"/>
  <c r="P90" i="8"/>
  <c r="S89" i="8"/>
  <c r="P89" i="8"/>
  <c r="S88" i="8"/>
  <c r="P88" i="8"/>
  <c r="S87" i="8"/>
  <c r="P87" i="8"/>
  <c r="S86" i="8"/>
  <c r="P86" i="8"/>
  <c r="S85" i="8"/>
  <c r="P85" i="8"/>
  <c r="S84" i="8"/>
  <c r="P84" i="8"/>
  <c r="S83" i="8"/>
  <c r="P83" i="8"/>
  <c r="S82" i="8"/>
  <c r="P82" i="8"/>
  <c r="S81" i="8"/>
  <c r="P81" i="8"/>
  <c r="S80" i="8"/>
  <c r="P80" i="8"/>
  <c r="S79" i="8"/>
  <c r="P79" i="8"/>
  <c r="S78" i="8"/>
  <c r="P78" i="8"/>
  <c r="S77" i="8"/>
  <c r="P77" i="8"/>
  <c r="S76" i="8"/>
  <c r="P76" i="8"/>
  <c r="S75" i="8"/>
  <c r="P75" i="8"/>
  <c r="S74" i="8"/>
  <c r="P74" i="8"/>
  <c r="S73" i="8"/>
  <c r="P73" i="8"/>
  <c r="S72" i="8"/>
  <c r="P72" i="8"/>
  <c r="S71" i="8"/>
  <c r="P71" i="8"/>
  <c r="S70" i="8"/>
  <c r="P70" i="8"/>
  <c r="S69" i="8"/>
  <c r="P69" i="8"/>
  <c r="S68" i="8"/>
  <c r="P68" i="8"/>
  <c r="S67" i="8"/>
  <c r="P67" i="8"/>
  <c r="S66" i="8"/>
  <c r="S65" i="8"/>
  <c r="S64" i="8"/>
  <c r="P64" i="8"/>
  <c r="S63" i="8"/>
  <c r="P63" i="8"/>
  <c r="S62" i="8"/>
  <c r="P62" i="8"/>
  <c r="S61" i="8"/>
  <c r="P61" i="8"/>
  <c r="S60" i="8"/>
  <c r="P60" i="8"/>
  <c r="S59" i="8"/>
  <c r="P59" i="8"/>
  <c r="S58" i="8"/>
  <c r="P58" i="8"/>
  <c r="S57" i="8"/>
  <c r="P57" i="8"/>
  <c r="S56" i="8"/>
  <c r="P56" i="8"/>
  <c r="S55" i="8"/>
  <c r="P55" i="8"/>
  <c r="S54" i="8"/>
  <c r="P54" i="8"/>
  <c r="S53" i="8"/>
  <c r="P53" i="8"/>
  <c r="S52" i="8"/>
  <c r="P52" i="8"/>
  <c r="S51" i="8"/>
  <c r="P51" i="8"/>
  <c r="S50" i="8"/>
  <c r="P50" i="8"/>
  <c r="S49" i="8"/>
  <c r="P49" i="8"/>
  <c r="S48" i="8"/>
  <c r="P48" i="8"/>
  <c r="S47" i="8"/>
  <c r="P47" i="8"/>
  <c r="S46" i="8"/>
  <c r="P46" i="8"/>
  <c r="S45" i="8"/>
  <c r="P45" i="8"/>
  <c r="S44" i="8"/>
  <c r="P44" i="8"/>
  <c r="S43" i="8"/>
  <c r="P43" i="8"/>
  <c r="S42" i="8"/>
  <c r="P42" i="8"/>
  <c r="S41" i="8"/>
  <c r="P41" i="8"/>
  <c r="S40" i="8"/>
  <c r="P40" i="8"/>
  <c r="S39" i="8"/>
  <c r="P39" i="8"/>
  <c r="S38" i="8"/>
  <c r="P38" i="8"/>
  <c r="S37" i="8"/>
  <c r="P37" i="8"/>
  <c r="S36" i="8"/>
  <c r="P36" i="8"/>
  <c r="S35" i="8"/>
  <c r="P35" i="8"/>
  <c r="S34" i="8"/>
  <c r="P34" i="8"/>
  <c r="S33" i="8"/>
  <c r="S32" i="8"/>
  <c r="S31" i="8"/>
  <c r="P31" i="8"/>
  <c r="S30" i="8"/>
  <c r="P30" i="8"/>
  <c r="S29" i="8"/>
  <c r="P29" i="8"/>
  <c r="S28" i="8"/>
  <c r="P28" i="8"/>
  <c r="S27" i="8"/>
  <c r="P27" i="8"/>
  <c r="S26" i="8"/>
  <c r="P26" i="8"/>
  <c r="S25" i="8"/>
  <c r="P25" i="8"/>
  <c r="S24" i="8"/>
  <c r="P24" i="8"/>
  <c r="S23" i="8"/>
  <c r="P23" i="8"/>
  <c r="S22" i="8"/>
  <c r="P22" i="8"/>
  <c r="S21" i="8"/>
  <c r="P21" i="8"/>
  <c r="S20" i="8"/>
  <c r="P20" i="8"/>
  <c r="S19" i="8"/>
  <c r="P19" i="8"/>
  <c r="S18" i="8"/>
  <c r="P18" i="8"/>
  <c r="S17" i="8"/>
  <c r="P17" i="8"/>
  <c r="S16" i="8"/>
  <c r="P16" i="8"/>
  <c r="S15" i="8"/>
  <c r="P15" i="8"/>
  <c r="S14" i="8"/>
  <c r="P14" i="8"/>
  <c r="S13" i="8"/>
  <c r="P13" i="8"/>
  <c r="S12" i="8"/>
  <c r="P12" i="8"/>
  <c r="S11" i="8"/>
  <c r="P11" i="8"/>
  <c r="S10" i="8"/>
  <c r="P10" i="8"/>
  <c r="S9" i="8"/>
  <c r="P9" i="8"/>
  <c r="S8" i="8"/>
  <c r="P8" i="8"/>
  <c r="S7" i="8"/>
  <c r="P7" i="8"/>
  <c r="S6" i="8"/>
  <c r="P6" i="8"/>
  <c r="S5" i="8"/>
  <c r="P5" i="8"/>
  <c r="S4" i="8"/>
  <c r="P4" i="8"/>
  <c r="S3" i="8"/>
  <c r="P3" i="8"/>
  <c r="S2" i="8"/>
  <c r="P2" i="8"/>
  <c r="H26" i="1" l="1"/>
  <c r="D415" i="7"/>
  <c r="D416" i="7" s="1"/>
  <c r="D414" i="7"/>
  <c r="D413" i="7"/>
  <c r="D412" i="7"/>
  <c r="E412" i="7" s="1"/>
  <c r="D411" i="7"/>
  <c r="E411" i="7" s="1"/>
  <c r="D410" i="7"/>
  <c r="E410" i="7" s="1"/>
  <c r="D409" i="7"/>
  <c r="E409" i="7" s="1"/>
  <c r="D408" i="7"/>
  <c r="S405" i="7"/>
  <c r="S404" i="7"/>
  <c r="S403" i="7"/>
  <c r="P403" i="7"/>
  <c r="S402" i="7"/>
  <c r="P402" i="7"/>
  <c r="S401" i="7"/>
  <c r="P401" i="7"/>
  <c r="S400" i="7"/>
  <c r="P400" i="7"/>
  <c r="S399" i="7"/>
  <c r="P399" i="7"/>
  <c r="S398" i="7"/>
  <c r="P398" i="7"/>
  <c r="S397" i="7"/>
  <c r="P397" i="7"/>
  <c r="S396" i="7"/>
  <c r="P396" i="7"/>
  <c r="S395" i="7"/>
  <c r="P395" i="7"/>
  <c r="S394" i="7"/>
  <c r="P394" i="7"/>
  <c r="S393" i="7"/>
  <c r="P393" i="7"/>
  <c r="S392" i="7"/>
  <c r="P392" i="7"/>
  <c r="S391" i="7"/>
  <c r="P391" i="7"/>
  <c r="S390" i="7"/>
  <c r="P390" i="7"/>
  <c r="S389" i="7"/>
  <c r="P389" i="7"/>
  <c r="S388" i="7"/>
  <c r="P388" i="7"/>
  <c r="S387" i="7"/>
  <c r="P387" i="7"/>
  <c r="S386" i="7"/>
  <c r="P386" i="7"/>
  <c r="S385" i="7"/>
  <c r="P385" i="7"/>
  <c r="S384" i="7"/>
  <c r="S383" i="7"/>
  <c r="S382" i="7"/>
  <c r="P382" i="7"/>
  <c r="S381" i="7"/>
  <c r="P381" i="7"/>
  <c r="S380" i="7"/>
  <c r="P380" i="7"/>
  <c r="S379" i="7"/>
  <c r="P379" i="7"/>
  <c r="S378" i="7"/>
  <c r="P378" i="7"/>
  <c r="S377" i="7"/>
  <c r="P377" i="7"/>
  <c r="S376" i="7"/>
  <c r="P376" i="7"/>
  <c r="S375" i="7"/>
  <c r="P375" i="7"/>
  <c r="S374" i="7"/>
  <c r="P374" i="7"/>
  <c r="S373" i="7"/>
  <c r="P373" i="7"/>
  <c r="S372" i="7"/>
  <c r="P372" i="7"/>
  <c r="S371" i="7"/>
  <c r="P371" i="7"/>
  <c r="S370" i="7"/>
  <c r="P370" i="7"/>
  <c r="S369" i="7"/>
  <c r="P369" i="7"/>
  <c r="S368" i="7"/>
  <c r="P368" i="7"/>
  <c r="S367" i="7"/>
  <c r="P367" i="7"/>
  <c r="S366" i="7"/>
  <c r="P366" i="7"/>
  <c r="S365" i="7"/>
  <c r="P365" i="7"/>
  <c r="S364" i="7"/>
  <c r="P364" i="7"/>
  <c r="S363" i="7"/>
  <c r="P363" i="7"/>
  <c r="S362" i="7"/>
  <c r="P362" i="7"/>
  <c r="S361" i="7"/>
  <c r="P361" i="7"/>
  <c r="S360" i="7"/>
  <c r="P360" i="7"/>
  <c r="S359" i="7"/>
  <c r="P359" i="7"/>
  <c r="S358" i="7"/>
  <c r="P358" i="7"/>
  <c r="S357" i="7"/>
  <c r="P357" i="7"/>
  <c r="S356" i="7"/>
  <c r="P356" i="7"/>
  <c r="S355" i="7"/>
  <c r="P355" i="7"/>
  <c r="S354" i="7"/>
  <c r="P354" i="7"/>
  <c r="S353" i="7"/>
  <c r="S352" i="7"/>
  <c r="S351" i="7"/>
  <c r="P351" i="7"/>
  <c r="S350" i="7"/>
  <c r="P350" i="7"/>
  <c r="S349" i="7"/>
  <c r="P349" i="7"/>
  <c r="S348" i="7"/>
  <c r="P348" i="7"/>
  <c r="S347" i="7"/>
  <c r="P347" i="7"/>
  <c r="S346" i="7"/>
  <c r="P346" i="7"/>
  <c r="S345" i="7"/>
  <c r="P345" i="7"/>
  <c r="S344" i="7"/>
  <c r="P344" i="7"/>
  <c r="S343" i="7"/>
  <c r="P343" i="7"/>
  <c r="S342" i="7"/>
  <c r="P342" i="7"/>
  <c r="S341" i="7"/>
  <c r="P341" i="7"/>
  <c r="S340" i="7"/>
  <c r="P340" i="7"/>
  <c r="S339" i="7"/>
  <c r="P339" i="7"/>
  <c r="S338" i="7"/>
  <c r="P338" i="7"/>
  <c r="S337" i="7"/>
  <c r="P337" i="7"/>
  <c r="S336" i="7"/>
  <c r="P336" i="7"/>
  <c r="S335" i="7"/>
  <c r="P335" i="7"/>
  <c r="S334" i="7"/>
  <c r="P334" i="7"/>
  <c r="S333" i="7"/>
  <c r="P333" i="7"/>
  <c r="S332" i="7"/>
  <c r="P332" i="7"/>
  <c r="S331" i="7"/>
  <c r="P331" i="7"/>
  <c r="S330" i="7"/>
  <c r="P330" i="7"/>
  <c r="S329" i="7"/>
  <c r="P329" i="7"/>
  <c r="S328" i="7"/>
  <c r="P328" i="7"/>
  <c r="S327" i="7"/>
  <c r="P327" i="7"/>
  <c r="S326" i="7"/>
  <c r="P326" i="7"/>
  <c r="S325" i="7"/>
  <c r="S324" i="7"/>
  <c r="S323" i="7"/>
  <c r="P323" i="7"/>
  <c r="S322" i="7"/>
  <c r="P322" i="7"/>
  <c r="S321" i="7"/>
  <c r="P321" i="7"/>
  <c r="S320" i="7"/>
  <c r="P320" i="7"/>
  <c r="S319" i="7"/>
  <c r="P319" i="7"/>
  <c r="S318" i="7"/>
  <c r="P318" i="7"/>
  <c r="S317" i="7"/>
  <c r="P317" i="7"/>
  <c r="S316" i="7"/>
  <c r="P316" i="7"/>
  <c r="S315" i="7"/>
  <c r="P315" i="7"/>
  <c r="S314" i="7"/>
  <c r="P314" i="7"/>
  <c r="S313" i="7"/>
  <c r="P313" i="7"/>
  <c r="S312" i="7"/>
  <c r="P312" i="7"/>
  <c r="S311" i="7"/>
  <c r="P311" i="7"/>
  <c r="S310" i="7"/>
  <c r="P310" i="7"/>
  <c r="S309" i="7"/>
  <c r="P309" i="7"/>
  <c r="S308" i="7"/>
  <c r="P308" i="7"/>
  <c r="S307" i="7"/>
  <c r="P307" i="7"/>
  <c r="S306" i="7"/>
  <c r="P306" i="7"/>
  <c r="S305" i="7"/>
  <c r="P305" i="7"/>
  <c r="S304" i="7"/>
  <c r="P304" i="7"/>
  <c r="S303" i="7"/>
  <c r="P303" i="7"/>
  <c r="S302" i="7"/>
  <c r="P302" i="7"/>
  <c r="S301" i="7"/>
  <c r="P301" i="7"/>
  <c r="S300" i="7"/>
  <c r="P300" i="7"/>
  <c r="S299" i="7"/>
  <c r="P299" i="7"/>
  <c r="S298" i="7"/>
  <c r="P298" i="7"/>
  <c r="S297" i="7"/>
  <c r="S296" i="7"/>
  <c r="S295" i="7"/>
  <c r="P295" i="7"/>
  <c r="S294" i="7"/>
  <c r="P294" i="7"/>
  <c r="S293" i="7"/>
  <c r="P293" i="7"/>
  <c r="S292" i="7"/>
  <c r="P292" i="7"/>
  <c r="S291" i="7"/>
  <c r="P291" i="7"/>
  <c r="S290" i="7"/>
  <c r="P290" i="7"/>
  <c r="S289" i="7"/>
  <c r="P289" i="7"/>
  <c r="S288" i="7"/>
  <c r="P288" i="7"/>
  <c r="S287" i="7"/>
  <c r="P287" i="7"/>
  <c r="S286" i="7"/>
  <c r="P286" i="7"/>
  <c r="S285" i="7"/>
  <c r="P285" i="7"/>
  <c r="S284" i="7"/>
  <c r="P284" i="7"/>
  <c r="S283" i="7"/>
  <c r="P283" i="7"/>
  <c r="S282" i="7"/>
  <c r="P282" i="7"/>
  <c r="S281" i="7"/>
  <c r="P281" i="7"/>
  <c r="S280" i="7"/>
  <c r="P280" i="7"/>
  <c r="S279" i="7"/>
  <c r="P279" i="7"/>
  <c r="S278" i="7"/>
  <c r="P278" i="7"/>
  <c r="S277" i="7"/>
  <c r="P277" i="7"/>
  <c r="S276" i="7"/>
  <c r="P276" i="7"/>
  <c r="S275" i="7"/>
  <c r="P275" i="7"/>
  <c r="S274" i="7"/>
  <c r="P274" i="7"/>
  <c r="S273" i="7"/>
  <c r="P273" i="7"/>
  <c r="S272" i="7"/>
  <c r="P272" i="7"/>
  <c r="S271" i="7"/>
  <c r="P271" i="7"/>
  <c r="S270" i="7"/>
  <c r="P270" i="7"/>
  <c r="S269" i="7"/>
  <c r="P269" i="7"/>
  <c r="S268" i="7"/>
  <c r="P268" i="7"/>
  <c r="S267" i="7"/>
  <c r="P267" i="7"/>
  <c r="S266" i="7"/>
  <c r="S265" i="7"/>
  <c r="S264" i="7"/>
  <c r="P264" i="7"/>
  <c r="S263" i="7"/>
  <c r="P263" i="7"/>
  <c r="S262" i="7"/>
  <c r="P262" i="7"/>
  <c r="S261" i="7"/>
  <c r="P261" i="7"/>
  <c r="S260" i="7"/>
  <c r="P260" i="7"/>
  <c r="S259" i="7"/>
  <c r="P259" i="7"/>
  <c r="S258" i="7"/>
  <c r="P258" i="7"/>
  <c r="S257" i="7"/>
  <c r="P257" i="7"/>
  <c r="S256" i="7"/>
  <c r="P256" i="7"/>
  <c r="S255" i="7"/>
  <c r="P255" i="7"/>
  <c r="S254" i="7"/>
  <c r="P254" i="7"/>
  <c r="S253" i="7"/>
  <c r="P253" i="7"/>
  <c r="S252" i="7"/>
  <c r="P252" i="7"/>
  <c r="S251" i="7"/>
  <c r="P251" i="7"/>
  <c r="S250" i="7"/>
  <c r="P250" i="7"/>
  <c r="S249" i="7"/>
  <c r="P249" i="7"/>
  <c r="S248" i="7"/>
  <c r="P248" i="7"/>
  <c r="S247" i="7"/>
  <c r="P247" i="7"/>
  <c r="S246" i="7"/>
  <c r="P246" i="7"/>
  <c r="S245" i="7"/>
  <c r="P245" i="7"/>
  <c r="S244" i="7"/>
  <c r="P244" i="7"/>
  <c r="S243" i="7"/>
  <c r="P243" i="7"/>
  <c r="S242" i="7"/>
  <c r="P242" i="7"/>
  <c r="S241" i="7"/>
  <c r="P241" i="7"/>
  <c r="S240" i="7"/>
  <c r="P240" i="7"/>
  <c r="S239" i="7"/>
  <c r="P239" i="7"/>
  <c r="S238" i="7"/>
  <c r="P238" i="7"/>
  <c r="S237" i="7"/>
  <c r="P237" i="7"/>
  <c r="S236" i="7"/>
  <c r="P236" i="7"/>
  <c r="S235" i="7"/>
  <c r="S234" i="7"/>
  <c r="S233" i="7"/>
  <c r="P233" i="7"/>
  <c r="S232" i="7"/>
  <c r="P232" i="7"/>
  <c r="S231" i="7"/>
  <c r="P231" i="7"/>
  <c r="S230" i="7"/>
  <c r="P230" i="7"/>
  <c r="S229" i="7"/>
  <c r="P229" i="7"/>
  <c r="S228" i="7"/>
  <c r="P228" i="7"/>
  <c r="S227" i="7"/>
  <c r="P227" i="7"/>
  <c r="S226" i="7"/>
  <c r="P226" i="7"/>
  <c r="S225" i="7"/>
  <c r="P225" i="7"/>
  <c r="S224" i="7"/>
  <c r="P224" i="7"/>
  <c r="S223" i="7"/>
  <c r="P223" i="7"/>
  <c r="S222" i="7"/>
  <c r="P222" i="7"/>
  <c r="S221" i="7"/>
  <c r="P221" i="7"/>
  <c r="S220" i="7"/>
  <c r="P220" i="7"/>
  <c r="S219" i="7"/>
  <c r="P219" i="7"/>
  <c r="S218" i="7"/>
  <c r="P218" i="7"/>
  <c r="S217" i="7"/>
  <c r="P217" i="7"/>
  <c r="S216" i="7"/>
  <c r="P216" i="7"/>
  <c r="S215" i="7"/>
  <c r="P215" i="7"/>
  <c r="S214" i="7"/>
  <c r="P214" i="7"/>
  <c r="S213" i="7"/>
  <c r="P213" i="7"/>
  <c r="S212" i="7"/>
  <c r="P212" i="7"/>
  <c r="S211" i="7"/>
  <c r="P211" i="7"/>
  <c r="S210" i="7"/>
  <c r="P210" i="7"/>
  <c r="S209" i="7"/>
  <c r="S208" i="7"/>
  <c r="S207" i="7"/>
  <c r="P207" i="7"/>
  <c r="S206" i="7"/>
  <c r="P206" i="7"/>
  <c r="S205" i="7"/>
  <c r="P205" i="7"/>
  <c r="S204" i="7"/>
  <c r="P204" i="7"/>
  <c r="S203" i="7"/>
  <c r="P203" i="7"/>
  <c r="S202" i="7"/>
  <c r="P202" i="7"/>
  <c r="S201" i="7"/>
  <c r="P201" i="7"/>
  <c r="S200" i="7"/>
  <c r="P200" i="7"/>
  <c r="S199" i="7"/>
  <c r="P199" i="7"/>
  <c r="S198" i="7"/>
  <c r="P198" i="7"/>
  <c r="S197" i="7"/>
  <c r="P197" i="7"/>
  <c r="S196" i="7"/>
  <c r="P196" i="7"/>
  <c r="S195" i="7"/>
  <c r="P195" i="7"/>
  <c r="S194" i="7"/>
  <c r="P194" i="7"/>
  <c r="S193" i="7"/>
  <c r="P193" i="7"/>
  <c r="S192" i="7"/>
  <c r="P192" i="7"/>
  <c r="S191" i="7"/>
  <c r="P191" i="7"/>
  <c r="S190" i="7"/>
  <c r="P190" i="7"/>
  <c r="S189" i="7"/>
  <c r="P189" i="7"/>
  <c r="S188" i="7"/>
  <c r="P188" i="7"/>
  <c r="S187" i="7"/>
  <c r="P187" i="7"/>
  <c r="S186" i="7"/>
  <c r="P186" i="7"/>
  <c r="S185" i="7"/>
  <c r="P185" i="7"/>
  <c r="S184" i="7"/>
  <c r="P184" i="7"/>
  <c r="S183" i="7"/>
  <c r="P183" i="7"/>
  <c r="S182" i="7"/>
  <c r="P182" i="7"/>
  <c r="S181" i="7"/>
  <c r="P181" i="7"/>
  <c r="S180" i="7"/>
  <c r="P180" i="7"/>
  <c r="S179" i="7"/>
  <c r="S178" i="7"/>
  <c r="S177" i="7"/>
  <c r="P177" i="7"/>
  <c r="S176" i="7"/>
  <c r="P176" i="7"/>
  <c r="S175" i="7"/>
  <c r="P175" i="7"/>
  <c r="S174" i="7"/>
  <c r="P174" i="7"/>
  <c r="S173" i="7"/>
  <c r="P173" i="7"/>
  <c r="S172" i="7"/>
  <c r="P172" i="7"/>
  <c r="S171" i="7"/>
  <c r="P171" i="7"/>
  <c r="S170" i="7"/>
  <c r="P170" i="7"/>
  <c r="S169" i="7"/>
  <c r="P169" i="7"/>
  <c r="S168" i="7"/>
  <c r="P168" i="7"/>
  <c r="S167" i="7"/>
  <c r="P167" i="7"/>
  <c r="S166" i="7"/>
  <c r="P166" i="7"/>
  <c r="S165" i="7"/>
  <c r="P165" i="7"/>
  <c r="S164" i="7"/>
  <c r="P164" i="7"/>
  <c r="S163" i="7"/>
  <c r="P163" i="7"/>
  <c r="S162" i="7"/>
  <c r="P162" i="7"/>
  <c r="S161" i="7"/>
  <c r="P161" i="7"/>
  <c r="S160" i="7"/>
  <c r="P160" i="7"/>
  <c r="S159" i="7"/>
  <c r="P159" i="7"/>
  <c r="S158" i="7"/>
  <c r="P158" i="7"/>
  <c r="S157" i="7"/>
  <c r="P157" i="7"/>
  <c r="S156" i="7"/>
  <c r="P156" i="7"/>
  <c r="S155" i="7"/>
  <c r="P155" i="7"/>
  <c r="S154" i="7"/>
  <c r="S153" i="7"/>
  <c r="S152" i="7"/>
  <c r="P152" i="7"/>
  <c r="S151" i="7"/>
  <c r="P151" i="7"/>
  <c r="S150" i="7"/>
  <c r="P150" i="7"/>
  <c r="S149" i="7"/>
  <c r="P149" i="7"/>
  <c r="S148" i="7"/>
  <c r="P148" i="7"/>
  <c r="S147" i="7"/>
  <c r="P147" i="7"/>
  <c r="S146" i="7"/>
  <c r="P146" i="7"/>
  <c r="S145" i="7"/>
  <c r="P145" i="7"/>
  <c r="S144" i="7"/>
  <c r="P144" i="7"/>
  <c r="S143" i="7"/>
  <c r="P143" i="7"/>
  <c r="S142" i="7"/>
  <c r="P142" i="7"/>
  <c r="S141" i="7"/>
  <c r="P141" i="7"/>
  <c r="S140" i="7"/>
  <c r="P140" i="7"/>
  <c r="S139" i="7"/>
  <c r="P139" i="7"/>
  <c r="S138" i="7"/>
  <c r="P138" i="7"/>
  <c r="S137" i="7"/>
  <c r="P137" i="7"/>
  <c r="S136" i="7"/>
  <c r="P136" i="7"/>
  <c r="S135" i="7"/>
  <c r="P135" i="7"/>
  <c r="S134" i="7"/>
  <c r="P134" i="7"/>
  <c r="S133" i="7"/>
  <c r="P133" i="7"/>
  <c r="S132" i="7"/>
  <c r="P132" i="7"/>
  <c r="S131" i="7"/>
  <c r="P131" i="7"/>
  <c r="S130" i="7"/>
  <c r="P130" i="7"/>
  <c r="S129" i="7"/>
  <c r="P129" i="7"/>
  <c r="S128" i="7"/>
  <c r="P128" i="7"/>
  <c r="S127" i="7"/>
  <c r="P127" i="7"/>
  <c r="S126" i="7"/>
  <c r="P126" i="7"/>
  <c r="S125" i="7"/>
  <c r="P125" i="7"/>
  <c r="S124" i="7"/>
  <c r="P124" i="7"/>
  <c r="S123" i="7"/>
  <c r="S122" i="7"/>
  <c r="S121" i="7"/>
  <c r="P121" i="7"/>
  <c r="S120" i="7"/>
  <c r="P120" i="7"/>
  <c r="S119" i="7"/>
  <c r="P119" i="7"/>
  <c r="S118" i="7"/>
  <c r="P118" i="7"/>
  <c r="S117" i="7"/>
  <c r="P117" i="7"/>
  <c r="S116" i="7"/>
  <c r="P116" i="7"/>
  <c r="S115" i="7"/>
  <c r="P115" i="7"/>
  <c r="S114" i="7"/>
  <c r="P114" i="7"/>
  <c r="S113" i="7"/>
  <c r="P113" i="7"/>
  <c r="S112" i="7"/>
  <c r="P112" i="7"/>
  <c r="S111" i="7"/>
  <c r="P111" i="7"/>
  <c r="S110" i="7"/>
  <c r="P110" i="7"/>
  <c r="S109" i="7"/>
  <c r="P109" i="7"/>
  <c r="S108" i="7"/>
  <c r="P108" i="7"/>
  <c r="S107" i="7"/>
  <c r="P107" i="7"/>
  <c r="S106" i="7"/>
  <c r="P106" i="7"/>
  <c r="S105" i="7"/>
  <c r="P105" i="7"/>
  <c r="S104" i="7"/>
  <c r="P104" i="7"/>
  <c r="S103" i="7"/>
  <c r="P103" i="7"/>
  <c r="S102" i="7"/>
  <c r="P102" i="7"/>
  <c r="S101" i="7"/>
  <c r="P101" i="7"/>
  <c r="S100" i="7"/>
  <c r="P100" i="7"/>
  <c r="S99" i="7"/>
  <c r="P99" i="7"/>
  <c r="S98" i="7"/>
  <c r="P98" i="7"/>
  <c r="S97" i="7"/>
  <c r="P97" i="7"/>
  <c r="S96" i="7"/>
  <c r="P96" i="7"/>
  <c r="S95" i="7"/>
  <c r="P95" i="7"/>
  <c r="S94" i="7"/>
  <c r="P94" i="7"/>
  <c r="S93" i="7"/>
  <c r="P93" i="7"/>
  <c r="S92" i="7"/>
  <c r="S91" i="7"/>
  <c r="S90" i="7"/>
  <c r="P90" i="7"/>
  <c r="S89" i="7"/>
  <c r="P89" i="7"/>
  <c r="S88" i="7"/>
  <c r="P88" i="7"/>
  <c r="S87" i="7"/>
  <c r="P87" i="7"/>
  <c r="S86" i="7"/>
  <c r="P86" i="7"/>
  <c r="S85" i="7"/>
  <c r="P85" i="7"/>
  <c r="S84" i="7"/>
  <c r="P84" i="7"/>
  <c r="S83" i="7"/>
  <c r="P83" i="7"/>
  <c r="S82" i="7"/>
  <c r="P82" i="7"/>
  <c r="S81" i="7"/>
  <c r="P81" i="7"/>
  <c r="S80" i="7"/>
  <c r="P80" i="7"/>
  <c r="S79" i="7"/>
  <c r="P79" i="7"/>
  <c r="S78" i="7"/>
  <c r="P78" i="7"/>
  <c r="S77" i="7"/>
  <c r="P77" i="7"/>
  <c r="S76" i="7"/>
  <c r="P76" i="7"/>
  <c r="S75" i="7"/>
  <c r="P75" i="7"/>
  <c r="S74" i="7"/>
  <c r="P74" i="7"/>
  <c r="S73" i="7"/>
  <c r="P73" i="7"/>
  <c r="S72" i="7"/>
  <c r="P72" i="7"/>
  <c r="S71" i="7"/>
  <c r="P71" i="7"/>
  <c r="S70" i="7"/>
  <c r="P70" i="7"/>
  <c r="S69" i="7"/>
  <c r="P69" i="7"/>
  <c r="S68" i="7"/>
  <c r="P68" i="7"/>
  <c r="S67" i="7"/>
  <c r="P67" i="7"/>
  <c r="S66" i="7"/>
  <c r="P66" i="7"/>
  <c r="S65" i="7"/>
  <c r="P65" i="7"/>
  <c r="S64" i="7"/>
  <c r="P64" i="7"/>
  <c r="S63" i="7"/>
  <c r="P63" i="7"/>
  <c r="S62" i="7"/>
  <c r="P62" i="7"/>
  <c r="H13" i="1" l="1"/>
  <c r="I13" i="1"/>
  <c r="J13" i="1"/>
  <c r="J15" i="1"/>
  <c r="C15" i="1"/>
  <c r="D15" i="1"/>
  <c r="E15" i="1"/>
  <c r="F15" i="1"/>
  <c r="G15" i="1"/>
  <c r="C13" i="1"/>
  <c r="D13" i="1"/>
  <c r="E13" i="1"/>
  <c r="F13" i="1"/>
  <c r="G13" i="1"/>
  <c r="K12" i="1"/>
  <c r="H7" i="1"/>
  <c r="I7" i="1"/>
  <c r="J7" i="1"/>
  <c r="C7" i="1"/>
  <c r="D7" i="1"/>
  <c r="E7" i="1"/>
  <c r="F7" i="1"/>
  <c r="G7" i="1"/>
  <c r="K6" i="1"/>
  <c r="I15" i="1" l="1"/>
  <c r="H15" i="1"/>
  <c r="K13" i="1"/>
  <c r="S61" i="7" l="1"/>
  <c r="S60" i="7"/>
  <c r="S59" i="7"/>
  <c r="P59" i="7"/>
  <c r="S58" i="7"/>
  <c r="P58" i="7"/>
  <c r="S57" i="7"/>
  <c r="P57" i="7"/>
  <c r="S56" i="7"/>
  <c r="P56" i="7"/>
  <c r="S55" i="7"/>
  <c r="P55" i="7"/>
  <c r="S54" i="7"/>
  <c r="P54" i="7"/>
  <c r="S53" i="7"/>
  <c r="P53" i="7"/>
  <c r="S52" i="7"/>
  <c r="P52" i="7"/>
  <c r="S51" i="7"/>
  <c r="P51" i="7"/>
  <c r="S50" i="7"/>
  <c r="P50" i="7"/>
  <c r="S49" i="7"/>
  <c r="P49" i="7"/>
  <c r="S48" i="7"/>
  <c r="P48" i="7"/>
  <c r="S47" i="7"/>
  <c r="P47" i="7"/>
  <c r="S46" i="7"/>
  <c r="P46" i="7"/>
  <c r="S45" i="7"/>
  <c r="P45" i="7"/>
  <c r="S44" i="7"/>
  <c r="P44" i="7"/>
  <c r="S43" i="7"/>
  <c r="P43" i="7"/>
  <c r="S42" i="7"/>
  <c r="P42" i="7"/>
  <c r="S41" i="7"/>
  <c r="P41" i="7"/>
  <c r="S40" i="7"/>
  <c r="P40" i="7"/>
  <c r="S39" i="7"/>
  <c r="P39" i="7"/>
  <c r="S38" i="7"/>
  <c r="P38" i="7"/>
  <c r="S37" i="7"/>
  <c r="P37" i="7"/>
  <c r="S36" i="7"/>
  <c r="P36" i="7"/>
  <c r="S35" i="7"/>
  <c r="P35" i="7"/>
  <c r="S34" i="7"/>
  <c r="P34" i="7"/>
  <c r="S33" i="7"/>
  <c r="P33" i="7"/>
  <c r="S32" i="7"/>
  <c r="P32" i="7"/>
  <c r="S31" i="7"/>
  <c r="P31" i="7"/>
  <c r="S30" i="7"/>
  <c r="S29" i="7"/>
  <c r="S28" i="7"/>
  <c r="P28" i="7"/>
  <c r="S27" i="7"/>
  <c r="P27" i="7"/>
  <c r="S26" i="7"/>
  <c r="P26" i="7"/>
  <c r="S25" i="7"/>
  <c r="P25" i="7"/>
  <c r="S24" i="7"/>
  <c r="P24" i="7"/>
  <c r="S23" i="7"/>
  <c r="P23" i="7"/>
  <c r="S22" i="7"/>
  <c r="P22" i="7"/>
  <c r="S21" i="7"/>
  <c r="P21" i="7"/>
  <c r="S20" i="7"/>
  <c r="P20" i="7"/>
  <c r="S19" i="7"/>
  <c r="P19" i="7"/>
  <c r="S18" i="7"/>
  <c r="P18" i="7"/>
  <c r="S17" i="7"/>
  <c r="P17" i="7"/>
  <c r="S16" i="7"/>
  <c r="P16" i="7"/>
  <c r="S15" i="7"/>
  <c r="P15" i="7"/>
  <c r="S14" i="7"/>
  <c r="P14" i="7"/>
  <c r="S13" i="7"/>
  <c r="P13" i="7"/>
  <c r="S12" i="7"/>
  <c r="P12" i="7"/>
  <c r="S11" i="7"/>
  <c r="P11" i="7"/>
  <c r="S10" i="7"/>
  <c r="P10" i="7"/>
  <c r="S9" i="7"/>
  <c r="P9" i="7"/>
  <c r="S8" i="7"/>
  <c r="P8" i="7"/>
  <c r="S7" i="7"/>
  <c r="P7" i="7"/>
  <c r="S6" i="7"/>
  <c r="P6" i="7"/>
  <c r="S5" i="7"/>
  <c r="P5" i="7"/>
  <c r="S4" i="7"/>
  <c r="P4" i="7"/>
  <c r="S3" i="7"/>
  <c r="P3" i="7"/>
  <c r="S2" i="7"/>
  <c r="P2" i="7"/>
  <c r="G26" i="1" l="1"/>
  <c r="D457" i="6"/>
  <c r="D456" i="6"/>
  <c r="D455" i="6"/>
  <c r="D454" i="6"/>
  <c r="E454" i="6" s="1"/>
  <c r="D453" i="6"/>
  <c r="E453" i="6" s="1"/>
  <c r="D452" i="6"/>
  <c r="E452" i="6" s="1"/>
  <c r="D451" i="6"/>
  <c r="E451" i="6" s="1"/>
  <c r="S447" i="6"/>
  <c r="S446" i="6"/>
  <c r="S445" i="6"/>
  <c r="P445" i="6"/>
  <c r="S444" i="6"/>
  <c r="P444" i="6"/>
  <c r="S443" i="6"/>
  <c r="P443" i="6"/>
  <c r="S442" i="6"/>
  <c r="P442" i="6"/>
  <c r="S441" i="6"/>
  <c r="P441" i="6"/>
  <c r="S440" i="6"/>
  <c r="P440" i="6"/>
  <c r="S439" i="6"/>
  <c r="P439" i="6"/>
  <c r="S438" i="6"/>
  <c r="P438" i="6"/>
  <c r="S437" i="6"/>
  <c r="P437" i="6"/>
  <c r="S436" i="6"/>
  <c r="P436" i="6"/>
  <c r="S435" i="6"/>
  <c r="P435" i="6"/>
  <c r="S434" i="6"/>
  <c r="P434" i="6"/>
  <c r="S433" i="6"/>
  <c r="P433" i="6"/>
  <c r="S432" i="6"/>
  <c r="P432" i="6"/>
  <c r="S431" i="6"/>
  <c r="P431" i="6"/>
  <c r="S430" i="6"/>
  <c r="P430" i="6"/>
  <c r="S429" i="6"/>
  <c r="P429" i="6"/>
  <c r="S428" i="6"/>
  <c r="P428" i="6"/>
  <c r="S427" i="6"/>
  <c r="P427" i="6"/>
  <c r="S426" i="6"/>
  <c r="P426" i="6"/>
  <c r="S425" i="6"/>
  <c r="P425" i="6"/>
  <c r="S424" i="6"/>
  <c r="P424" i="6"/>
  <c r="S423" i="6"/>
  <c r="P423" i="6"/>
  <c r="S422" i="6"/>
  <c r="P422" i="6"/>
  <c r="S421" i="6"/>
  <c r="P421" i="6"/>
  <c r="S420" i="6"/>
  <c r="P420" i="6"/>
  <c r="S419" i="6"/>
  <c r="P419" i="6"/>
  <c r="S418" i="6"/>
  <c r="P418" i="6"/>
  <c r="S417" i="6"/>
  <c r="P417" i="6"/>
  <c r="S416" i="6"/>
  <c r="P416" i="6"/>
  <c r="S415" i="6"/>
  <c r="P415" i="6"/>
  <c r="S414" i="6"/>
  <c r="S413" i="6"/>
  <c r="S412" i="6"/>
  <c r="P412" i="6"/>
  <c r="S411" i="6"/>
  <c r="P411" i="6"/>
  <c r="S410" i="6"/>
  <c r="P410" i="6"/>
  <c r="S409" i="6"/>
  <c r="P409" i="6"/>
  <c r="S408" i="6"/>
  <c r="P408" i="6"/>
  <c r="S407" i="6"/>
  <c r="P407" i="6"/>
  <c r="S406" i="6"/>
  <c r="P406" i="6"/>
  <c r="S405" i="6"/>
  <c r="P405" i="6"/>
  <c r="S404" i="6"/>
  <c r="P404" i="6"/>
  <c r="S403" i="6"/>
  <c r="P403" i="6"/>
  <c r="S402" i="6"/>
  <c r="P402" i="6"/>
  <c r="S401" i="6"/>
  <c r="P401" i="6"/>
  <c r="S400" i="6"/>
  <c r="P400" i="6"/>
  <c r="S399" i="6"/>
  <c r="P399" i="6"/>
  <c r="S398" i="6"/>
  <c r="P398" i="6"/>
  <c r="S397" i="6"/>
  <c r="P397" i="6"/>
  <c r="S396" i="6"/>
  <c r="P396" i="6"/>
  <c r="S395" i="6"/>
  <c r="P395" i="6"/>
  <c r="S394" i="6"/>
  <c r="P394" i="6"/>
  <c r="S393" i="6"/>
  <c r="P393" i="6"/>
  <c r="S392" i="6"/>
  <c r="P392" i="6"/>
  <c r="S391" i="6"/>
  <c r="P391" i="6"/>
  <c r="S390" i="6"/>
  <c r="P390" i="6"/>
  <c r="S389" i="6"/>
  <c r="P389" i="6"/>
  <c r="S388" i="6"/>
  <c r="P388" i="6"/>
  <c r="S387" i="6"/>
  <c r="P387" i="6"/>
  <c r="S386" i="6"/>
  <c r="P386" i="6"/>
  <c r="S385" i="6"/>
  <c r="S384" i="6"/>
  <c r="S383" i="6"/>
  <c r="P383" i="6"/>
  <c r="S382" i="6"/>
  <c r="P382" i="6"/>
  <c r="S381" i="6"/>
  <c r="P381" i="6"/>
  <c r="S380" i="6"/>
  <c r="P380" i="6"/>
  <c r="S379" i="6"/>
  <c r="P379" i="6"/>
  <c r="S378" i="6"/>
  <c r="P378" i="6"/>
  <c r="S377" i="6"/>
  <c r="P377" i="6"/>
  <c r="S376" i="6"/>
  <c r="P376" i="6"/>
  <c r="S375" i="6"/>
  <c r="P375" i="6"/>
  <c r="S374" i="6"/>
  <c r="P374" i="6"/>
  <c r="S373" i="6"/>
  <c r="P373" i="6"/>
  <c r="S372" i="6"/>
  <c r="P372" i="6"/>
  <c r="S371" i="6"/>
  <c r="P371" i="6"/>
  <c r="S370" i="6"/>
  <c r="P370" i="6"/>
  <c r="S369" i="6"/>
  <c r="P369" i="6"/>
  <c r="S368" i="6"/>
  <c r="P368" i="6"/>
  <c r="S367" i="6"/>
  <c r="P367" i="6"/>
  <c r="S366" i="6"/>
  <c r="P366" i="6"/>
  <c r="S365" i="6"/>
  <c r="P365" i="6"/>
  <c r="S364" i="6"/>
  <c r="P364" i="6"/>
  <c r="S363" i="6"/>
  <c r="P363" i="6"/>
  <c r="S362" i="6"/>
  <c r="P362" i="6"/>
  <c r="S361" i="6"/>
  <c r="P361" i="6"/>
  <c r="S360" i="6"/>
  <c r="P360" i="6"/>
  <c r="S359" i="6"/>
  <c r="P359" i="6"/>
  <c r="S358" i="6"/>
  <c r="P358" i="6"/>
  <c r="S357" i="6"/>
  <c r="P357" i="6"/>
  <c r="S356" i="6"/>
  <c r="P356" i="6"/>
  <c r="S355" i="6"/>
  <c r="P355" i="6"/>
  <c r="S354" i="6"/>
  <c r="S353" i="6"/>
  <c r="S352" i="6"/>
  <c r="P352" i="6"/>
  <c r="S351" i="6"/>
  <c r="P351" i="6"/>
  <c r="S350" i="6"/>
  <c r="P350" i="6"/>
  <c r="S349" i="6"/>
  <c r="P349" i="6"/>
  <c r="S348" i="6"/>
  <c r="P348" i="6"/>
  <c r="S347" i="6"/>
  <c r="P347" i="6"/>
  <c r="S346" i="6"/>
  <c r="P346" i="6"/>
  <c r="S345" i="6"/>
  <c r="P345" i="6"/>
  <c r="S344" i="6"/>
  <c r="P344" i="6"/>
  <c r="S343" i="6"/>
  <c r="P343" i="6"/>
  <c r="S342" i="6"/>
  <c r="P342" i="6"/>
  <c r="S341" i="6"/>
  <c r="P341" i="6"/>
  <c r="S340" i="6"/>
  <c r="P340" i="6"/>
  <c r="S339" i="6"/>
  <c r="P339" i="6"/>
  <c r="S338" i="6"/>
  <c r="P338" i="6"/>
  <c r="S337" i="6"/>
  <c r="P337" i="6"/>
  <c r="S336" i="6"/>
  <c r="P336" i="6"/>
  <c r="S335" i="6"/>
  <c r="P335" i="6"/>
  <c r="S334" i="6"/>
  <c r="P334" i="6"/>
  <c r="S333" i="6"/>
  <c r="P333" i="6"/>
  <c r="S332" i="6"/>
  <c r="P332" i="6"/>
  <c r="S331" i="6"/>
  <c r="P331" i="6"/>
  <c r="S330" i="6"/>
  <c r="P330" i="6"/>
  <c r="S329" i="6"/>
  <c r="P329" i="6"/>
  <c r="S328" i="6"/>
  <c r="P328" i="6"/>
  <c r="S327" i="6"/>
  <c r="P327" i="6"/>
  <c r="S326" i="6"/>
  <c r="P326" i="6"/>
  <c r="S325" i="6"/>
  <c r="P325" i="6"/>
  <c r="S324" i="6"/>
  <c r="P324" i="6"/>
  <c r="S323" i="6"/>
  <c r="P323" i="6"/>
  <c r="S322" i="6"/>
  <c r="S321" i="6"/>
  <c r="S320" i="6"/>
  <c r="P320" i="6"/>
  <c r="S319" i="6"/>
  <c r="P319" i="6"/>
  <c r="S318" i="6"/>
  <c r="P318" i="6"/>
  <c r="S317" i="6"/>
  <c r="P317" i="6"/>
  <c r="S316" i="6"/>
  <c r="P316" i="6"/>
  <c r="S315" i="6"/>
  <c r="P315" i="6"/>
  <c r="S314" i="6"/>
  <c r="P314" i="6"/>
  <c r="S313" i="6"/>
  <c r="P313" i="6"/>
  <c r="S312" i="6"/>
  <c r="P312" i="6"/>
  <c r="S311" i="6"/>
  <c r="P311" i="6"/>
  <c r="S310" i="6"/>
  <c r="P310" i="6"/>
  <c r="S309" i="6"/>
  <c r="P309" i="6"/>
  <c r="S308" i="6"/>
  <c r="P308" i="6"/>
  <c r="S307" i="6"/>
  <c r="P307" i="6"/>
  <c r="S306" i="6"/>
  <c r="P306" i="6"/>
  <c r="S305" i="6"/>
  <c r="P305" i="6"/>
  <c r="S304" i="6"/>
  <c r="P304" i="6"/>
  <c r="S303" i="6"/>
  <c r="P303" i="6"/>
  <c r="S302" i="6"/>
  <c r="P302" i="6"/>
  <c r="S301" i="6"/>
  <c r="P301" i="6"/>
  <c r="S300" i="6"/>
  <c r="P300" i="6"/>
  <c r="S299" i="6"/>
  <c r="P299" i="6"/>
  <c r="S298" i="6"/>
  <c r="P298" i="6"/>
  <c r="S297" i="6"/>
  <c r="P297" i="6"/>
  <c r="S296" i="6"/>
  <c r="P296" i="6"/>
  <c r="S295" i="6"/>
  <c r="P295" i="6"/>
  <c r="S294" i="6"/>
  <c r="P294" i="6"/>
  <c r="S293" i="6"/>
  <c r="S292" i="6"/>
  <c r="S291" i="6"/>
  <c r="P291" i="6"/>
  <c r="S290" i="6"/>
  <c r="P290" i="6"/>
  <c r="S289" i="6"/>
  <c r="P289" i="6"/>
  <c r="S288" i="6"/>
  <c r="P288" i="6"/>
  <c r="S287" i="6"/>
  <c r="P287" i="6"/>
  <c r="S286" i="6"/>
  <c r="P286" i="6"/>
  <c r="S285" i="6"/>
  <c r="P285" i="6"/>
  <c r="S284" i="6"/>
  <c r="P284" i="6"/>
  <c r="S283" i="6"/>
  <c r="P283" i="6"/>
  <c r="S282" i="6"/>
  <c r="P282" i="6"/>
  <c r="S281" i="6"/>
  <c r="P281" i="6"/>
  <c r="S280" i="6"/>
  <c r="P280" i="6"/>
  <c r="S279" i="6"/>
  <c r="P279" i="6"/>
  <c r="S278" i="6"/>
  <c r="P278" i="6"/>
  <c r="S277" i="6"/>
  <c r="P277" i="6"/>
  <c r="S276" i="6"/>
  <c r="P276" i="6"/>
  <c r="S275" i="6"/>
  <c r="P275" i="6"/>
  <c r="S274" i="6"/>
  <c r="P274" i="6"/>
  <c r="S273" i="6"/>
  <c r="P273" i="6"/>
  <c r="S272" i="6"/>
  <c r="P272" i="6"/>
  <c r="S271" i="6"/>
  <c r="P271" i="6"/>
  <c r="S270" i="6"/>
  <c r="P270" i="6"/>
  <c r="S269" i="6"/>
  <c r="S268" i="6"/>
  <c r="S267" i="6"/>
  <c r="P267" i="6"/>
  <c r="S266" i="6"/>
  <c r="P266" i="6"/>
  <c r="S265" i="6"/>
  <c r="P265" i="6"/>
  <c r="S264" i="6"/>
  <c r="P264" i="6"/>
  <c r="S263" i="6"/>
  <c r="P263" i="6"/>
  <c r="S262" i="6"/>
  <c r="P262" i="6"/>
  <c r="S261" i="6"/>
  <c r="P261" i="6"/>
  <c r="S260" i="6"/>
  <c r="P260" i="6"/>
  <c r="S259" i="6"/>
  <c r="P259" i="6"/>
  <c r="S258" i="6"/>
  <c r="P258" i="6"/>
  <c r="S257" i="6"/>
  <c r="P257" i="6"/>
  <c r="S256" i="6"/>
  <c r="P256" i="6"/>
  <c r="S255" i="6"/>
  <c r="P255" i="6"/>
  <c r="S254" i="6"/>
  <c r="P254" i="6"/>
  <c r="S253" i="6"/>
  <c r="P253" i="6"/>
  <c r="S252" i="6"/>
  <c r="P252" i="6"/>
  <c r="S251" i="6"/>
  <c r="P251" i="6"/>
  <c r="S250" i="6"/>
  <c r="P250" i="6"/>
  <c r="S249" i="6"/>
  <c r="P249" i="6"/>
  <c r="S248" i="6"/>
  <c r="P248" i="6"/>
  <c r="S247" i="6"/>
  <c r="P247" i="6"/>
  <c r="S246" i="6"/>
  <c r="P246" i="6"/>
  <c r="S245" i="6"/>
  <c r="S244" i="6"/>
  <c r="S243" i="6"/>
  <c r="P243" i="6"/>
  <c r="S242" i="6"/>
  <c r="P242" i="6"/>
  <c r="S241" i="6"/>
  <c r="P241" i="6"/>
  <c r="S240" i="6"/>
  <c r="P240" i="6"/>
  <c r="S239" i="6"/>
  <c r="P239" i="6"/>
  <c r="S238" i="6"/>
  <c r="P238" i="6"/>
  <c r="S237" i="6"/>
  <c r="P237" i="6"/>
  <c r="S236" i="6"/>
  <c r="P236" i="6"/>
  <c r="S235" i="6"/>
  <c r="P235" i="6"/>
  <c r="S234" i="6"/>
  <c r="P234" i="6"/>
  <c r="S233" i="6"/>
  <c r="P233" i="6"/>
  <c r="S232" i="6"/>
  <c r="P232" i="6"/>
  <c r="S231" i="6"/>
  <c r="P231" i="6"/>
  <c r="S230" i="6"/>
  <c r="P230" i="6"/>
  <c r="S229" i="6"/>
  <c r="P229" i="6"/>
  <c r="S228" i="6"/>
  <c r="P228" i="6"/>
  <c r="S227" i="6"/>
  <c r="P227" i="6"/>
  <c r="S226" i="6"/>
  <c r="P226" i="6"/>
  <c r="S225" i="6"/>
  <c r="P225" i="6"/>
  <c r="S224" i="6"/>
  <c r="P224" i="6"/>
  <c r="S223" i="6"/>
  <c r="P223" i="6"/>
  <c r="S222" i="6"/>
  <c r="P222" i="6"/>
  <c r="S221" i="6"/>
  <c r="P221" i="6"/>
  <c r="S220" i="6"/>
  <c r="P220" i="6"/>
  <c r="S219" i="6"/>
  <c r="P219" i="6"/>
  <c r="S218" i="6"/>
  <c r="P218" i="6"/>
  <c r="S217" i="6"/>
  <c r="P217" i="6"/>
  <c r="S216" i="6"/>
  <c r="P216" i="6"/>
  <c r="S215" i="6"/>
  <c r="S214" i="6"/>
  <c r="S213" i="6"/>
  <c r="P213" i="6"/>
  <c r="S212" i="6"/>
  <c r="P212" i="6"/>
  <c r="S211" i="6"/>
  <c r="P211" i="6"/>
  <c r="S210" i="6"/>
  <c r="P210" i="6"/>
  <c r="S209" i="6"/>
  <c r="P209" i="6"/>
  <c r="S208" i="6"/>
  <c r="P208" i="6"/>
  <c r="S207" i="6"/>
  <c r="P207" i="6"/>
  <c r="S206" i="6"/>
  <c r="P206" i="6"/>
  <c r="S205" i="6"/>
  <c r="P205" i="6"/>
  <c r="S204" i="6"/>
  <c r="P204" i="6"/>
  <c r="S203" i="6"/>
  <c r="P203" i="6"/>
  <c r="S202" i="6"/>
  <c r="P202" i="6"/>
  <c r="S201" i="6"/>
  <c r="P201" i="6"/>
  <c r="S200" i="6"/>
  <c r="P200" i="6"/>
  <c r="S199" i="6"/>
  <c r="P199" i="6"/>
  <c r="S198" i="6"/>
  <c r="P198" i="6"/>
  <c r="S197" i="6"/>
  <c r="P197" i="6"/>
  <c r="S196" i="6"/>
  <c r="P196" i="6"/>
  <c r="S195" i="6"/>
  <c r="P195" i="6"/>
  <c r="S194" i="6"/>
  <c r="P194" i="6"/>
  <c r="S193" i="6"/>
  <c r="P193" i="6"/>
  <c r="S192" i="6"/>
  <c r="P192" i="6"/>
  <c r="S191" i="6"/>
  <c r="P191" i="6"/>
  <c r="S190" i="6"/>
  <c r="P190" i="6"/>
  <c r="S189" i="6"/>
  <c r="S188" i="6"/>
  <c r="S187" i="6"/>
  <c r="P187" i="6"/>
  <c r="S186" i="6"/>
  <c r="P186" i="6"/>
  <c r="S185" i="6"/>
  <c r="P185" i="6"/>
  <c r="S184" i="6"/>
  <c r="P184" i="6"/>
  <c r="S183" i="6"/>
  <c r="P183" i="6"/>
  <c r="S182" i="6"/>
  <c r="P182" i="6"/>
  <c r="S181" i="6"/>
  <c r="P181" i="6"/>
  <c r="S180" i="6"/>
  <c r="P180" i="6"/>
  <c r="S179" i="6"/>
  <c r="P179" i="6"/>
  <c r="S178" i="6"/>
  <c r="P178" i="6"/>
  <c r="S177" i="6"/>
  <c r="P177" i="6"/>
  <c r="S176" i="6"/>
  <c r="P176" i="6"/>
  <c r="S175" i="6"/>
  <c r="P175" i="6"/>
  <c r="S174" i="6"/>
  <c r="P174" i="6"/>
  <c r="S173" i="6"/>
  <c r="P173" i="6"/>
  <c r="S172" i="6"/>
  <c r="P172" i="6"/>
  <c r="S171" i="6"/>
  <c r="P171" i="6"/>
  <c r="S170" i="6"/>
  <c r="P170" i="6"/>
  <c r="S169" i="6"/>
  <c r="P169" i="6"/>
  <c r="S168" i="6"/>
  <c r="P168" i="6"/>
  <c r="S167" i="6"/>
  <c r="P167" i="6"/>
  <c r="S166" i="6"/>
  <c r="P166" i="6"/>
  <c r="S165" i="6"/>
  <c r="P165" i="6"/>
  <c r="S164" i="6"/>
  <c r="P164" i="6"/>
  <c r="S163" i="6"/>
  <c r="S162" i="6"/>
  <c r="S161" i="6"/>
  <c r="P161" i="6"/>
  <c r="S160" i="6"/>
  <c r="P160" i="6"/>
  <c r="S159" i="6"/>
  <c r="P159" i="6"/>
  <c r="S158" i="6"/>
  <c r="P158" i="6"/>
  <c r="S157" i="6"/>
  <c r="P157" i="6"/>
  <c r="S156" i="6"/>
  <c r="P156" i="6"/>
  <c r="S155" i="6"/>
  <c r="P155" i="6"/>
  <c r="S154" i="6"/>
  <c r="P154" i="6"/>
  <c r="S153" i="6"/>
  <c r="P153" i="6"/>
  <c r="S152" i="6"/>
  <c r="P152" i="6"/>
  <c r="S151" i="6"/>
  <c r="P151" i="6"/>
  <c r="S150" i="6"/>
  <c r="P150" i="6"/>
  <c r="S149" i="6"/>
  <c r="P149" i="6"/>
  <c r="S148" i="6"/>
  <c r="P148" i="6"/>
  <c r="S147" i="6"/>
  <c r="P147" i="6"/>
  <c r="S146" i="6"/>
  <c r="P146" i="6"/>
  <c r="S145" i="6"/>
  <c r="P145" i="6"/>
  <c r="S144" i="6"/>
  <c r="P144" i="6"/>
  <c r="S143" i="6"/>
  <c r="P143" i="6"/>
  <c r="S142" i="6"/>
  <c r="P142" i="6"/>
  <c r="S141" i="6"/>
  <c r="P141" i="6"/>
  <c r="S140" i="6"/>
  <c r="P140" i="6"/>
  <c r="S139" i="6"/>
  <c r="P139" i="6"/>
  <c r="S138" i="6"/>
  <c r="P138" i="6"/>
  <c r="S137" i="6"/>
  <c r="S136" i="6"/>
  <c r="S135" i="6"/>
  <c r="P135" i="6"/>
  <c r="S134" i="6"/>
  <c r="P134" i="6"/>
  <c r="S133" i="6"/>
  <c r="P133" i="6"/>
  <c r="S132" i="6"/>
  <c r="P132" i="6"/>
  <c r="S131" i="6"/>
  <c r="P131" i="6"/>
  <c r="S130" i="6"/>
  <c r="P130" i="6"/>
  <c r="S129" i="6"/>
  <c r="P129" i="6"/>
  <c r="S128" i="6"/>
  <c r="P128" i="6"/>
  <c r="S127" i="6"/>
  <c r="P127" i="6"/>
  <c r="S126" i="6"/>
  <c r="P126" i="6"/>
  <c r="S125" i="6"/>
  <c r="P125" i="6"/>
  <c r="S124" i="6"/>
  <c r="P124" i="6"/>
  <c r="S123" i="6"/>
  <c r="P123" i="6"/>
  <c r="S122" i="6"/>
  <c r="P122" i="6"/>
  <c r="S121" i="6"/>
  <c r="P121" i="6"/>
  <c r="S120" i="6"/>
  <c r="P120" i="6"/>
  <c r="S119" i="6"/>
  <c r="P119" i="6"/>
  <c r="S118" i="6"/>
  <c r="P118" i="6"/>
  <c r="S117" i="6"/>
  <c r="P117" i="6"/>
  <c r="S116" i="6"/>
  <c r="P116" i="6"/>
  <c r="S115" i="6"/>
  <c r="P115" i="6"/>
  <c r="S114" i="6"/>
  <c r="P114" i="6"/>
  <c r="S113" i="6"/>
  <c r="P113" i="6"/>
  <c r="S112" i="6"/>
  <c r="P112" i="6"/>
  <c r="S111" i="6"/>
  <c r="S110" i="6"/>
  <c r="S109" i="6"/>
  <c r="P109" i="6"/>
  <c r="S108" i="6"/>
  <c r="P108" i="6"/>
  <c r="S107" i="6"/>
  <c r="P107" i="6"/>
  <c r="S106" i="6"/>
  <c r="P106" i="6"/>
  <c r="S105" i="6"/>
  <c r="P105" i="6"/>
  <c r="S104" i="6"/>
  <c r="P104" i="6"/>
  <c r="S103" i="6"/>
  <c r="P103" i="6"/>
  <c r="S102" i="6"/>
  <c r="P102" i="6"/>
  <c r="S101" i="6"/>
  <c r="P101" i="6"/>
  <c r="S100" i="6"/>
  <c r="P100" i="6"/>
  <c r="S99" i="6"/>
  <c r="P99" i="6"/>
  <c r="S98" i="6"/>
  <c r="P98" i="6"/>
  <c r="S97" i="6"/>
  <c r="P97" i="6"/>
  <c r="S96" i="6"/>
  <c r="P96" i="6"/>
  <c r="S95" i="6"/>
  <c r="P95" i="6"/>
  <c r="S94" i="6"/>
  <c r="P94" i="6"/>
  <c r="S93" i="6"/>
  <c r="P93" i="6"/>
  <c r="S92" i="6"/>
  <c r="P92" i="6"/>
  <c r="S91" i="6"/>
  <c r="P91" i="6"/>
  <c r="S90" i="6"/>
  <c r="P90" i="6"/>
  <c r="S89" i="6"/>
  <c r="P89" i="6"/>
  <c r="S88" i="6"/>
  <c r="P88" i="6"/>
  <c r="S87" i="6"/>
  <c r="P87" i="6"/>
  <c r="S86" i="6"/>
  <c r="P86" i="6"/>
  <c r="S85" i="6"/>
  <c r="P85" i="6"/>
  <c r="S84" i="6"/>
  <c r="P84" i="6"/>
  <c r="S83" i="6"/>
  <c r="P83" i="6"/>
  <c r="S82" i="6"/>
  <c r="P82" i="6"/>
  <c r="D458" i="6" l="1"/>
  <c r="S81" i="6"/>
  <c r="S80" i="6"/>
  <c r="S79" i="6"/>
  <c r="P79" i="6"/>
  <c r="S78" i="6"/>
  <c r="P78" i="6"/>
  <c r="S77" i="6"/>
  <c r="P77" i="6"/>
  <c r="S76" i="6"/>
  <c r="P76" i="6"/>
  <c r="S75" i="6"/>
  <c r="P75" i="6"/>
  <c r="S74" i="6"/>
  <c r="P74" i="6"/>
  <c r="S73" i="6"/>
  <c r="P73" i="6"/>
  <c r="S72" i="6"/>
  <c r="P72" i="6"/>
  <c r="S71" i="6"/>
  <c r="P71" i="6"/>
  <c r="S70" i="6"/>
  <c r="P70" i="6"/>
  <c r="S69" i="6"/>
  <c r="P69" i="6"/>
  <c r="S68" i="6"/>
  <c r="P68" i="6"/>
  <c r="S67" i="6"/>
  <c r="P67" i="6"/>
  <c r="S66" i="6"/>
  <c r="P66" i="6"/>
  <c r="S65" i="6"/>
  <c r="P65" i="6"/>
  <c r="S64" i="6"/>
  <c r="P64" i="6"/>
  <c r="S63" i="6"/>
  <c r="P63" i="6"/>
  <c r="S62" i="6"/>
  <c r="P62" i="6"/>
  <c r="S61" i="6"/>
  <c r="P61" i="6"/>
  <c r="S60" i="6"/>
  <c r="P60" i="6"/>
  <c r="S59" i="6"/>
  <c r="P59" i="6"/>
  <c r="S58" i="6"/>
  <c r="P58" i="6"/>
  <c r="S57" i="6"/>
  <c r="P57" i="6"/>
  <c r="S56" i="6"/>
  <c r="S55" i="6"/>
  <c r="S54" i="6"/>
  <c r="P54" i="6"/>
  <c r="S53" i="6"/>
  <c r="P53" i="6"/>
  <c r="S52" i="6"/>
  <c r="P52" i="6"/>
  <c r="S51" i="6"/>
  <c r="P51" i="6"/>
  <c r="S50" i="6"/>
  <c r="P50" i="6"/>
  <c r="S49" i="6"/>
  <c r="P49" i="6"/>
  <c r="S48" i="6"/>
  <c r="P48" i="6"/>
  <c r="S47" i="6"/>
  <c r="P47" i="6"/>
  <c r="S46" i="6"/>
  <c r="P46" i="6"/>
  <c r="S45" i="6"/>
  <c r="P45" i="6"/>
  <c r="S44" i="6"/>
  <c r="P44" i="6"/>
  <c r="S43" i="6"/>
  <c r="P43" i="6"/>
  <c r="S42" i="6"/>
  <c r="P42" i="6"/>
  <c r="S41" i="6"/>
  <c r="P41" i="6"/>
  <c r="S40" i="6"/>
  <c r="P40" i="6"/>
  <c r="S39" i="6"/>
  <c r="P39" i="6"/>
  <c r="S38" i="6"/>
  <c r="P38" i="6"/>
  <c r="S37" i="6"/>
  <c r="P37" i="6"/>
  <c r="S36" i="6"/>
  <c r="P36" i="6"/>
  <c r="S35" i="6"/>
  <c r="P35" i="6"/>
  <c r="S34" i="6"/>
  <c r="P34" i="6"/>
  <c r="S33" i="6"/>
  <c r="P33" i="6"/>
  <c r="S32" i="6"/>
  <c r="P32" i="6"/>
  <c r="S31" i="6"/>
  <c r="P31" i="6"/>
  <c r="S30" i="6"/>
  <c r="S29" i="6"/>
  <c r="S28" i="6"/>
  <c r="P28" i="6"/>
  <c r="S27" i="6"/>
  <c r="P27" i="6"/>
  <c r="S26" i="6"/>
  <c r="P26" i="6"/>
  <c r="S25" i="6"/>
  <c r="P25" i="6"/>
  <c r="S24" i="6"/>
  <c r="P24" i="6"/>
  <c r="S23" i="6"/>
  <c r="P23" i="6"/>
  <c r="S22" i="6"/>
  <c r="P22" i="6"/>
  <c r="S21" i="6"/>
  <c r="P21" i="6"/>
  <c r="S20" i="6"/>
  <c r="P20" i="6"/>
  <c r="S19" i="6"/>
  <c r="P19" i="6"/>
  <c r="S18" i="6"/>
  <c r="P18" i="6"/>
  <c r="S17" i="6"/>
  <c r="P17" i="6"/>
  <c r="S16" i="6"/>
  <c r="P16" i="6"/>
  <c r="S15" i="6"/>
  <c r="P15" i="6"/>
  <c r="S14" i="6"/>
  <c r="P14" i="6"/>
  <c r="S13" i="6"/>
  <c r="P13" i="6"/>
  <c r="S12" i="6"/>
  <c r="P12" i="6"/>
  <c r="S11" i="6"/>
  <c r="P11" i="6"/>
  <c r="S10" i="6"/>
  <c r="P10" i="6"/>
  <c r="S9" i="6"/>
  <c r="P9" i="6"/>
  <c r="S8" i="6"/>
  <c r="P8" i="6"/>
  <c r="S7" i="6"/>
  <c r="P7" i="6"/>
  <c r="S6" i="6"/>
  <c r="P6" i="6"/>
  <c r="S5" i="6"/>
  <c r="P5" i="6"/>
  <c r="S4" i="6"/>
  <c r="P4" i="6"/>
  <c r="S3" i="6"/>
  <c r="P3" i="6"/>
  <c r="S2" i="6"/>
  <c r="P2" i="6"/>
  <c r="F26" i="1"/>
  <c r="D333" i="5"/>
  <c r="D332" i="5"/>
  <c r="D331" i="5"/>
  <c r="D330" i="5"/>
  <c r="E330" i="5" s="1"/>
  <c r="D329" i="5"/>
  <c r="E329" i="5" s="1"/>
  <c r="D328" i="5"/>
  <c r="E328" i="5" s="1"/>
  <c r="D327" i="5"/>
  <c r="E327" i="5" s="1"/>
  <c r="S323" i="5"/>
  <c r="S322" i="5"/>
  <c r="S321" i="5"/>
  <c r="P321" i="5"/>
  <c r="S320" i="5"/>
  <c r="P320" i="5"/>
  <c r="S319" i="5"/>
  <c r="P319" i="5"/>
  <c r="S318" i="5"/>
  <c r="P318" i="5"/>
  <c r="S317" i="5"/>
  <c r="P317" i="5"/>
  <c r="S316" i="5"/>
  <c r="P316" i="5"/>
  <c r="S315" i="5"/>
  <c r="P315" i="5"/>
  <c r="S314" i="5"/>
  <c r="P314" i="5"/>
  <c r="S313" i="5"/>
  <c r="P313" i="5"/>
  <c r="S312" i="5"/>
  <c r="P312" i="5"/>
  <c r="S311" i="5"/>
  <c r="P311" i="5"/>
  <c r="S310" i="5"/>
  <c r="P310" i="5"/>
  <c r="S309" i="5"/>
  <c r="P309" i="5"/>
  <c r="S308" i="5"/>
  <c r="P308" i="5"/>
  <c r="S307" i="5"/>
  <c r="P307" i="5"/>
  <c r="S306" i="5"/>
  <c r="P306" i="5"/>
  <c r="S305" i="5"/>
  <c r="P305" i="5"/>
  <c r="S304" i="5"/>
  <c r="P304" i="5"/>
  <c r="S303" i="5"/>
  <c r="P303" i="5"/>
  <c r="S302" i="5"/>
  <c r="P302" i="5"/>
  <c r="S301" i="5"/>
  <c r="P301" i="5"/>
  <c r="S300" i="5"/>
  <c r="P300" i="5"/>
  <c r="S299" i="5"/>
  <c r="P299" i="5"/>
  <c r="S298" i="5"/>
  <c r="P298" i="5"/>
  <c r="K3" i="1"/>
  <c r="K4" i="1"/>
  <c r="K5" i="1"/>
  <c r="K7" i="1"/>
  <c r="K8" i="1"/>
  <c r="K9" i="1"/>
  <c r="K10" i="1"/>
  <c r="K11" i="1"/>
  <c r="S297" i="5"/>
  <c r="S296" i="5"/>
  <c r="S295" i="5"/>
  <c r="P295" i="5"/>
  <c r="S294" i="5"/>
  <c r="P294" i="5"/>
  <c r="S293" i="5"/>
  <c r="P293" i="5"/>
  <c r="S292" i="5"/>
  <c r="P292" i="5"/>
  <c r="S291" i="5"/>
  <c r="P291" i="5"/>
  <c r="S290" i="5"/>
  <c r="P290" i="5"/>
  <c r="S289" i="5"/>
  <c r="P289" i="5"/>
  <c r="S288" i="5"/>
  <c r="P288" i="5"/>
  <c r="S287" i="5"/>
  <c r="P287" i="5"/>
  <c r="S286" i="5"/>
  <c r="P286" i="5"/>
  <c r="S285" i="5"/>
  <c r="P285" i="5"/>
  <c r="S284" i="5"/>
  <c r="P284" i="5"/>
  <c r="S283" i="5"/>
  <c r="P283" i="5"/>
  <c r="S282" i="5"/>
  <c r="P282" i="5"/>
  <c r="S281" i="5"/>
  <c r="P281" i="5"/>
  <c r="S280" i="5"/>
  <c r="P280" i="5"/>
  <c r="S279" i="5"/>
  <c r="P279" i="5"/>
  <c r="S278" i="5"/>
  <c r="P278" i="5"/>
  <c r="S277" i="5"/>
  <c r="P277" i="5"/>
  <c r="S276" i="5"/>
  <c r="P276" i="5"/>
  <c r="S275" i="5"/>
  <c r="P275" i="5"/>
  <c r="S274" i="5"/>
  <c r="P274" i="5"/>
  <c r="S273" i="5"/>
  <c r="P273" i="5"/>
  <c r="S272" i="5"/>
  <c r="P272" i="5"/>
  <c r="S271" i="5"/>
  <c r="S270" i="5"/>
  <c r="S269" i="5"/>
  <c r="P269" i="5"/>
  <c r="S268" i="5"/>
  <c r="P268" i="5"/>
  <c r="S267" i="5"/>
  <c r="P267" i="5"/>
  <c r="S266" i="5"/>
  <c r="P266" i="5"/>
  <c r="S265" i="5"/>
  <c r="P265" i="5"/>
  <c r="S264" i="5"/>
  <c r="P264" i="5"/>
  <c r="S263" i="5"/>
  <c r="P263" i="5"/>
  <c r="S262" i="5"/>
  <c r="P262" i="5"/>
  <c r="S261" i="5"/>
  <c r="P261" i="5"/>
  <c r="S260" i="5"/>
  <c r="P260" i="5"/>
  <c r="S259" i="5"/>
  <c r="P259" i="5"/>
  <c r="S258" i="5"/>
  <c r="P258" i="5"/>
  <c r="S257" i="5"/>
  <c r="P257" i="5"/>
  <c r="S256" i="5"/>
  <c r="P256" i="5"/>
  <c r="S255" i="5"/>
  <c r="P255" i="5"/>
  <c r="S254" i="5"/>
  <c r="P254" i="5"/>
  <c r="S253" i="5"/>
  <c r="P253" i="5"/>
  <c r="S252" i="5"/>
  <c r="P252" i="5"/>
  <c r="S251" i="5"/>
  <c r="P251" i="5"/>
  <c r="S250" i="5"/>
  <c r="P250" i="5"/>
  <c r="S249" i="5"/>
  <c r="P249" i="5"/>
  <c r="S248" i="5"/>
  <c r="P248" i="5"/>
  <c r="S247" i="5"/>
  <c r="S246" i="5"/>
  <c r="S245" i="5"/>
  <c r="P245" i="5"/>
  <c r="S244" i="5"/>
  <c r="P244" i="5"/>
  <c r="S243" i="5"/>
  <c r="P243" i="5"/>
  <c r="S242" i="5"/>
  <c r="P242" i="5"/>
  <c r="S241" i="5"/>
  <c r="P241" i="5"/>
  <c r="S240" i="5"/>
  <c r="P240" i="5"/>
  <c r="S239" i="5"/>
  <c r="P239" i="5"/>
  <c r="S238" i="5"/>
  <c r="P238" i="5"/>
  <c r="S237" i="5"/>
  <c r="P237" i="5"/>
  <c r="S236" i="5"/>
  <c r="P236" i="5"/>
  <c r="S235" i="5"/>
  <c r="P235" i="5"/>
  <c r="S234" i="5"/>
  <c r="P234" i="5"/>
  <c r="S233" i="5"/>
  <c r="P233" i="5"/>
  <c r="S232" i="5"/>
  <c r="P232" i="5"/>
  <c r="S231" i="5"/>
  <c r="P231" i="5"/>
  <c r="S230" i="5"/>
  <c r="P230" i="5"/>
  <c r="S229" i="5"/>
  <c r="P229" i="5"/>
  <c r="S228" i="5"/>
  <c r="P228" i="5"/>
  <c r="S227" i="5"/>
  <c r="P227" i="5"/>
  <c r="S226" i="5"/>
  <c r="P226" i="5"/>
  <c r="S225" i="5"/>
  <c r="P225" i="5"/>
  <c r="S224" i="5"/>
  <c r="P224" i="5"/>
  <c r="S223" i="5"/>
  <c r="S222" i="5"/>
  <c r="S221" i="5"/>
  <c r="P221" i="5"/>
  <c r="S220" i="5"/>
  <c r="P220" i="5"/>
  <c r="S219" i="5"/>
  <c r="P219" i="5"/>
  <c r="S218" i="5"/>
  <c r="P218" i="5"/>
  <c r="S217" i="5"/>
  <c r="P217" i="5"/>
  <c r="S216" i="5"/>
  <c r="P216" i="5"/>
  <c r="S215" i="5"/>
  <c r="P215" i="5"/>
  <c r="S214" i="5"/>
  <c r="P214" i="5"/>
  <c r="S213" i="5"/>
  <c r="P213" i="5"/>
  <c r="S212" i="5"/>
  <c r="P212" i="5"/>
  <c r="S211" i="5"/>
  <c r="P211" i="5"/>
  <c r="S210" i="5"/>
  <c r="P210" i="5"/>
  <c r="S209" i="5"/>
  <c r="P209" i="5"/>
  <c r="S208" i="5"/>
  <c r="P208" i="5"/>
  <c r="S207" i="5"/>
  <c r="P207" i="5"/>
  <c r="S206" i="5"/>
  <c r="P206" i="5"/>
  <c r="S205" i="5"/>
  <c r="P205" i="5"/>
  <c r="S204" i="5"/>
  <c r="P204" i="5"/>
  <c r="S203" i="5"/>
  <c r="P203" i="5"/>
  <c r="S202" i="5"/>
  <c r="P202" i="5"/>
  <c r="S201" i="5"/>
  <c r="P201" i="5"/>
  <c r="S200" i="5"/>
  <c r="P200" i="5"/>
  <c r="S199" i="5"/>
  <c r="P199" i="5"/>
  <c r="S198" i="5"/>
  <c r="P198" i="5"/>
  <c r="S197" i="5"/>
  <c r="S196" i="5"/>
  <c r="S195" i="5"/>
  <c r="P195" i="5"/>
  <c r="S194" i="5"/>
  <c r="P194" i="5"/>
  <c r="S193" i="5"/>
  <c r="P193" i="5"/>
  <c r="S192" i="5"/>
  <c r="P192" i="5"/>
  <c r="S191" i="5"/>
  <c r="P191" i="5"/>
  <c r="S190" i="5"/>
  <c r="P190" i="5"/>
  <c r="S189" i="5"/>
  <c r="P189" i="5"/>
  <c r="S188" i="5"/>
  <c r="P188" i="5"/>
  <c r="S187" i="5"/>
  <c r="P187" i="5"/>
  <c r="S186" i="5"/>
  <c r="P186" i="5"/>
  <c r="S185" i="5"/>
  <c r="P185" i="5"/>
  <c r="S184" i="5"/>
  <c r="P184" i="5"/>
  <c r="S183" i="5"/>
  <c r="P183" i="5"/>
  <c r="S182" i="5"/>
  <c r="P182" i="5"/>
  <c r="S181" i="5"/>
  <c r="P181" i="5"/>
  <c r="S180" i="5"/>
  <c r="P180" i="5"/>
  <c r="S179" i="5"/>
  <c r="P179" i="5"/>
  <c r="S178" i="5"/>
  <c r="P178" i="5"/>
  <c r="S177" i="5"/>
  <c r="P177" i="5"/>
  <c r="S176" i="5"/>
  <c r="P176" i="5"/>
  <c r="S175" i="5"/>
  <c r="P175" i="5"/>
  <c r="S174" i="5"/>
  <c r="P174" i="5"/>
  <c r="S173" i="5"/>
  <c r="P173" i="5"/>
  <c r="S172" i="5"/>
  <c r="P172" i="5"/>
  <c r="S171" i="5"/>
  <c r="P171" i="5"/>
  <c r="S170" i="5"/>
  <c r="P170" i="5"/>
  <c r="S169" i="5"/>
  <c r="P169" i="5"/>
  <c r="S168" i="5"/>
  <c r="S167" i="5"/>
  <c r="S166" i="5"/>
  <c r="P166" i="5"/>
  <c r="S165" i="5"/>
  <c r="P165" i="5"/>
  <c r="S164" i="5"/>
  <c r="P164" i="5"/>
  <c r="S163" i="5"/>
  <c r="P163" i="5"/>
  <c r="S162" i="5"/>
  <c r="P162" i="5"/>
  <c r="S161" i="5"/>
  <c r="P161" i="5"/>
  <c r="S160" i="5"/>
  <c r="P160" i="5"/>
  <c r="S159" i="5"/>
  <c r="P159" i="5"/>
  <c r="S158" i="5"/>
  <c r="P158" i="5"/>
  <c r="S157" i="5"/>
  <c r="P157" i="5"/>
  <c r="S156" i="5"/>
  <c r="P156" i="5"/>
  <c r="S155" i="5"/>
  <c r="P155" i="5"/>
  <c r="S154" i="5"/>
  <c r="P154" i="5"/>
  <c r="S153" i="5"/>
  <c r="P153" i="5"/>
  <c r="S152" i="5"/>
  <c r="P152" i="5"/>
  <c r="S151" i="5"/>
  <c r="P151" i="5"/>
  <c r="S150" i="5"/>
  <c r="P150" i="5"/>
  <c r="S149" i="5"/>
  <c r="P149" i="5"/>
  <c r="S148" i="5"/>
  <c r="P148" i="5"/>
  <c r="S147" i="5"/>
  <c r="P147" i="5"/>
  <c r="S146" i="5"/>
  <c r="P146" i="5"/>
  <c r="S145" i="5"/>
  <c r="P145" i="5"/>
  <c r="S144" i="5"/>
  <c r="P144" i="5"/>
  <c r="S143" i="5"/>
  <c r="P143" i="5"/>
  <c r="S142" i="5"/>
  <c r="P142" i="5"/>
  <c r="S141" i="5"/>
  <c r="P141" i="5"/>
  <c r="S140" i="5"/>
  <c r="P140" i="5"/>
  <c r="S139" i="5"/>
  <c r="P139" i="5"/>
  <c r="S138" i="5"/>
  <c r="S137" i="5"/>
  <c r="S136" i="5"/>
  <c r="P136" i="5"/>
  <c r="S135" i="5"/>
  <c r="P135" i="5"/>
  <c r="S134" i="5"/>
  <c r="P134" i="5"/>
  <c r="S133" i="5"/>
  <c r="P133" i="5"/>
  <c r="S132" i="5"/>
  <c r="P132" i="5"/>
  <c r="S131" i="5"/>
  <c r="P131" i="5"/>
  <c r="S130" i="5"/>
  <c r="P130" i="5"/>
  <c r="S129" i="5"/>
  <c r="P129" i="5"/>
  <c r="S128" i="5"/>
  <c r="P128" i="5"/>
  <c r="S127" i="5"/>
  <c r="P127" i="5"/>
  <c r="S126" i="5"/>
  <c r="P126" i="5"/>
  <c r="S125" i="5"/>
  <c r="P125" i="5"/>
  <c r="S124" i="5"/>
  <c r="P124" i="5"/>
  <c r="S123" i="5"/>
  <c r="P123" i="5"/>
  <c r="S122" i="5"/>
  <c r="P122" i="5"/>
  <c r="S121" i="5"/>
  <c r="P121" i="5"/>
  <c r="S120" i="5"/>
  <c r="P120" i="5"/>
  <c r="S119" i="5"/>
  <c r="P119" i="5"/>
  <c r="S118" i="5"/>
  <c r="P118" i="5"/>
  <c r="S117" i="5"/>
  <c r="P117" i="5"/>
  <c r="S116" i="5"/>
  <c r="P116" i="5"/>
  <c r="S115" i="5"/>
  <c r="P115" i="5"/>
  <c r="S114" i="5"/>
  <c r="P114" i="5"/>
  <c r="S113" i="5"/>
  <c r="P113" i="5"/>
  <c r="S112" i="5"/>
  <c r="P112" i="5"/>
  <c r="S111" i="5"/>
  <c r="P111" i="5"/>
  <c r="S110" i="5"/>
  <c r="P110" i="5"/>
  <c r="S109" i="5"/>
  <c r="P109" i="5"/>
  <c r="S108" i="5"/>
  <c r="P108" i="5"/>
  <c r="S107" i="5"/>
  <c r="S106" i="5"/>
  <c r="S105" i="5"/>
  <c r="P105" i="5"/>
  <c r="S104" i="5"/>
  <c r="P104" i="5"/>
  <c r="S103" i="5"/>
  <c r="P103" i="5"/>
  <c r="S102" i="5"/>
  <c r="P102" i="5"/>
  <c r="S101" i="5"/>
  <c r="P101" i="5"/>
  <c r="S100" i="5"/>
  <c r="P100" i="5"/>
  <c r="S99" i="5"/>
  <c r="P99" i="5"/>
  <c r="S98" i="5"/>
  <c r="P98" i="5"/>
  <c r="S97" i="5"/>
  <c r="P97" i="5"/>
  <c r="S96" i="5"/>
  <c r="P96" i="5"/>
  <c r="S95" i="5"/>
  <c r="P95" i="5"/>
  <c r="S94" i="5"/>
  <c r="P94" i="5"/>
  <c r="S93" i="5"/>
  <c r="P93" i="5"/>
  <c r="S92" i="5"/>
  <c r="P92" i="5"/>
  <c r="S91" i="5"/>
  <c r="P91" i="5"/>
  <c r="S90" i="5"/>
  <c r="P90" i="5"/>
  <c r="S89" i="5"/>
  <c r="P89" i="5"/>
  <c r="S88" i="5"/>
  <c r="P88" i="5"/>
  <c r="S87" i="5"/>
  <c r="P87" i="5"/>
  <c r="S86" i="5"/>
  <c r="P86" i="5"/>
  <c r="S85" i="5"/>
  <c r="P85" i="5"/>
  <c r="S84" i="5"/>
  <c r="P84" i="5"/>
  <c r="S83" i="5"/>
  <c r="P83" i="5"/>
  <c r="S82" i="5"/>
  <c r="P82" i="5"/>
  <c r="S81" i="5"/>
  <c r="P81" i="5"/>
  <c r="S80" i="5"/>
  <c r="P80" i="5"/>
  <c r="S79" i="5"/>
  <c r="P79" i="5"/>
  <c r="S78" i="5"/>
  <c r="P78" i="5"/>
  <c r="S77" i="5"/>
  <c r="P77" i="5"/>
  <c r="S76" i="5"/>
  <c r="P76" i="5"/>
  <c r="S75" i="5"/>
  <c r="P75" i="5"/>
  <c r="S74" i="5"/>
  <c r="P74" i="5"/>
  <c r="S73" i="5"/>
  <c r="P73" i="5"/>
  <c r="S72" i="5"/>
  <c r="P72" i="5"/>
  <c r="S71" i="5"/>
  <c r="S70" i="5"/>
  <c r="S69" i="5"/>
  <c r="P69" i="5"/>
  <c r="S68" i="5"/>
  <c r="P68" i="5"/>
  <c r="S67" i="5"/>
  <c r="P67" i="5"/>
  <c r="S66" i="5"/>
  <c r="P66" i="5"/>
  <c r="S65" i="5"/>
  <c r="P65" i="5"/>
  <c r="S64" i="5"/>
  <c r="P64" i="5"/>
  <c r="S63" i="5"/>
  <c r="P63" i="5"/>
  <c r="S62" i="5"/>
  <c r="P62" i="5"/>
  <c r="S61" i="5"/>
  <c r="P61" i="5"/>
  <c r="S60" i="5"/>
  <c r="P60" i="5"/>
  <c r="S59" i="5"/>
  <c r="P59" i="5"/>
  <c r="S58" i="5"/>
  <c r="P58" i="5"/>
  <c r="S57" i="5"/>
  <c r="P57" i="5"/>
  <c r="S56" i="5"/>
  <c r="P56" i="5"/>
  <c r="S55" i="5"/>
  <c r="P55" i="5"/>
  <c r="S54" i="5"/>
  <c r="P54" i="5"/>
  <c r="S53" i="5"/>
  <c r="P53" i="5"/>
  <c r="S52" i="5"/>
  <c r="P52" i="5"/>
  <c r="S51" i="5"/>
  <c r="P51" i="5"/>
  <c r="S50" i="5"/>
  <c r="P50" i="5"/>
  <c r="S49" i="5"/>
  <c r="P49" i="5"/>
  <c r="S48" i="5"/>
  <c r="P48" i="5"/>
  <c r="S47" i="5"/>
  <c r="P47" i="5"/>
  <c r="S46" i="5"/>
  <c r="P46" i="5"/>
  <c r="S45" i="5"/>
  <c r="P45" i="5"/>
  <c r="S44" i="5"/>
  <c r="P44" i="5"/>
  <c r="S43" i="5"/>
  <c r="P43" i="5"/>
  <c r="S42" i="5"/>
  <c r="P42" i="5"/>
  <c r="S41" i="5"/>
  <c r="P41" i="5"/>
  <c r="S40" i="5"/>
  <c r="P40" i="5"/>
  <c r="S39" i="5"/>
  <c r="P39" i="5"/>
  <c r="S38" i="5"/>
  <c r="S37" i="5"/>
  <c r="S36" i="5"/>
  <c r="P36" i="5"/>
  <c r="S35" i="5"/>
  <c r="P35" i="5"/>
  <c r="S34" i="5"/>
  <c r="P34" i="5"/>
  <c r="S33" i="5"/>
  <c r="P33" i="5"/>
  <c r="S32" i="5"/>
  <c r="P32" i="5"/>
  <c r="S31" i="5"/>
  <c r="P31" i="5"/>
  <c r="S30" i="5"/>
  <c r="P30" i="5"/>
  <c r="S29" i="5"/>
  <c r="P29" i="5"/>
  <c r="S28" i="5"/>
  <c r="P28" i="5"/>
  <c r="S27" i="5"/>
  <c r="P27" i="5"/>
  <c r="S26" i="5"/>
  <c r="P26" i="5"/>
  <c r="S25" i="5"/>
  <c r="P25" i="5"/>
  <c r="S24" i="5"/>
  <c r="P24" i="5"/>
  <c r="S23" i="5"/>
  <c r="P23" i="5"/>
  <c r="S22" i="5"/>
  <c r="P22" i="5"/>
  <c r="S21" i="5"/>
  <c r="P21" i="5"/>
  <c r="S20" i="5"/>
  <c r="P20" i="5"/>
  <c r="S19" i="5"/>
  <c r="P19" i="5"/>
  <c r="S18" i="5"/>
  <c r="P18" i="5"/>
  <c r="S17" i="5"/>
  <c r="P17" i="5"/>
  <c r="S16" i="5"/>
  <c r="P16" i="5"/>
  <c r="S15" i="5"/>
  <c r="P15" i="5"/>
  <c r="S14" i="5"/>
  <c r="P14" i="5"/>
  <c r="S13" i="5"/>
  <c r="P13" i="5"/>
  <c r="S12" i="5"/>
  <c r="P12" i="5"/>
  <c r="S11" i="5"/>
  <c r="P11" i="5"/>
  <c r="S10" i="5"/>
  <c r="P10" i="5"/>
  <c r="S9" i="5"/>
  <c r="P9" i="5"/>
  <c r="S8" i="5"/>
  <c r="P8" i="5"/>
  <c r="S7" i="5"/>
  <c r="P7" i="5"/>
  <c r="S6" i="5"/>
  <c r="P6" i="5"/>
  <c r="S5" i="5"/>
  <c r="P5" i="5"/>
  <c r="S4" i="5"/>
  <c r="P4" i="5"/>
  <c r="S3" i="5"/>
  <c r="P3" i="5"/>
  <c r="S2" i="5"/>
  <c r="P2" i="5"/>
  <c r="D450" i="6" l="1"/>
  <c r="D326" i="5"/>
  <c r="D334" i="5"/>
  <c r="E26" i="1" l="1"/>
  <c r="C26" i="1"/>
  <c r="D26" i="1"/>
  <c r="D372" i="4" l="1"/>
  <c r="D371" i="4"/>
  <c r="D370" i="4"/>
  <c r="D369" i="4"/>
  <c r="E369" i="4" s="1"/>
  <c r="D368" i="4"/>
  <c r="E368" i="4" s="1"/>
  <c r="D367" i="4"/>
  <c r="E367" i="4" s="1"/>
  <c r="D366" i="4"/>
  <c r="E366" i="4" s="1"/>
  <c r="S362" i="4"/>
  <c r="S361" i="4"/>
  <c r="S360" i="4"/>
  <c r="P360" i="4"/>
  <c r="S359" i="4"/>
  <c r="P359" i="4"/>
  <c r="S358" i="4"/>
  <c r="P358" i="4"/>
  <c r="S357" i="4"/>
  <c r="P357" i="4"/>
  <c r="S356" i="4"/>
  <c r="P356" i="4"/>
  <c r="S355" i="4"/>
  <c r="P355" i="4"/>
  <c r="S354" i="4"/>
  <c r="P354" i="4"/>
  <c r="S353" i="4"/>
  <c r="P353" i="4"/>
  <c r="S352" i="4"/>
  <c r="P352" i="4"/>
  <c r="S351" i="4"/>
  <c r="P351" i="4"/>
  <c r="S350" i="4"/>
  <c r="P350" i="4"/>
  <c r="S349" i="4"/>
  <c r="P349" i="4"/>
  <c r="S348" i="4"/>
  <c r="P348" i="4"/>
  <c r="S347" i="4"/>
  <c r="P347" i="4"/>
  <c r="S346" i="4"/>
  <c r="P346" i="4"/>
  <c r="S345" i="4"/>
  <c r="P345" i="4"/>
  <c r="S344" i="4"/>
  <c r="P344" i="4"/>
  <c r="S343" i="4"/>
  <c r="P343" i="4"/>
  <c r="S342" i="4"/>
  <c r="P342" i="4"/>
  <c r="S341" i="4"/>
  <c r="P341" i="4"/>
  <c r="S340" i="4"/>
  <c r="P340" i="4"/>
  <c r="S339" i="4"/>
  <c r="P339" i="4"/>
  <c r="S338" i="4"/>
  <c r="S337" i="4"/>
  <c r="S336" i="4"/>
  <c r="S335" i="4"/>
  <c r="S334" i="4"/>
  <c r="S333" i="4"/>
  <c r="S332" i="4"/>
  <c r="S331" i="4"/>
  <c r="S330" i="4"/>
  <c r="S329" i="4"/>
  <c r="S328" i="4"/>
  <c r="S327" i="4"/>
  <c r="S326" i="4"/>
  <c r="S325" i="4"/>
  <c r="S324" i="4"/>
  <c r="S323" i="4"/>
  <c r="S322" i="4"/>
  <c r="S321" i="4"/>
  <c r="S320" i="4"/>
  <c r="S319" i="4"/>
  <c r="S318" i="4"/>
  <c r="S317" i="4"/>
  <c r="S316" i="4"/>
  <c r="S315" i="4"/>
  <c r="S314" i="4"/>
  <c r="S313" i="4"/>
  <c r="S312" i="4"/>
  <c r="S311" i="4"/>
  <c r="S310" i="4"/>
  <c r="S309" i="4"/>
  <c r="S308" i="4"/>
  <c r="S307" i="4"/>
  <c r="S306" i="4"/>
  <c r="P306" i="4"/>
  <c r="S305" i="4"/>
  <c r="P305" i="4"/>
  <c r="S304" i="4"/>
  <c r="P304" i="4"/>
  <c r="S303" i="4"/>
  <c r="P303" i="4"/>
  <c r="S302" i="4"/>
  <c r="P302" i="4"/>
  <c r="S301" i="4"/>
  <c r="P301" i="4"/>
  <c r="S300" i="4"/>
  <c r="P300" i="4"/>
  <c r="S299" i="4"/>
  <c r="P299" i="4"/>
  <c r="S298" i="4"/>
  <c r="P298" i="4"/>
  <c r="S297" i="4"/>
  <c r="P297" i="4"/>
  <c r="S296" i="4"/>
  <c r="P296" i="4"/>
  <c r="S295" i="4"/>
  <c r="P295" i="4"/>
  <c r="S294" i="4"/>
  <c r="P294" i="4"/>
  <c r="S293" i="4"/>
  <c r="P293" i="4"/>
  <c r="S292" i="4"/>
  <c r="P292" i="4"/>
  <c r="S291" i="4"/>
  <c r="P291" i="4"/>
  <c r="S290" i="4"/>
  <c r="P290" i="4"/>
  <c r="S289" i="4"/>
  <c r="P289" i="4"/>
  <c r="S288" i="4"/>
  <c r="P288" i="4"/>
  <c r="S287" i="4"/>
  <c r="P287" i="4"/>
  <c r="S286" i="4"/>
  <c r="P286" i="4"/>
  <c r="S285" i="4"/>
  <c r="P285" i="4"/>
  <c r="S284" i="4"/>
  <c r="P284" i="4"/>
  <c r="S283" i="4"/>
  <c r="P283" i="4"/>
  <c r="S282" i="4"/>
  <c r="P282" i="4"/>
  <c r="S281" i="4"/>
  <c r="P281" i="4"/>
  <c r="S280" i="4"/>
  <c r="P280" i="4"/>
  <c r="S279" i="4"/>
  <c r="P279" i="4"/>
  <c r="S278" i="4"/>
  <c r="S277" i="4"/>
  <c r="S276" i="4"/>
  <c r="P276" i="4"/>
  <c r="S275" i="4"/>
  <c r="P275" i="4"/>
  <c r="S274" i="4"/>
  <c r="P274" i="4"/>
  <c r="S273" i="4"/>
  <c r="P273" i="4"/>
  <c r="S272" i="4"/>
  <c r="P272" i="4"/>
  <c r="S271" i="4"/>
  <c r="P271" i="4"/>
  <c r="S270" i="4"/>
  <c r="P270" i="4"/>
  <c r="S269" i="4"/>
  <c r="P269" i="4"/>
  <c r="S268" i="4"/>
  <c r="P268" i="4"/>
  <c r="S267" i="4"/>
  <c r="P267" i="4"/>
  <c r="S266" i="4"/>
  <c r="P266" i="4"/>
  <c r="S265" i="4"/>
  <c r="P265" i="4"/>
  <c r="S264" i="4"/>
  <c r="P264" i="4"/>
  <c r="S263" i="4"/>
  <c r="P263" i="4"/>
  <c r="S262" i="4"/>
  <c r="P262" i="4"/>
  <c r="S261" i="4"/>
  <c r="P261" i="4"/>
  <c r="S260" i="4"/>
  <c r="P260" i="4"/>
  <c r="S259" i="4"/>
  <c r="P259" i="4"/>
  <c r="S258" i="4"/>
  <c r="P258" i="4"/>
  <c r="S257" i="4"/>
  <c r="P257" i="4"/>
  <c r="S256" i="4"/>
  <c r="P256" i="4"/>
  <c r="S255" i="4"/>
  <c r="P255" i="4"/>
  <c r="S254" i="4"/>
  <c r="P254" i="4"/>
  <c r="S253" i="4"/>
  <c r="P253" i="4"/>
  <c r="S252" i="4"/>
  <c r="S251" i="4"/>
  <c r="S250" i="4"/>
  <c r="P250" i="4"/>
  <c r="S249" i="4"/>
  <c r="P249" i="4"/>
  <c r="S248" i="4"/>
  <c r="P248" i="4"/>
  <c r="S247" i="4"/>
  <c r="P247" i="4"/>
  <c r="S246" i="4"/>
  <c r="P246" i="4"/>
  <c r="S245" i="4"/>
  <c r="P245" i="4"/>
  <c r="S244" i="4"/>
  <c r="P244" i="4"/>
  <c r="S243" i="4"/>
  <c r="P243" i="4"/>
  <c r="S242" i="4"/>
  <c r="P242" i="4"/>
  <c r="S241" i="4"/>
  <c r="P241" i="4"/>
  <c r="S240" i="4"/>
  <c r="P240" i="4"/>
  <c r="S239" i="4"/>
  <c r="P239" i="4"/>
  <c r="S238" i="4"/>
  <c r="P238" i="4"/>
  <c r="S237" i="4"/>
  <c r="P237" i="4"/>
  <c r="S236" i="4"/>
  <c r="P236" i="4"/>
  <c r="S235" i="4"/>
  <c r="P235" i="4"/>
  <c r="S234" i="4"/>
  <c r="P234" i="4"/>
  <c r="S233" i="4"/>
  <c r="P233" i="4"/>
  <c r="S232" i="4"/>
  <c r="P232" i="4"/>
  <c r="S231" i="4"/>
  <c r="P231" i="4"/>
  <c r="S230" i="4"/>
  <c r="S229" i="4"/>
  <c r="S228" i="4"/>
  <c r="S222" i="4"/>
  <c r="S206" i="4"/>
  <c r="S205" i="4"/>
  <c r="S204" i="4"/>
  <c r="P204" i="4"/>
  <c r="S203" i="4"/>
  <c r="P203" i="4"/>
  <c r="S202" i="4"/>
  <c r="P202" i="4"/>
  <c r="S201" i="4"/>
  <c r="P201" i="4"/>
  <c r="S200" i="4"/>
  <c r="P200" i="4"/>
  <c r="S199" i="4"/>
  <c r="P199" i="4"/>
  <c r="S198" i="4"/>
  <c r="P198" i="4"/>
  <c r="S197" i="4"/>
  <c r="P197" i="4"/>
  <c r="S196" i="4"/>
  <c r="P196" i="4"/>
  <c r="S195" i="4"/>
  <c r="P195" i="4"/>
  <c r="S194" i="4"/>
  <c r="P194" i="4"/>
  <c r="S193" i="4"/>
  <c r="P193" i="4"/>
  <c r="S192" i="4"/>
  <c r="P192" i="4"/>
  <c r="S191" i="4"/>
  <c r="P191" i="4"/>
  <c r="S190" i="4"/>
  <c r="P190" i="4"/>
  <c r="S189" i="4"/>
  <c r="P189" i="4"/>
  <c r="S188" i="4"/>
  <c r="P188" i="4"/>
  <c r="S187" i="4"/>
  <c r="P187" i="4"/>
  <c r="S186" i="4"/>
  <c r="P186" i="4"/>
  <c r="S185" i="4"/>
  <c r="P185" i="4"/>
  <c r="S184" i="4"/>
  <c r="S183" i="4"/>
  <c r="S182" i="4"/>
  <c r="P182" i="4"/>
  <c r="S181" i="4"/>
  <c r="P181" i="4"/>
  <c r="S180" i="4"/>
  <c r="P180" i="4"/>
  <c r="S179" i="4"/>
  <c r="P179" i="4"/>
  <c r="S178" i="4"/>
  <c r="P178" i="4"/>
  <c r="S177" i="4"/>
  <c r="P177" i="4"/>
  <c r="S176" i="4"/>
  <c r="P176" i="4"/>
  <c r="S175" i="4"/>
  <c r="P175" i="4"/>
  <c r="S174" i="4"/>
  <c r="P174" i="4"/>
  <c r="S173" i="4"/>
  <c r="P173" i="4"/>
  <c r="S172" i="4"/>
  <c r="P172" i="4"/>
  <c r="S171" i="4"/>
  <c r="P171" i="4"/>
  <c r="S170" i="4"/>
  <c r="P170" i="4"/>
  <c r="S169" i="4"/>
  <c r="P169" i="4"/>
  <c r="S168" i="4"/>
  <c r="P168" i="4"/>
  <c r="S167" i="4"/>
  <c r="P167" i="4"/>
  <c r="S166" i="4"/>
  <c r="P166" i="4"/>
  <c r="S165" i="4"/>
  <c r="P165" i="4"/>
  <c r="S164" i="4"/>
  <c r="P164" i="4"/>
  <c r="S163" i="4"/>
  <c r="P163" i="4"/>
  <c r="S162" i="4"/>
  <c r="P162" i="4"/>
  <c r="S161" i="4"/>
  <c r="P161" i="4"/>
  <c r="S160" i="4"/>
  <c r="P160" i="4"/>
  <c r="S159" i="4"/>
  <c r="P159" i="4"/>
  <c r="S158" i="4"/>
  <c r="S157" i="4"/>
  <c r="S156" i="4"/>
  <c r="P156" i="4"/>
  <c r="S155" i="4"/>
  <c r="P155" i="4"/>
  <c r="S154" i="4"/>
  <c r="P154" i="4"/>
  <c r="S153" i="4"/>
  <c r="P153" i="4"/>
  <c r="S152" i="4"/>
  <c r="P152" i="4"/>
  <c r="S151" i="4"/>
  <c r="P151" i="4"/>
  <c r="S150" i="4"/>
  <c r="P150" i="4"/>
  <c r="S149" i="4"/>
  <c r="P149" i="4"/>
  <c r="S148" i="4"/>
  <c r="P148" i="4"/>
  <c r="S147" i="4"/>
  <c r="P147" i="4"/>
  <c r="S146" i="4"/>
  <c r="P146" i="4"/>
  <c r="S145" i="4"/>
  <c r="P145" i="4"/>
  <c r="S144" i="4"/>
  <c r="P144" i="4"/>
  <c r="S143" i="4"/>
  <c r="P143" i="4"/>
  <c r="S142" i="4"/>
  <c r="P142" i="4"/>
  <c r="S141" i="4"/>
  <c r="P141" i="4"/>
  <c r="S140" i="4"/>
  <c r="P140" i="4"/>
  <c r="S139" i="4"/>
  <c r="P139" i="4"/>
  <c r="S138" i="4"/>
  <c r="P138" i="4"/>
  <c r="S137" i="4"/>
  <c r="P137" i="4"/>
  <c r="S136" i="4"/>
  <c r="P136" i="4"/>
  <c r="S135" i="4"/>
  <c r="P135" i="4"/>
  <c r="S134" i="4"/>
  <c r="P134" i="4"/>
  <c r="S133" i="4"/>
  <c r="P133" i="4"/>
  <c r="S132" i="4"/>
  <c r="S131" i="4"/>
  <c r="S130" i="4"/>
  <c r="P130" i="4"/>
  <c r="S129" i="4"/>
  <c r="P129" i="4"/>
  <c r="S128" i="4"/>
  <c r="P128" i="4"/>
  <c r="S127" i="4"/>
  <c r="P127" i="4"/>
  <c r="S126" i="4"/>
  <c r="P126" i="4"/>
  <c r="S125" i="4"/>
  <c r="P125" i="4"/>
  <c r="S124" i="4"/>
  <c r="P124" i="4"/>
  <c r="S123" i="4"/>
  <c r="P123" i="4"/>
  <c r="S122" i="4"/>
  <c r="P122" i="4"/>
  <c r="S121" i="4"/>
  <c r="P121" i="4"/>
  <c r="S120" i="4"/>
  <c r="P120" i="4"/>
  <c r="S119" i="4"/>
  <c r="P119" i="4"/>
  <c r="S118" i="4"/>
  <c r="P118" i="4"/>
  <c r="S117" i="4"/>
  <c r="P117" i="4"/>
  <c r="S116" i="4"/>
  <c r="P116" i="4"/>
  <c r="S115" i="4"/>
  <c r="P115" i="4"/>
  <c r="S114" i="4"/>
  <c r="P114" i="4"/>
  <c r="S113" i="4"/>
  <c r="P113" i="4"/>
  <c r="S112" i="4"/>
  <c r="P112" i="4"/>
  <c r="S111" i="4"/>
  <c r="P111" i="4"/>
  <c r="S110" i="4"/>
  <c r="P110" i="4"/>
  <c r="S109" i="4"/>
  <c r="P109" i="4"/>
  <c r="S108" i="4"/>
  <c r="P108" i="4"/>
  <c r="S107" i="4"/>
  <c r="P107" i="4"/>
  <c r="S106" i="4"/>
  <c r="S105" i="4"/>
  <c r="S104" i="4"/>
  <c r="P104" i="4"/>
  <c r="S103" i="4"/>
  <c r="P103" i="4"/>
  <c r="S102" i="4"/>
  <c r="P102" i="4"/>
  <c r="S101" i="4"/>
  <c r="P101" i="4"/>
  <c r="S100" i="4"/>
  <c r="P100" i="4"/>
  <c r="S99" i="4"/>
  <c r="P99" i="4"/>
  <c r="S98" i="4"/>
  <c r="P98" i="4"/>
  <c r="S97" i="4"/>
  <c r="P97" i="4"/>
  <c r="S96" i="4"/>
  <c r="P96" i="4"/>
  <c r="S95" i="4"/>
  <c r="P95" i="4"/>
  <c r="S94" i="4"/>
  <c r="P94" i="4"/>
  <c r="S93" i="4"/>
  <c r="P93" i="4"/>
  <c r="S92" i="4"/>
  <c r="P92" i="4"/>
  <c r="S91" i="4"/>
  <c r="P91" i="4"/>
  <c r="S90" i="4"/>
  <c r="P90" i="4"/>
  <c r="S89" i="4"/>
  <c r="P89" i="4"/>
  <c r="S88" i="4"/>
  <c r="P88" i="4"/>
  <c r="S87" i="4"/>
  <c r="P87" i="4"/>
  <c r="S86" i="4"/>
  <c r="P86" i="4"/>
  <c r="S85" i="4"/>
  <c r="P85" i="4"/>
  <c r="S84" i="4"/>
  <c r="P84" i="4"/>
  <c r="S83" i="4"/>
  <c r="P83" i="4"/>
  <c r="S82" i="4"/>
  <c r="P82" i="4"/>
  <c r="S81" i="4"/>
  <c r="P81" i="4"/>
  <c r="S80" i="4"/>
  <c r="S79" i="4"/>
  <c r="S78" i="4"/>
  <c r="P78" i="4"/>
  <c r="S77" i="4"/>
  <c r="P77" i="4"/>
  <c r="S76" i="4"/>
  <c r="P76" i="4"/>
  <c r="S75" i="4"/>
  <c r="P75" i="4"/>
  <c r="S74" i="4"/>
  <c r="P74" i="4"/>
  <c r="S73" i="4"/>
  <c r="P73" i="4"/>
  <c r="S72" i="4"/>
  <c r="P72" i="4"/>
  <c r="S71" i="4"/>
  <c r="P71" i="4"/>
  <c r="S70" i="4"/>
  <c r="P70" i="4"/>
  <c r="S69" i="4"/>
  <c r="P69" i="4"/>
  <c r="S68" i="4"/>
  <c r="P68" i="4"/>
  <c r="S67" i="4"/>
  <c r="P67" i="4"/>
  <c r="S66" i="4"/>
  <c r="P66" i="4"/>
  <c r="S65" i="4"/>
  <c r="P65" i="4"/>
  <c r="S64" i="4"/>
  <c r="P64" i="4"/>
  <c r="S63" i="4"/>
  <c r="P63" i="4"/>
  <c r="S62" i="4"/>
  <c r="P62" i="4"/>
  <c r="S61" i="4"/>
  <c r="P61" i="4"/>
  <c r="S60" i="4"/>
  <c r="P60" i="4"/>
  <c r="S59" i="4"/>
  <c r="P59" i="4"/>
  <c r="S58" i="4"/>
  <c r="P58" i="4"/>
  <c r="S57" i="4"/>
  <c r="P57" i="4"/>
  <c r="S56" i="4"/>
  <c r="P56" i="4"/>
  <c r="S55" i="4"/>
  <c r="P55" i="4"/>
  <c r="D373" i="4" l="1"/>
  <c r="S28" i="4" l="1"/>
  <c r="S29" i="4"/>
  <c r="S30" i="4"/>
  <c r="S31" i="4"/>
  <c r="S32" i="4"/>
  <c r="S33" i="4"/>
  <c r="S34" i="4"/>
  <c r="S35" i="4"/>
  <c r="S36" i="4"/>
  <c r="S37" i="4"/>
  <c r="S38" i="4"/>
  <c r="S39" i="4"/>
  <c r="S40" i="4"/>
  <c r="S41" i="4"/>
  <c r="S42" i="4"/>
  <c r="S43" i="4"/>
  <c r="S44" i="4"/>
  <c r="S45" i="4"/>
  <c r="S46" i="4"/>
  <c r="S47" i="4"/>
  <c r="S48" i="4"/>
  <c r="S49" i="4"/>
  <c r="S50" i="4"/>
  <c r="S51" i="4"/>
  <c r="S52" i="4"/>
  <c r="S53" i="4"/>
  <c r="S54" i="4"/>
  <c r="P54" i="4"/>
  <c r="D365" i="4" s="1"/>
  <c r="S3" i="4"/>
  <c r="S4" i="4"/>
  <c r="S5" i="4"/>
  <c r="S6" i="4"/>
  <c r="S7" i="4"/>
  <c r="S8" i="4"/>
  <c r="S9" i="4"/>
  <c r="S10" i="4"/>
  <c r="S11" i="4"/>
  <c r="S12" i="4"/>
  <c r="S13" i="4"/>
  <c r="S14" i="4"/>
  <c r="S15" i="4"/>
  <c r="S16" i="4"/>
  <c r="S17" i="4"/>
  <c r="S18" i="4"/>
  <c r="S19" i="4"/>
  <c r="S20" i="4"/>
  <c r="S21" i="4"/>
  <c r="S22" i="4"/>
  <c r="S23" i="4"/>
  <c r="S24" i="4"/>
  <c r="S25" i="4"/>
  <c r="S26" i="4"/>
  <c r="S27" i="4"/>
  <c r="S2" i="4"/>
  <c r="K27" i="1"/>
  <c r="E244" i="3"/>
  <c r="D250" i="3"/>
  <c r="D251" i="3" s="1"/>
  <c r="D249" i="3"/>
  <c r="D248" i="3"/>
  <c r="D247" i="3"/>
  <c r="E247" i="3" s="1"/>
  <c r="D246" i="3"/>
  <c r="E246" i="3" s="1"/>
  <c r="D245" i="3"/>
  <c r="E245" i="3" s="1"/>
  <c r="D244" i="3"/>
  <c r="D243"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15" i="3"/>
  <c r="S116" i="3"/>
  <c r="S117" i="3"/>
  <c r="S118" i="3"/>
  <c r="S119" i="3"/>
  <c r="S120" i="3"/>
  <c r="S121" i="3"/>
  <c r="S122" i="3"/>
  <c r="S123" i="3"/>
  <c r="S124" i="3"/>
  <c r="S125" i="3"/>
  <c r="S126" i="3"/>
  <c r="S127" i="3"/>
  <c r="S128" i="3"/>
  <c r="S129" i="3"/>
  <c r="S130" i="3"/>
  <c r="S131" i="3"/>
  <c r="S132" i="3"/>
  <c r="S133" i="3"/>
  <c r="S134" i="3"/>
  <c r="S135" i="3"/>
  <c r="S136" i="3"/>
  <c r="S137" i="3"/>
  <c r="S96" i="3"/>
  <c r="S97" i="3"/>
  <c r="S98" i="3"/>
  <c r="S99" i="3"/>
  <c r="S100" i="3"/>
  <c r="S101" i="3"/>
  <c r="S102" i="3"/>
  <c r="S103" i="3"/>
  <c r="S104" i="3"/>
  <c r="S105" i="3"/>
  <c r="S106" i="3"/>
  <c r="S107" i="3"/>
  <c r="S108" i="3"/>
  <c r="S109" i="3"/>
  <c r="S110" i="3"/>
  <c r="S111" i="3"/>
  <c r="S112" i="3"/>
  <c r="S113" i="3"/>
  <c r="S114" i="3"/>
  <c r="S78" i="3"/>
  <c r="S79" i="3"/>
  <c r="S80" i="3"/>
  <c r="S81" i="3"/>
  <c r="S82" i="3"/>
  <c r="S83" i="3"/>
  <c r="S84" i="3"/>
  <c r="S85" i="3"/>
  <c r="S86" i="3"/>
  <c r="S87" i="3"/>
  <c r="S88" i="3"/>
  <c r="S89" i="3"/>
  <c r="S90" i="3"/>
  <c r="S91" i="3"/>
  <c r="S92" i="3"/>
  <c r="S93" i="3"/>
  <c r="S94" i="3"/>
  <c r="S95" i="3"/>
  <c r="S53" i="3"/>
  <c r="S54" i="3"/>
  <c r="S55" i="3"/>
  <c r="S56" i="3"/>
  <c r="S57" i="3"/>
  <c r="S58" i="3"/>
  <c r="S59" i="3"/>
  <c r="S60" i="3"/>
  <c r="S61" i="3"/>
  <c r="S62" i="3"/>
  <c r="S63" i="3"/>
  <c r="S64" i="3"/>
  <c r="S65" i="3"/>
  <c r="S66" i="3"/>
  <c r="S67" i="3"/>
  <c r="S68" i="3"/>
  <c r="S69" i="3"/>
  <c r="S70" i="3"/>
  <c r="S71" i="3"/>
  <c r="S72" i="3"/>
  <c r="S73" i="3"/>
  <c r="S74" i="3"/>
  <c r="S75" i="3"/>
  <c r="S76" i="3"/>
  <c r="S77" i="3"/>
  <c r="S27" i="3"/>
  <c r="S28" i="3"/>
  <c r="S29" i="3"/>
  <c r="S30" i="3"/>
  <c r="S31" i="3"/>
  <c r="S32" i="3"/>
  <c r="S33" i="3"/>
  <c r="S34" i="3"/>
  <c r="S35" i="3"/>
  <c r="S36" i="3"/>
  <c r="S37" i="3"/>
  <c r="S38" i="3"/>
  <c r="S39" i="3"/>
  <c r="S40" i="3"/>
  <c r="S41" i="3"/>
  <c r="S42" i="3"/>
  <c r="S43" i="3"/>
  <c r="S44" i="3"/>
  <c r="S45" i="3"/>
  <c r="S46" i="3"/>
  <c r="S47" i="3"/>
  <c r="S48" i="3"/>
  <c r="S49" i="3"/>
  <c r="S50" i="3"/>
  <c r="S51" i="3"/>
  <c r="S52" i="3"/>
  <c r="S3" i="3"/>
  <c r="S4" i="3"/>
  <c r="S5" i="3"/>
  <c r="S6" i="3"/>
  <c r="S7" i="3"/>
  <c r="S8" i="3"/>
  <c r="S9" i="3"/>
  <c r="S10" i="3"/>
  <c r="S11" i="3"/>
  <c r="S12" i="3"/>
  <c r="S13" i="3"/>
  <c r="S14" i="3"/>
  <c r="S15" i="3"/>
  <c r="S16" i="3"/>
  <c r="S17" i="3"/>
  <c r="S18" i="3"/>
  <c r="S19" i="3"/>
  <c r="S20" i="3"/>
  <c r="S21" i="3"/>
  <c r="S22" i="3"/>
  <c r="S23" i="3"/>
  <c r="S24" i="3"/>
  <c r="S25" i="3"/>
  <c r="S26" i="3"/>
  <c r="S2" i="3"/>
  <c r="E188" i="2" l="1"/>
  <c r="K14" i="1"/>
  <c r="D192" i="2"/>
  <c r="D191" i="2"/>
  <c r="D190" i="2"/>
  <c r="E190" i="2" s="1"/>
  <c r="D189" i="2"/>
  <c r="E189" i="2" s="1"/>
  <c r="D188" i="2"/>
  <c r="D187" i="2"/>
  <c r="E187" i="2" s="1"/>
  <c r="D186" i="2"/>
  <c r="S161" i="2"/>
  <c r="S162" i="2"/>
  <c r="S163" i="2"/>
  <c r="S164" i="2"/>
  <c r="S165" i="2"/>
  <c r="S166" i="2"/>
  <c r="S167" i="2"/>
  <c r="S168" i="2"/>
  <c r="S169" i="2"/>
  <c r="S170" i="2"/>
  <c r="S171" i="2"/>
  <c r="S172" i="2"/>
  <c r="S173" i="2"/>
  <c r="S174" i="2"/>
  <c r="S175" i="2"/>
  <c r="S176" i="2"/>
  <c r="S177" i="2"/>
  <c r="S178" i="2"/>
  <c r="S179" i="2"/>
  <c r="S180" i="2"/>
  <c r="S181" i="2"/>
  <c r="S182" i="2"/>
  <c r="S183" i="2"/>
  <c r="S138" i="2"/>
  <c r="S139" i="2"/>
  <c r="S140" i="2"/>
  <c r="S141" i="2"/>
  <c r="S142" i="2"/>
  <c r="S143" i="2"/>
  <c r="S144" i="2"/>
  <c r="S145" i="2"/>
  <c r="S146" i="2"/>
  <c r="S147" i="2"/>
  <c r="S148" i="2"/>
  <c r="S149" i="2"/>
  <c r="S150" i="2"/>
  <c r="S151" i="2"/>
  <c r="S152" i="2"/>
  <c r="S153" i="2"/>
  <c r="S154" i="2"/>
  <c r="S155" i="2"/>
  <c r="S156" i="2"/>
  <c r="S157" i="2"/>
  <c r="S158" i="2"/>
  <c r="S159" i="2"/>
  <c r="S160" i="2"/>
  <c r="S114" i="2"/>
  <c r="S115" i="2"/>
  <c r="S116" i="2"/>
  <c r="S117" i="2"/>
  <c r="S118" i="2"/>
  <c r="S119" i="2"/>
  <c r="S120" i="2"/>
  <c r="S121" i="2"/>
  <c r="S122" i="2"/>
  <c r="S123" i="2"/>
  <c r="S124" i="2"/>
  <c r="S125" i="2"/>
  <c r="S126" i="2"/>
  <c r="S127" i="2"/>
  <c r="S128" i="2"/>
  <c r="S129" i="2"/>
  <c r="S130" i="2"/>
  <c r="S131" i="2"/>
  <c r="S132" i="2"/>
  <c r="S133" i="2"/>
  <c r="S134" i="2"/>
  <c r="S135" i="2"/>
  <c r="S136" i="2"/>
  <c r="S13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75" i="2"/>
  <c r="S76" i="2"/>
  <c r="S77" i="2"/>
  <c r="S78" i="2"/>
  <c r="S79" i="2"/>
  <c r="S80" i="2"/>
  <c r="S81" i="2"/>
  <c r="S82" i="2"/>
  <c r="S83" i="2"/>
  <c r="S84" i="2"/>
  <c r="S85" i="2"/>
  <c r="S86" i="2"/>
  <c r="S87" i="2"/>
  <c r="S53" i="2"/>
  <c r="S54" i="2"/>
  <c r="S55" i="2"/>
  <c r="S56" i="2"/>
  <c r="S57" i="2"/>
  <c r="S58" i="2"/>
  <c r="S59" i="2"/>
  <c r="S60" i="2"/>
  <c r="S61" i="2"/>
  <c r="S62" i="2"/>
  <c r="S63" i="2"/>
  <c r="S64" i="2"/>
  <c r="S65" i="2"/>
  <c r="S66" i="2"/>
  <c r="S67" i="2"/>
  <c r="S68" i="2"/>
  <c r="S69" i="2"/>
  <c r="S70" i="2"/>
  <c r="S71" i="2"/>
  <c r="S72" i="2"/>
  <c r="S73" i="2"/>
  <c r="S74" i="2"/>
  <c r="S52" i="2"/>
  <c r="K15" i="1"/>
  <c r="S24" i="2"/>
  <c r="S23" i="2"/>
  <c r="S22" i="2"/>
  <c r="P22" i="2"/>
  <c r="S21" i="2"/>
  <c r="P21" i="2"/>
  <c r="S20" i="2"/>
  <c r="P20" i="2"/>
  <c r="S19" i="2"/>
  <c r="P19" i="2"/>
  <c r="S18" i="2"/>
  <c r="P18" i="2"/>
  <c r="S17" i="2"/>
  <c r="P17" i="2"/>
  <c r="R16" i="2"/>
  <c r="S16" i="2" s="1"/>
  <c r="P16" i="2"/>
  <c r="S15" i="2"/>
  <c r="S14" i="2"/>
  <c r="S13" i="2"/>
  <c r="S12" i="2"/>
  <c r="S11" i="2"/>
  <c r="S10" i="2"/>
  <c r="S9" i="2"/>
  <c r="S8" i="2"/>
  <c r="S7" i="2"/>
  <c r="S6" i="2"/>
  <c r="S5" i="2"/>
  <c r="S4" i="2"/>
  <c r="S3" i="2"/>
  <c r="S2" i="2"/>
  <c r="S32" i="2"/>
  <c r="S33" i="2"/>
  <c r="S34" i="2"/>
  <c r="S35" i="2"/>
  <c r="S36" i="2"/>
  <c r="S37" i="2"/>
  <c r="S38" i="2"/>
  <c r="S39" i="2"/>
  <c r="S40" i="2"/>
  <c r="S41" i="2"/>
  <c r="S42" i="2"/>
  <c r="S43" i="2"/>
  <c r="S44" i="2"/>
  <c r="S45" i="2"/>
  <c r="S46" i="2"/>
  <c r="S47" i="2"/>
  <c r="S49" i="2"/>
  <c r="S48" i="2"/>
  <c r="S31" i="2"/>
  <c r="S30" i="2"/>
  <c r="S29" i="2"/>
  <c r="S28" i="2"/>
  <c r="S27" i="2"/>
  <c r="S26" i="2"/>
  <c r="S25" i="2"/>
  <c r="D193" i="2" l="1"/>
  <c r="D194" i="2" s="1"/>
  <c r="K25" i="1"/>
  <c r="K24" i="1"/>
  <c r="K20" i="1"/>
  <c r="K21" i="1"/>
  <c r="K22" i="1"/>
  <c r="K23" i="1"/>
  <c r="K19" i="1"/>
  <c r="K18" i="1"/>
  <c r="K17" i="1"/>
  <c r="K16" i="1"/>
  <c r="K2" i="1"/>
  <c r="K26" i="1" l="1"/>
</calcChain>
</file>

<file path=xl/sharedStrings.xml><?xml version="1.0" encoding="utf-8"?>
<sst xmlns="http://schemas.openxmlformats.org/spreadsheetml/2006/main" count="20333" uniqueCount="3035">
  <si>
    <t>May</t>
  </si>
  <si>
    <t>June</t>
  </si>
  <si>
    <t>July</t>
  </si>
  <si>
    <t>August</t>
  </si>
  <si>
    <t>September</t>
  </si>
  <si>
    <t>October</t>
  </si>
  <si>
    <t>November</t>
  </si>
  <si>
    <t>December</t>
  </si>
  <si>
    <t>Total</t>
  </si>
  <si>
    <t>จำนวนตัวอย่างที่ตรวจ</t>
  </si>
  <si>
    <t>ต้นทุนเฉลี่ยต่อตัวอย่าง</t>
  </si>
  <si>
    <t>ต้นทุนน้ำยา</t>
  </si>
  <si>
    <t>จำนวน Repeat</t>
  </si>
  <si>
    <t>จำนวน Resampling</t>
  </si>
  <si>
    <t>จำนวน High Risk</t>
  </si>
  <si>
    <t>จำนวน Refund</t>
  </si>
  <si>
    <t>ยอดขาย</t>
  </si>
  <si>
    <t>กำไร (หักต้นทุนน้ำยา)</t>
  </si>
  <si>
    <t>จำนวนรอบที่รัน</t>
  </si>
  <si>
    <t>TAT เฉลี่ย</t>
  </si>
  <si>
    <t>No.</t>
  </si>
  <si>
    <t>BRIA LN</t>
  </si>
  <si>
    <t>Name-Surname</t>
  </si>
  <si>
    <t>Hospital/Clinic</t>
  </si>
  <si>
    <t>Doctor Name</t>
  </si>
  <si>
    <t>Sales</t>
  </si>
  <si>
    <t>NIPT Package</t>
  </si>
  <si>
    <t>Batch</t>
  </si>
  <si>
    <t>sampleID</t>
  </si>
  <si>
    <t>Date of Draw</t>
  </si>
  <si>
    <t>Received Date</t>
  </si>
  <si>
    <t>Reporting Date</t>
  </si>
  <si>
    <t>QC</t>
  </si>
  <si>
    <t>Result</t>
  </si>
  <si>
    <t>Note</t>
  </si>
  <si>
    <t>TAT</t>
  </si>
  <si>
    <t>Cost</t>
  </si>
  <si>
    <t>Price</t>
  </si>
  <si>
    <t>Gain</t>
  </si>
  <si>
    <t>Nuntida Boonnaim</t>
  </si>
  <si>
    <t>BRIA Health Center</t>
  </si>
  <si>
    <t>N/A</t>
  </si>
  <si>
    <t>BHC</t>
  </si>
  <si>
    <t>Advanced</t>
  </si>
  <si>
    <t>NIPT20250508</t>
  </si>
  <si>
    <t>FAIL</t>
  </si>
  <si>
    <t>Resampling</t>
  </si>
  <si>
    <t>Low unique reads (Repeat #2)</t>
  </si>
  <si>
    <t>Sukanda Wapanang</t>
  </si>
  <si>
    <t>Arunrat Clinic</t>
  </si>
  <si>
    <t>Arunrat Ungkarud</t>
  </si>
  <si>
    <t>Bombam</t>
  </si>
  <si>
    <t>Standard</t>
  </si>
  <si>
    <t>Pass</t>
  </si>
  <si>
    <t>Low risk</t>
  </si>
  <si>
    <t>Siriphon Tiengrat</t>
  </si>
  <si>
    <t>Kongkrailat Hospital</t>
  </si>
  <si>
    <t>Sattawat Boujorn</t>
  </si>
  <si>
    <t>Ai</t>
  </si>
  <si>
    <t>Jomkwan Samart</t>
  </si>
  <si>
    <t>Thitikarn Clinic</t>
  </si>
  <si>
    <t>Thitikarn Lerthiranwong</t>
  </si>
  <si>
    <t>Ake</t>
  </si>
  <si>
    <t>Chanapa Janantho</t>
  </si>
  <si>
    <t>Pongsun Clinic</t>
  </si>
  <si>
    <t>Pongsun Puntachai</t>
  </si>
  <si>
    <t>Aom</t>
  </si>
  <si>
    <t>XO</t>
  </si>
  <si>
    <t>Nutnaree Kanprom</t>
  </si>
  <si>
    <t>Patanabutr Clinic</t>
  </si>
  <si>
    <t>Jararath Prechapanich</t>
  </si>
  <si>
    <t>Porn</t>
  </si>
  <si>
    <t>Sitaphat Nimthong</t>
  </si>
  <si>
    <t>Nawabutr</t>
  </si>
  <si>
    <t>Yuen Tannirandorn</t>
  </si>
  <si>
    <t>Basic</t>
  </si>
  <si>
    <t>Sutima Tunwongsa</t>
  </si>
  <si>
    <t>Sukanya Clinic</t>
  </si>
  <si>
    <t>Sukanya Mokkongphai</t>
  </si>
  <si>
    <t>Aoy</t>
  </si>
  <si>
    <t>Sumalin Pinthong</t>
  </si>
  <si>
    <t>Anutsara Piraksa</t>
  </si>
  <si>
    <t>Jaree Wasuwat</t>
  </si>
  <si>
    <t>Siriporn Clinic</t>
  </si>
  <si>
    <t>Siriporn Trainak</t>
  </si>
  <si>
    <t>Atcharaphan Munyot</t>
  </si>
  <si>
    <t>Padriew X-Ray Lab Clinic</t>
  </si>
  <si>
    <t>Nasreen</t>
  </si>
  <si>
    <t>Phutsarat Muenluek</t>
  </si>
  <si>
    <t>Clinicmhoreve</t>
  </si>
  <si>
    <t>Natkritta Pinyoanantapong</t>
  </si>
  <si>
    <t>Mayphakkaporn Fuengthongakkharat</t>
  </si>
  <si>
    <t>Klaimor medical clinic</t>
  </si>
  <si>
    <t>Suwanchai Chairatchaneeboon</t>
  </si>
  <si>
    <t>Repeat</t>
  </si>
  <si>
    <t>XO+XY(XY 3.07&lt;6)</t>
  </si>
  <si>
    <t>Alisara Settemi</t>
  </si>
  <si>
    <t>CGH Phaholyothin</t>
  </si>
  <si>
    <t>Supreecha Leksuwan</t>
  </si>
  <si>
    <t>Kamiga Thongma</t>
  </si>
  <si>
    <t>Phisamai Nakrong</t>
  </si>
  <si>
    <t>XO+XY(XY 3.03&lt;6)</t>
  </si>
  <si>
    <t>Vivanthanee Seekaewtangwong</t>
  </si>
  <si>
    <t>Muang Samut Paknam Hospital</t>
  </si>
  <si>
    <t>Yongyuth Siripoke</t>
  </si>
  <si>
    <t>Rujira Poonsawat</t>
  </si>
  <si>
    <t>Tharanya Poonsawat</t>
  </si>
  <si>
    <t>Aram Clinic</t>
  </si>
  <si>
    <t>Aram Thapsamutdechakorn</t>
  </si>
  <si>
    <t>Noo</t>
  </si>
  <si>
    <t>Orabul Jaikaew</t>
  </si>
  <si>
    <t>Phatcharee Sathuean</t>
  </si>
  <si>
    <t xml:space="preserve">Khankham Seeornta </t>
  </si>
  <si>
    <t>NC20250508</t>
  </si>
  <si>
    <t>PC20250508</t>
  </si>
  <si>
    <t>Validation</t>
  </si>
  <si>
    <t>S1</t>
  </si>
  <si>
    <t>NIPT20250505</t>
  </si>
  <si>
    <t>S3</t>
  </si>
  <si>
    <t>S7</t>
  </si>
  <si>
    <t>B1</t>
  </si>
  <si>
    <t>B5</t>
  </si>
  <si>
    <t>B8</t>
  </si>
  <si>
    <t>B7</t>
  </si>
  <si>
    <t>B10</t>
  </si>
  <si>
    <t>S6</t>
  </si>
  <si>
    <t>S9</t>
  </si>
  <si>
    <t>P3</t>
  </si>
  <si>
    <t>P1</t>
  </si>
  <si>
    <t>Low unique rate</t>
  </si>
  <si>
    <t>NC20250505</t>
  </si>
  <si>
    <t>PC20250505</t>
  </si>
  <si>
    <t>NIPT20250513</t>
  </si>
  <si>
    <t>Repeat #2 XY</t>
  </si>
  <si>
    <t>Naichheng Kaing</t>
  </si>
  <si>
    <t xml:space="preserve">Ploypetch Benjakul </t>
  </si>
  <si>
    <t>Akegapot Clinic</t>
  </si>
  <si>
    <t xml:space="preserve">Akegapot Anantaworapot </t>
  </si>
  <si>
    <t>Onrawan Sakulwa</t>
  </si>
  <si>
    <t>Chaiaroon Vechagarn Hospital</t>
  </si>
  <si>
    <t xml:space="preserve">Punyaphorn Laohachaiaroon </t>
  </si>
  <si>
    <t>Golf</t>
  </si>
  <si>
    <t>Nalat Kongsang</t>
  </si>
  <si>
    <t>T1 4.5&lt;4.64&lt;8, Cri-du-chat&gt;6.83, QS fail</t>
  </si>
  <si>
    <t xml:space="preserve">Peeraya Aimaunchot </t>
  </si>
  <si>
    <t xml:space="preserve">Konwimon Boonsuttha </t>
  </si>
  <si>
    <t>Panida Pulpaem</t>
  </si>
  <si>
    <t xml:space="preserve">Anchali Clinic </t>
  </si>
  <si>
    <t xml:space="preserve">Anchali Phusong </t>
  </si>
  <si>
    <t>Pantiwa Kountai</t>
  </si>
  <si>
    <t xml:space="preserve">Phiraphan Dhiramith </t>
  </si>
  <si>
    <t>Piyanud Krueted</t>
  </si>
  <si>
    <t>Chalita Sangobjit</t>
  </si>
  <si>
    <t>Rucha Clinic</t>
  </si>
  <si>
    <t>Rucha Thangjittham</t>
  </si>
  <si>
    <t>Sumanee Sukhee</t>
  </si>
  <si>
    <t>Sunitra Suksing</t>
  </si>
  <si>
    <t xml:space="preserve">Patamavadee Inpang </t>
  </si>
  <si>
    <t>Jiraporn Lorlom</t>
  </si>
  <si>
    <t>WALK IN / เงินสด (NICE)</t>
  </si>
  <si>
    <t xml:space="preserve">Chanida Tongman </t>
  </si>
  <si>
    <t xml:space="preserve">Phakaiporn Clinic </t>
  </si>
  <si>
    <t xml:space="preserve">Phakaiporn Moonkul </t>
  </si>
  <si>
    <t>Refund</t>
  </si>
  <si>
    <t>Low unique reads (Resampling #1)</t>
  </si>
  <si>
    <t xml:space="preserve">Anonglak Paopaeng </t>
  </si>
  <si>
    <t xml:space="preserve">Jaruwan Janda </t>
  </si>
  <si>
    <t>Doctor Ing - Doctor Im Clinic Singburi</t>
  </si>
  <si>
    <t xml:space="preserve">Watchariya Pornprasertsuk </t>
  </si>
  <si>
    <t>Tukta</t>
  </si>
  <si>
    <t xml:space="preserve">Radchadaporn Pothiya </t>
  </si>
  <si>
    <t xml:space="preserve">Weephichanan Somboon </t>
  </si>
  <si>
    <t xml:space="preserve">Titayapon Chirajeungkaankun </t>
  </si>
  <si>
    <t>NC20250513</t>
  </si>
  <si>
    <t>PC20250513</t>
  </si>
  <si>
    <t>NIPT20250515</t>
  </si>
  <si>
    <t>Navaporn Noihad</t>
  </si>
  <si>
    <t xml:space="preserve">CGH Phaholyothin </t>
  </si>
  <si>
    <t xml:space="preserve">Nanthida Pechtabtim </t>
  </si>
  <si>
    <t>Youkfa Clinic</t>
  </si>
  <si>
    <t xml:space="preserve">Narong Thanakitworapiboon </t>
  </si>
  <si>
    <t xml:space="preserve">Nipapron Rayabsri </t>
  </si>
  <si>
    <t xml:space="preserve">Prapapan Kaewmanee </t>
  </si>
  <si>
    <t xml:space="preserve">Angthong Vechakarn 2 hospital </t>
  </si>
  <si>
    <t xml:space="preserve">Kantaphat Aekboonyasawat </t>
  </si>
  <si>
    <t>XO+XY(XY 3.08&lt;6)</t>
  </si>
  <si>
    <t xml:space="preserve">Saengduan Thaweeawai </t>
  </si>
  <si>
    <t xml:space="preserve">Kanchana Somchit </t>
  </si>
  <si>
    <t xml:space="preserve">Kunnarat Kumklongyong </t>
  </si>
  <si>
    <t xml:space="preserve">The best medical Lab </t>
  </si>
  <si>
    <t>Twin</t>
  </si>
  <si>
    <t>Low fetal fraction 3.3&lt;3.5</t>
  </si>
  <si>
    <t>Apinya Saiwaw</t>
  </si>
  <si>
    <t xml:space="preserve">Rattanaporn Tungjai </t>
  </si>
  <si>
    <t xml:space="preserve">Nutchaya Phuemkul </t>
  </si>
  <si>
    <t>Repeat #2 T1 4.5&lt;4.96&lt;8, Cri-du-chat&gt;8.42, QS fail</t>
  </si>
  <si>
    <t>NC250515</t>
  </si>
  <si>
    <t>PC250515</t>
  </si>
  <si>
    <t>High Risk</t>
  </si>
  <si>
    <t>Thidar Htwe</t>
  </si>
  <si>
    <t>IVF women clinic</t>
  </si>
  <si>
    <t>Phattaraphum Phophong</t>
  </si>
  <si>
    <t>Peat</t>
  </si>
  <si>
    <t>NIPT20250519</t>
  </si>
  <si>
    <t>Janpim Huaisalthong</t>
  </si>
  <si>
    <t>Aram Thapsamuthdechakorn</t>
  </si>
  <si>
    <t>Phannatda Seeyo</t>
  </si>
  <si>
    <t>T22</t>
  </si>
  <si>
    <t>Phimporn Thepsretar</t>
  </si>
  <si>
    <t>Pakornrat Wongwanseeta</t>
  </si>
  <si>
    <t>Kingkaew Kalong</t>
  </si>
  <si>
    <t>Matinee Ampho</t>
  </si>
  <si>
    <t>Pikul Poophan</t>
  </si>
  <si>
    <t>19p13.13 microdeletion syndrome;7q11.23 deletion syndrome</t>
  </si>
  <si>
    <t>Kawintip Loekprothanchai</t>
  </si>
  <si>
    <t>Ruamlap Clinic</t>
  </si>
  <si>
    <t>Nitipon Thivakorn</t>
  </si>
  <si>
    <t>Kanokkorn Maungrad Thongplangwijit</t>
  </si>
  <si>
    <t>Thidarat Clinic</t>
  </si>
  <si>
    <t>Thidarat Malasan</t>
  </si>
  <si>
    <t>Natthinee Phet-ieam</t>
  </si>
  <si>
    <t>Piyada Kalapakdee</t>
  </si>
  <si>
    <t>Bria Health Center</t>
  </si>
  <si>
    <t>Phirada Chunlathat</t>
  </si>
  <si>
    <t>Aranya Hongsiri</t>
  </si>
  <si>
    <t>Rattanaporn Sankamluo</t>
  </si>
  <si>
    <t>Warapon Janpoy</t>
  </si>
  <si>
    <t>Titinan Torat</t>
  </si>
  <si>
    <t>Bunpot Clinic</t>
  </si>
  <si>
    <t>Bunpot Samakeenit</t>
  </si>
  <si>
    <t>Kesaree Khiew-wan</t>
  </si>
  <si>
    <t>Sirinard Kitlipaporn</t>
  </si>
  <si>
    <t>Boonchai Uerpairojkit</t>
  </si>
  <si>
    <t>Nipawan Ketraksa</t>
  </si>
  <si>
    <t>Suvadee  Raveewan</t>
  </si>
  <si>
    <t>Low unique reads - Human Error</t>
  </si>
  <si>
    <t>Chitnipa Bavornchokchai</t>
  </si>
  <si>
    <t>Unnop Jaisamrarn</t>
  </si>
  <si>
    <t>Cri-du-chat syndrome;Angelman syndrome(Type I)/Prader-Willi syndrome;Angelman syndrome(Type II)</t>
  </si>
  <si>
    <t>Prapapan Kaewmanee</t>
  </si>
  <si>
    <t>Angthong Vechakarn 2 hospital</t>
  </si>
  <si>
    <t>Kantaphat Aekboonyasawat</t>
  </si>
  <si>
    <t>Repeat #2</t>
  </si>
  <si>
    <t>NC250519</t>
  </si>
  <si>
    <t>PC250519</t>
  </si>
  <si>
    <t>Apisara Wiboonchaiyasit</t>
  </si>
  <si>
    <t>NIPT20250522</t>
  </si>
  <si>
    <t>Kanokpan Mahachanawong</t>
  </si>
  <si>
    <t>Jinnapat Thongchuang</t>
  </si>
  <si>
    <t>Chutikarn Clinic</t>
  </si>
  <si>
    <t>Chutikarn O-Sotcharoenphon</t>
  </si>
  <si>
    <t>Sukanchana Boontang</t>
  </si>
  <si>
    <t>Kanlaya Tasa</t>
  </si>
  <si>
    <t>WANTING XU</t>
  </si>
  <si>
    <t>Kanchana Pangwattanakul</t>
  </si>
  <si>
    <t>Tachinee Kraisomsuk</t>
  </si>
  <si>
    <t>Wannakan Sriboonpeng</t>
  </si>
  <si>
    <t>Master Medical Plus Clinic</t>
  </si>
  <si>
    <t>Thunyada Thiampong</t>
  </si>
  <si>
    <t>Thanradee Kotchada</t>
  </si>
  <si>
    <t>Kuntida Navongsri</t>
  </si>
  <si>
    <t>Thitiporn Chaivanidsagul</t>
  </si>
  <si>
    <t>Pattamon Rotchanakanan</t>
  </si>
  <si>
    <t>Nawabutr Siam</t>
  </si>
  <si>
    <t>Siriwan Sukpol</t>
  </si>
  <si>
    <t>Pitchaya Paisumrite</t>
  </si>
  <si>
    <t>Wanida Clinic</t>
  </si>
  <si>
    <t>Wanida Nongbualang</t>
  </si>
  <si>
    <t>T8 z-score 6.0&lt;8</t>
  </si>
  <si>
    <t>Wantanee Kanachan</t>
  </si>
  <si>
    <t>Somphol Jindamaneeruang</t>
  </si>
  <si>
    <t>Low unique rate, high GC content, Low risk T21 but ambiguous z-score 2.92</t>
  </si>
  <si>
    <t>Aunyanat Matharatanukul</t>
  </si>
  <si>
    <t>Chatnukrob Clinic</t>
  </si>
  <si>
    <t>Chatnukrob Saengsawang</t>
  </si>
  <si>
    <t>Ratree Fhangrit</t>
  </si>
  <si>
    <t>Kulpapin Sakkho</t>
  </si>
  <si>
    <t>Nipaporn Plubnim</t>
  </si>
  <si>
    <t>Wareunada Chatphaiboon</t>
  </si>
  <si>
    <t>XX Repeat #2</t>
  </si>
  <si>
    <t>NC250522</t>
  </si>
  <si>
    <t>PC250522</t>
  </si>
  <si>
    <t>Issaree Trongkamolthum</t>
  </si>
  <si>
    <t>Wichai Termrungruanglert</t>
  </si>
  <si>
    <t>NIPT20250526</t>
  </si>
  <si>
    <t>Yatawee Ruangphueng</t>
  </si>
  <si>
    <t>Apinya Kulakul</t>
  </si>
  <si>
    <t>Suprawee Daungtam</t>
  </si>
  <si>
    <t>Chainat Lab</t>
  </si>
  <si>
    <t>Prapon Soontareekullapong</t>
  </si>
  <si>
    <t>Wasamaporn Phusitkanchana</t>
  </si>
  <si>
    <t>Saowanee Tongpok</t>
  </si>
  <si>
    <t>Natnicha Suriyakitcharoen</t>
  </si>
  <si>
    <t>Kusuma Clinic</t>
  </si>
  <si>
    <t>Kusuma Boonarch</t>
  </si>
  <si>
    <t>Benjamard Jampahom</t>
  </si>
  <si>
    <t>Suddhavej Hospital</t>
  </si>
  <si>
    <t>Pawanruj Tuksanawes</t>
  </si>
  <si>
    <t>Low unique rate with high risk XO</t>
  </si>
  <si>
    <t>Kanwara Klabkhan</t>
  </si>
  <si>
    <t>Duangkamon Saunkaew</t>
  </si>
  <si>
    <t>Singburi Vechakarn Hospital</t>
  </si>
  <si>
    <t>Siroat Sukkasem</t>
  </si>
  <si>
    <t>Phawida Sakontoi</t>
  </si>
  <si>
    <t>Nittaya Sotthikonphisut</t>
  </si>
  <si>
    <t>Aungsumalin Tanark</t>
  </si>
  <si>
    <t>Nutdanai Suksawad</t>
  </si>
  <si>
    <t>Pornkanok Poyeam</t>
  </si>
  <si>
    <t>Wipawee Rungrit</t>
  </si>
  <si>
    <t>Lalita Clinic</t>
  </si>
  <si>
    <t xml:space="preserve">Lalita Songsathaporn </t>
  </si>
  <si>
    <t>Sununtha Poonyim</t>
  </si>
  <si>
    <t>I am Kaengkhoi Clinic</t>
  </si>
  <si>
    <t>unmatch T21</t>
  </si>
  <si>
    <t>Narisara Jiwyam</t>
  </si>
  <si>
    <t>Siriwan Phinsaeng</t>
  </si>
  <si>
    <t>Sumalee Jaisuedee</t>
  </si>
  <si>
    <t>T8 z-score 5.94&lt;8 Repeat #2</t>
  </si>
  <si>
    <t>NC250526</t>
  </si>
  <si>
    <t>PC250526</t>
  </si>
  <si>
    <t xml:space="preserve">Jirawan Yuwawat </t>
  </si>
  <si>
    <t>Synphaet Serirak Hospital</t>
  </si>
  <si>
    <t>Torsak Aungkananupong</t>
  </si>
  <si>
    <t>NIPT20250529</t>
  </si>
  <si>
    <t>Sainam Jirachaiwanich</t>
  </si>
  <si>
    <t>Jarassri Jankaew</t>
  </si>
  <si>
    <t>Nattaporn Clinic</t>
  </si>
  <si>
    <t xml:space="preserve">Nattaporn Pornprasertsuk </t>
  </si>
  <si>
    <t>Chonthicha Wadkaew</t>
  </si>
  <si>
    <t>Nattaporn Pornprasertsuk</t>
  </si>
  <si>
    <t>Siriwimol Chimchalong</t>
  </si>
  <si>
    <t>Low fetal fraction 3.31&lt;3.5</t>
  </si>
  <si>
    <t>Asama Chawaing</t>
  </si>
  <si>
    <t xml:space="preserve">Moe Moe Win </t>
  </si>
  <si>
    <t>Cattaleeya Saimai Clinic</t>
  </si>
  <si>
    <t>Narong Inploy</t>
  </si>
  <si>
    <t>Wimalin Wisitkul</t>
  </si>
  <si>
    <t>Mukayawimon Aksornteang</t>
  </si>
  <si>
    <t>Thannicha Sitthachokthanawat</t>
  </si>
  <si>
    <t>Monchanok Pranee</t>
  </si>
  <si>
    <t>Arisa Sukjun</t>
  </si>
  <si>
    <t>Chonlada Sontilarp</t>
  </si>
  <si>
    <t>Supalak Sawaiwan</t>
  </si>
  <si>
    <t>Tararat Kocharat</t>
  </si>
  <si>
    <t>Raynu Dokkham</t>
  </si>
  <si>
    <t>Panyananthaphikkhu Chonprathan Medical Center</t>
  </si>
  <si>
    <t xml:space="preserve">Porntita Lersbuasin </t>
  </si>
  <si>
    <t>Waraporn Saetang</t>
  </si>
  <si>
    <t>Jiraporn Medical Clinic</t>
  </si>
  <si>
    <t xml:space="preserve">Jiraporn Luengmettakul </t>
  </si>
  <si>
    <t>Suvadee Reveewan</t>
  </si>
  <si>
    <t>Repeat #3</t>
  </si>
  <si>
    <t>Nan Thandar Myint</t>
  </si>
  <si>
    <t>Wipharat Michai</t>
  </si>
  <si>
    <t>Doctor Ponyut - Doctor Suwaree Clinic</t>
  </si>
  <si>
    <t xml:space="preserve">Suwaree Sangkhavanich </t>
  </si>
  <si>
    <t>NC250529</t>
  </si>
  <si>
    <t>PC250529</t>
  </si>
  <si>
    <t>XO Repeat #2</t>
  </si>
  <si>
    <t>จำนวนน้ำยา PC/NC</t>
  </si>
  <si>
    <t>Khwanruthai Jaipheng</t>
  </si>
  <si>
    <t>PN Lab</t>
  </si>
  <si>
    <t>Fah</t>
  </si>
  <si>
    <t>NIPT20250603</t>
  </si>
  <si>
    <t>Pitsamai Phunitan</t>
  </si>
  <si>
    <t>Praiwan Konkham</t>
  </si>
  <si>
    <t>Daowthiwa Tongmanee</t>
  </si>
  <si>
    <t>Thanyarat Nanchana</t>
  </si>
  <si>
    <t>Kusuma Tunintara-art</t>
  </si>
  <si>
    <t>Salande Jumwan</t>
  </si>
  <si>
    <t>Lalitaporn Khawkham</t>
  </si>
  <si>
    <t>Chonlada Ounumpai</t>
  </si>
  <si>
    <t>Jinnapat Prachot</t>
  </si>
  <si>
    <t>Wanwaran Kanya</t>
  </si>
  <si>
    <t>Supaporn Nasinsong</t>
  </si>
  <si>
    <t>Ni Ni  Soe</t>
  </si>
  <si>
    <t>Narong Clinic</t>
  </si>
  <si>
    <t>Yaowalak Jarernkhong</t>
  </si>
  <si>
    <t xml:space="preserve">Natthamol </t>
  </si>
  <si>
    <t>Auejai Klungthong</t>
  </si>
  <si>
    <t>Chonthicha Tawapituk</t>
  </si>
  <si>
    <t>Suradej-Sureerat Clinic</t>
  </si>
  <si>
    <t>Wiphavan Suratha</t>
  </si>
  <si>
    <t>NAN AYE THIN KHAING</t>
  </si>
  <si>
    <t>Rattiya Homhual</t>
  </si>
  <si>
    <t>Kantharalak Hospital</t>
  </si>
  <si>
    <t>Kamonchanok Jokrum</t>
  </si>
  <si>
    <t>Siripassorn Yooboek</t>
  </si>
  <si>
    <t xml:space="preserve">Amonpan Chantarasang </t>
  </si>
  <si>
    <t>Low unique reads</t>
  </si>
  <si>
    <t>NC250602</t>
  </si>
  <si>
    <t>PC250602</t>
  </si>
  <si>
    <t>Supamon Prukrangrak</t>
  </si>
  <si>
    <t>Fertiva Clinic</t>
  </si>
  <si>
    <t>Anchulee Pruetiworanan</t>
  </si>
  <si>
    <t>NIPT20250605</t>
  </si>
  <si>
    <t>Piyada Khamseeta</t>
  </si>
  <si>
    <t>Khon Kaen Hospital</t>
  </si>
  <si>
    <t>Thayanee Kiatsooksathit</t>
  </si>
  <si>
    <t>Low unique reads with T5</t>
  </si>
  <si>
    <t>Manisone Sanyalack</t>
  </si>
  <si>
    <t>Umaphorn Mayoon</t>
  </si>
  <si>
    <t>Pannapat Saejaw</t>
  </si>
  <si>
    <t>Naphat Phenbal</t>
  </si>
  <si>
    <t>Lalana Ruangrit</t>
  </si>
  <si>
    <t>Bhumibol Adulyadej Hospital</t>
  </si>
  <si>
    <t>Suthasinee Mataneedol</t>
  </si>
  <si>
    <t>Nanthida Mangkang</t>
  </si>
  <si>
    <t>Teenat Kanjanasingh</t>
  </si>
  <si>
    <t>Panatda Rupchat</t>
  </si>
  <si>
    <t>Chophaka Phimphanit</t>
  </si>
  <si>
    <t>Chonnikarn Bunmueang</t>
  </si>
  <si>
    <t>Warin Yoodgket</t>
  </si>
  <si>
    <t>Patimawan Kianwong</t>
  </si>
  <si>
    <t>Nittaya Thaksin</t>
  </si>
  <si>
    <t>Onjira Phukhamon</t>
  </si>
  <si>
    <t>Thanatchaphorn Khongthong</t>
  </si>
  <si>
    <t>Malarat Lertruangpanyavut</t>
  </si>
  <si>
    <t>Supannee Chakrkhunsi</t>
  </si>
  <si>
    <t>Benjamas Kaddong</t>
  </si>
  <si>
    <t>Pimpat Chawarntunpipat</t>
  </si>
  <si>
    <t>Wannisa Julmuang</t>
  </si>
  <si>
    <t>Jeeraporn Sriwilai</t>
  </si>
  <si>
    <t>Kunnarat Kumklongyong</t>
  </si>
  <si>
    <t>Usarat Saoadiamsakol</t>
  </si>
  <si>
    <t>Resampling #1</t>
  </si>
  <si>
    <t>Suwimon Intarasing</t>
  </si>
  <si>
    <t>High quality score with T16 5.06</t>
  </si>
  <si>
    <t>Low unique rate and high quality score -Repeat 1</t>
  </si>
  <si>
    <t>High quality score 1.72 -Repeat 1</t>
  </si>
  <si>
    <t>NC250605</t>
  </si>
  <si>
    <t>PC250605</t>
  </si>
  <si>
    <t>NIPT20250607</t>
  </si>
  <si>
    <t>Low unique rate with T5- repeat 1</t>
  </si>
  <si>
    <t>Low unique rate - repeat 1</t>
  </si>
  <si>
    <t>Repeat 1</t>
  </si>
  <si>
    <t>Janjira Tongdee</t>
  </si>
  <si>
    <t>Phyathai Phaholyothin</t>
  </si>
  <si>
    <t>Suratsawadee Umnakmanee</t>
  </si>
  <si>
    <t>Sudarat Thongkampradub</t>
  </si>
  <si>
    <t>Kittinun Clinic</t>
  </si>
  <si>
    <t>Kittinun Nakpun</t>
  </si>
  <si>
    <t xml:space="preserve">T8 Resampling #1 </t>
  </si>
  <si>
    <t>Supannasa Pet-ear</t>
  </si>
  <si>
    <t>Chandrubeksa Hospital</t>
  </si>
  <si>
    <t>Monyada Pliankong</t>
  </si>
  <si>
    <t>T7</t>
  </si>
  <si>
    <t>Mayuree Phrommakovad</t>
  </si>
  <si>
    <t>Samphran Hospital</t>
  </si>
  <si>
    <t>Yanaphan Rattanakitrungruang</t>
  </si>
  <si>
    <t>Phatharaphon Songkeao</t>
  </si>
  <si>
    <t>Siriporn Chanchapmek</t>
  </si>
  <si>
    <t>WALK IN / เงินสด</t>
  </si>
  <si>
    <t>Netnapa Oonkham</t>
  </si>
  <si>
    <t>Prisana Krueajaiwang</t>
  </si>
  <si>
    <t>Central Lab Group</t>
  </si>
  <si>
    <t>Onusa Kharawanich</t>
  </si>
  <si>
    <t>Big</t>
  </si>
  <si>
    <t>Raticha Nutchanong</t>
  </si>
  <si>
    <t>Parawee Tongudai</t>
  </si>
  <si>
    <t>Kanjana Khongthon</t>
  </si>
  <si>
    <t>Yuwadee Sukaim</t>
  </si>
  <si>
    <t>Charoenkhwan Chaibuppha</t>
  </si>
  <si>
    <t>NC250607</t>
  </si>
  <si>
    <t>PC250607</t>
  </si>
  <si>
    <t>NIPT20250609</t>
  </si>
  <si>
    <t>T5 aware - Repeat 2</t>
  </si>
  <si>
    <t>Kamonwan Yuanyee</t>
  </si>
  <si>
    <t>Sgt Kamonthip Jankom</t>
  </si>
  <si>
    <t>Onjira Masanao</t>
  </si>
  <si>
    <t>Paweena Jiamthai</t>
  </si>
  <si>
    <t>Nattaya Charoensok</t>
  </si>
  <si>
    <t>A-Thittaya Buathong</t>
  </si>
  <si>
    <t>Praphatson Wongsitthiphonrong</t>
  </si>
  <si>
    <t>KP Clinic Chainat</t>
  </si>
  <si>
    <t>Kanokwan Apinsathanon</t>
  </si>
  <si>
    <t>Low fetal fraction 1.78&lt;3.5</t>
  </si>
  <si>
    <t>NC250609</t>
  </si>
  <si>
    <t>PC250609</t>
  </si>
  <si>
    <t>T8 Resampling #1 -Repeat 1</t>
  </si>
  <si>
    <t>High risk</t>
  </si>
  <si>
    <t>XO Repeat 1</t>
  </si>
  <si>
    <t>Nitchanun Tubtong</t>
  </si>
  <si>
    <t>NIPT20250612</t>
  </si>
  <si>
    <t>Tasanee Aekkawut</t>
  </si>
  <si>
    <t xml:space="preserve">Wiyada Hluangdansakul </t>
  </si>
  <si>
    <t>Patcharawalai Gleebmali</t>
  </si>
  <si>
    <t>Pattarakan Teerapunpong</t>
  </si>
  <si>
    <t>Praiya Noeithaisong</t>
  </si>
  <si>
    <t>Kanyarat Ubonmanee</t>
  </si>
  <si>
    <t>Apirida Apaisila</t>
  </si>
  <si>
    <t>Pattara Yothawong</t>
  </si>
  <si>
    <t>Panumas Auethaweechaikawin</t>
  </si>
  <si>
    <t>Amonpan Chantarasang</t>
  </si>
  <si>
    <t>Siriporn Kum-ud</t>
  </si>
  <si>
    <t>Lomsak Clinic Lab</t>
  </si>
  <si>
    <t>Rattana Teeramara</t>
  </si>
  <si>
    <t>Siriluk Sanerot</t>
  </si>
  <si>
    <t>Thanarunan Chueaket</t>
  </si>
  <si>
    <t>Prapavarin Phuemjit</t>
  </si>
  <si>
    <t>Monruadee Panson</t>
  </si>
  <si>
    <t>Silsupa Sirichai</t>
  </si>
  <si>
    <t>Japarath Prechapanich</t>
  </si>
  <si>
    <t>NC250612</t>
  </si>
  <si>
    <t>PC250612</t>
  </si>
  <si>
    <t>Kawinna Hongtong</t>
  </si>
  <si>
    <t>Home Lab Medical Technology Clinic</t>
  </si>
  <si>
    <t>Natarpa Neellapong</t>
  </si>
  <si>
    <t>NIPT20250616</t>
  </si>
  <si>
    <t>Aemon Sanemuang</t>
  </si>
  <si>
    <t>Anyamanee Phulaenut</t>
  </si>
  <si>
    <t>M-Lab</t>
  </si>
  <si>
    <t>Worapong Worachat</t>
  </si>
  <si>
    <t>Wasana Kengkantam</t>
  </si>
  <si>
    <t>BRIA Clinic (CMI)</t>
  </si>
  <si>
    <t>Phitchakunya</t>
  </si>
  <si>
    <t>CMI</t>
  </si>
  <si>
    <t>Reaksmey Vandy</t>
  </si>
  <si>
    <t>Saowalak Chuemang</t>
  </si>
  <si>
    <t>Yaraporn Inchamnong</t>
  </si>
  <si>
    <t>Jintahra Deekhuntod</t>
  </si>
  <si>
    <t>Soranun Junsawat</t>
  </si>
  <si>
    <t>Rattiyakorn Lertdee</t>
  </si>
  <si>
    <t>Paripat Sringam</t>
  </si>
  <si>
    <t>Penpisut Lorkittikul</t>
  </si>
  <si>
    <t>Wandee Kachangchaeng</t>
  </si>
  <si>
    <t>Pongpol Khuhathong</t>
  </si>
  <si>
    <t>Wilai Suchaisong</t>
  </si>
  <si>
    <t>Ladprao Hospital</t>
  </si>
  <si>
    <t>Yenrudee Poontavorn</t>
  </si>
  <si>
    <t>Wanida Wicharaphot</t>
  </si>
  <si>
    <t>Chanaphon Phodchanaprichakun</t>
  </si>
  <si>
    <t>Suparut Supparit</t>
  </si>
  <si>
    <t>Wasana Thep-Arsa</t>
  </si>
  <si>
    <t>Wanvisa Sriwiphasathit</t>
  </si>
  <si>
    <t>Kanraya Jaroensook</t>
  </si>
  <si>
    <t>Chutimon Suknon</t>
  </si>
  <si>
    <t>Newgen Diagnostics</t>
  </si>
  <si>
    <t>Wuttichai Mangchantuek</t>
  </si>
  <si>
    <t>Low fetal fraction 3.17&lt;3.5</t>
  </si>
  <si>
    <t>NC250616</t>
  </si>
  <si>
    <t>PC250616</t>
  </si>
  <si>
    <t>Sudaporn Srilalai</t>
  </si>
  <si>
    <t>NIPT20250618</t>
  </si>
  <si>
    <t>Soraya Namuangrak</t>
  </si>
  <si>
    <t>Jarunee Chinakatham</t>
  </si>
  <si>
    <t>Kamonphan kaewsai</t>
  </si>
  <si>
    <t>Apinya Atsawaphoom</t>
  </si>
  <si>
    <t>Phommachanh Thipphaphone</t>
  </si>
  <si>
    <t>Daravanh Luangkhot</t>
  </si>
  <si>
    <t>Nongkhai-wattana General Hospital</t>
  </si>
  <si>
    <t>Piriya Tuttinapanich</t>
  </si>
  <si>
    <t>Kitiya Klomkom</t>
  </si>
  <si>
    <t>Siyakan Thongbai</t>
  </si>
  <si>
    <t>Rungnapha Chindamon</t>
  </si>
  <si>
    <t>Arpassara Boonmun</t>
  </si>
  <si>
    <t>Piyanuch Boonpairood</t>
  </si>
  <si>
    <t>Nawaluk Moonsri</t>
  </si>
  <si>
    <t>Sirinapa Muangmod</t>
  </si>
  <si>
    <t>Patchara Trikut</t>
  </si>
  <si>
    <t>Z-score relatively high T21 3.26</t>
  </si>
  <si>
    <t>Yasmin Critsina</t>
  </si>
  <si>
    <t>Kochaporn Sakulnawong</t>
  </si>
  <si>
    <t>Thippimol Tumbun</t>
  </si>
  <si>
    <t>Ratchaphiphat Hospital</t>
  </si>
  <si>
    <t>Karan Veerapongset</t>
  </si>
  <si>
    <t>Pornchanok Chaihoy</t>
  </si>
  <si>
    <t>Chanathip Clinic</t>
  </si>
  <si>
    <t>Chanathip Srakaew</t>
  </si>
  <si>
    <t>Benjawan Phuangsawat</t>
  </si>
  <si>
    <t>Areeya Thapphakdee</t>
  </si>
  <si>
    <t>Phaksineephit Hongthong</t>
  </si>
  <si>
    <t>Pranangklao Hospital</t>
  </si>
  <si>
    <t>Thanatchaporn Baingam</t>
  </si>
  <si>
    <t>Janthip Kaewpan</t>
  </si>
  <si>
    <t>Nisarat Kamujandee</t>
  </si>
  <si>
    <t>NC250618</t>
  </si>
  <si>
    <t>PC250618</t>
  </si>
  <si>
    <t>Chatcha Tripaiboon</t>
  </si>
  <si>
    <t>NIPT20250623</t>
  </si>
  <si>
    <t>Ma Nang Pow</t>
  </si>
  <si>
    <t>Nopparat Rajathanee Hospital</t>
  </si>
  <si>
    <t>Saranchana Dissakorn</t>
  </si>
  <si>
    <t>THAN THAN SOE</t>
  </si>
  <si>
    <t>Chaweewan Pansiri</t>
  </si>
  <si>
    <t>Ramphai Thongboonkoed</t>
  </si>
  <si>
    <t>Renu Chanhom</t>
  </si>
  <si>
    <t>Jenjira Khongsuk</t>
  </si>
  <si>
    <t>Pitchayaphak Rungrotenapadon</t>
  </si>
  <si>
    <t>Preyanan Larbanantaphol</t>
  </si>
  <si>
    <t>Rungruedee Musika</t>
  </si>
  <si>
    <t>Narisa Sripat</t>
  </si>
  <si>
    <t>Pairaya Vongvichai</t>
  </si>
  <si>
    <t>Kanthika Chantha</t>
  </si>
  <si>
    <t>Lalita Sapsomruai</t>
  </si>
  <si>
    <t>Rungthip Chaipornpokin</t>
  </si>
  <si>
    <t>Vinidda Phanthavong</t>
  </si>
  <si>
    <t>Suriya Amornpan</t>
  </si>
  <si>
    <t>Weerawan Jaitongyoo</t>
  </si>
  <si>
    <t>Kingnarai Hospital</t>
  </si>
  <si>
    <t>Yurachat Khumsakool</t>
  </si>
  <si>
    <t>T21, XYY</t>
  </si>
  <si>
    <t>Rasita Chankaew</t>
  </si>
  <si>
    <t>Thamonwan Permsuk</t>
  </si>
  <si>
    <t>Puncharas Limanwat</t>
  </si>
  <si>
    <t>Thanchanok Madsalee</t>
  </si>
  <si>
    <t>Chalinee Suwannarangsee</t>
  </si>
  <si>
    <t>Tipparat Srinuonsalung</t>
  </si>
  <si>
    <t>Z-score relatively high T21 3.36</t>
  </si>
  <si>
    <t>NC250623</t>
  </si>
  <si>
    <t>PC250623</t>
  </si>
  <si>
    <t>Kitchawan Tawong</t>
  </si>
  <si>
    <t>NIPT20250625</t>
  </si>
  <si>
    <t>Chanikarn Tienla</t>
  </si>
  <si>
    <t>Ratchanee Ouamaiam</t>
  </si>
  <si>
    <t>Wassana Pannukul</t>
  </si>
  <si>
    <t>Sidaphone Vangvilajid</t>
  </si>
  <si>
    <t>Naw Sein Sein Htay</t>
  </si>
  <si>
    <t>Bouaphanh Simeuang</t>
  </si>
  <si>
    <t>Theenat Kanjanasingh</t>
  </si>
  <si>
    <t>Wimol Sripongpan</t>
  </si>
  <si>
    <t>Amphai Chaiananworaphon</t>
  </si>
  <si>
    <t>Salini Phaidi</t>
  </si>
  <si>
    <t>Low fetal fraction 1.68&lt;3.5</t>
  </si>
  <si>
    <t>Kimlang In</t>
  </si>
  <si>
    <t>Kajee Ruaengdach</t>
  </si>
  <si>
    <t>Chutimay Kongdam</t>
  </si>
  <si>
    <t>T18</t>
  </si>
  <si>
    <t>Patsorn Kaewpugdee</t>
  </si>
  <si>
    <t>Sujeeporn Inthamat</t>
  </si>
  <si>
    <t>Sirinya Khrueaphutthalaong</t>
  </si>
  <si>
    <t>Sikarin Hatyai Hospital</t>
  </si>
  <si>
    <t>Phatsorn Sae-lin</t>
  </si>
  <si>
    <t>NAN SAN WIN NAN NAN SAN WIN</t>
  </si>
  <si>
    <t>Katesrin Porananon</t>
  </si>
  <si>
    <t>Prakob Wongwai</t>
  </si>
  <si>
    <t>Kanlaya Aemsri</t>
  </si>
  <si>
    <t>Wiphawee Nakhuaphet</t>
  </si>
  <si>
    <t>Jutamad Samruan</t>
  </si>
  <si>
    <t>Anurak Bodhidatta</t>
  </si>
  <si>
    <t>Low fetal fraction 2.62&lt;3.5</t>
  </si>
  <si>
    <t>Chutatip Phimphakhan</t>
  </si>
  <si>
    <t>Rattanaporn Sukklin</t>
  </si>
  <si>
    <t>PC250625</t>
  </si>
  <si>
    <t>Chomapat Ditpadong</t>
  </si>
  <si>
    <t>NIPT20250628</t>
  </si>
  <si>
    <t>Rattikarn Chankhiew</t>
  </si>
  <si>
    <t>Panumas Yingprasert</t>
  </si>
  <si>
    <t>Kanittha Kitsombud</t>
  </si>
  <si>
    <t>Sokmach Sean</t>
  </si>
  <si>
    <t>Millennium IVF Clinic</t>
  </si>
  <si>
    <t>Naroemit Wonglikhitpanya</t>
  </si>
  <si>
    <t>Nutchanart Rengrad</t>
  </si>
  <si>
    <t>Ketmanee Khetkeeree</t>
  </si>
  <si>
    <t>Wisuda Kunakom</t>
  </si>
  <si>
    <t>Samita Rattana</t>
  </si>
  <si>
    <t>Amporn Srisupornkornkul</t>
  </si>
  <si>
    <t>Pol Sub Lt Rawiwan Rueangworabun</t>
  </si>
  <si>
    <t>Jiraporn Intawong</t>
  </si>
  <si>
    <t>Watchariya Pornprasertsuk</t>
  </si>
  <si>
    <t>Panudda Panuram</t>
  </si>
  <si>
    <t>Kanjira Pajeen</t>
  </si>
  <si>
    <t>Unchalee Jaibamrung</t>
  </si>
  <si>
    <t>Panita Inthachan</t>
  </si>
  <si>
    <t>Ronnarong Maneeon</t>
  </si>
  <si>
    <t>Pattamawan Jongrat</t>
  </si>
  <si>
    <t>Opas Clinic</t>
  </si>
  <si>
    <t>Opas Pathawanit</t>
  </si>
  <si>
    <t>Rattavan Kamnirat</t>
  </si>
  <si>
    <t>Supanida Jiamdam</t>
  </si>
  <si>
    <t>Monyada Pieankong</t>
  </si>
  <si>
    <t>Prapasiri Phungsai</t>
  </si>
  <si>
    <t>Walailuk Kanyapong</t>
  </si>
  <si>
    <t>Surinlak Anuchitworakan</t>
  </si>
  <si>
    <t>Wanida Jitpitak</t>
  </si>
  <si>
    <t>Wachiraporn Sagawa</t>
  </si>
  <si>
    <t>Mengrai Lab</t>
  </si>
  <si>
    <t>Suphitcha Somprasong</t>
  </si>
  <si>
    <t>Ninan</t>
  </si>
  <si>
    <t>Relibrary for verification(Z-score relatively high),chr1 positive with mosaicism, chimeric rate37.02%;Relibrary for verification, SCAXO+XY Zxy3.22</t>
  </si>
  <si>
    <t>Jarinya Jinasripool</t>
  </si>
  <si>
    <t>Cheun Clinic</t>
  </si>
  <si>
    <t>Cheun Chaotrakool</t>
  </si>
  <si>
    <t>NC250628</t>
  </si>
  <si>
    <t>PC250628</t>
  </si>
  <si>
    <t>Information</t>
  </si>
  <si>
    <t>Phen Keopaseuth</t>
  </si>
  <si>
    <t>NIPT20250701</t>
  </si>
  <si>
    <t>Siriluk Deeseekaew</t>
  </si>
  <si>
    <t>QS Fail</t>
  </si>
  <si>
    <t>Tippawan Kampan</t>
  </si>
  <si>
    <t>Chutima Pasook</t>
  </si>
  <si>
    <t>Ratchaneekorn Deeying</t>
  </si>
  <si>
    <t>Niparat Kaewwichian</t>
  </si>
  <si>
    <t>Pichamon Pitakpaiboonkul</t>
  </si>
  <si>
    <t>Nijirat Charoenchokwanich</t>
  </si>
  <si>
    <t>Apinya Rinsan</t>
  </si>
  <si>
    <t>Uraiporn Nowsungnoen</t>
  </si>
  <si>
    <t>Pradabdow Phuchuen</t>
  </si>
  <si>
    <t>Surakit Yingyuenyong</t>
  </si>
  <si>
    <t>Sasithorn Tantiwattanapanit</t>
  </si>
  <si>
    <t>Kanjana Yanfak</t>
  </si>
  <si>
    <t>Kanchana Vilakoun</t>
  </si>
  <si>
    <t>Baing An Phou</t>
  </si>
  <si>
    <t>Rattiya Prapathanachaikorn</t>
  </si>
  <si>
    <t>Sirinan Cumhong</t>
  </si>
  <si>
    <t>Wanicha Clinic</t>
  </si>
  <si>
    <t>Wanicha Sittiparn</t>
  </si>
  <si>
    <t>Pilawan Witunpan</t>
  </si>
  <si>
    <t>Saijai Dilokvidhyarat</t>
  </si>
  <si>
    <t>Darun Veruvanarux</t>
  </si>
  <si>
    <t>Nawabutr IVF</t>
  </si>
  <si>
    <t>Nuttanun Panyawongudom</t>
  </si>
  <si>
    <t>Monsopa Pookrongna</t>
  </si>
  <si>
    <t>Shelly Efendi</t>
  </si>
  <si>
    <t>Prime Fertility Center</t>
  </si>
  <si>
    <t>Poonkiat Punyamitr</t>
  </si>
  <si>
    <t>Kessarin Ruengruen</t>
  </si>
  <si>
    <t>Wassana Phubangsaeng</t>
  </si>
  <si>
    <t>QS Fail T1</t>
  </si>
  <si>
    <t>NC250701</t>
  </si>
  <si>
    <t>PC250701</t>
  </si>
  <si>
    <t>Tidarat Pasumat</t>
  </si>
  <si>
    <t>NIPT20250703</t>
  </si>
  <si>
    <t>Yuen Yung Lam</t>
  </si>
  <si>
    <t>Sukunya Jinda</t>
  </si>
  <si>
    <t>Sirijanyaporn Yoosabai</t>
  </si>
  <si>
    <t>Dueanpen Sudte</t>
  </si>
  <si>
    <t>Amporn Permpul</t>
  </si>
  <si>
    <t>Dalika Wangtapan</t>
  </si>
  <si>
    <t>Nikhom Yangkongkaew</t>
  </si>
  <si>
    <t>Intraphon Prawanna</t>
  </si>
  <si>
    <t>Kannika Bouttavong</t>
  </si>
  <si>
    <t>Nongkhai Central Lab</t>
  </si>
  <si>
    <t>Syphasouk Inthapatha</t>
  </si>
  <si>
    <t>Jiraprapa Sriyota</t>
  </si>
  <si>
    <t>Rattanaphon Khunnaphathi</t>
  </si>
  <si>
    <t>Relibrary for verification, SCAXO Zxx3.12</t>
  </si>
  <si>
    <t>Wisa Poomsaad</t>
  </si>
  <si>
    <t>Suttinee Krangthong</t>
  </si>
  <si>
    <t>Rujira Dajong</t>
  </si>
  <si>
    <t>Aye Aye Mon</t>
  </si>
  <si>
    <t>Amornrat Mongkholsrisa-ard</t>
  </si>
  <si>
    <t>Anong Kudkaew</t>
  </si>
  <si>
    <t>Chutima Chaiyamang</t>
  </si>
  <si>
    <t>Bangpakok 8 hospital</t>
  </si>
  <si>
    <t>Narumon Phanphet</t>
  </si>
  <si>
    <t>Kartsara Bubchaiya</t>
  </si>
  <si>
    <t>Chulamedic Clinic Samrong</t>
  </si>
  <si>
    <t>Onauma Maithong</t>
  </si>
  <si>
    <t>Chenchira Yiram</t>
  </si>
  <si>
    <t>QS Fail Repeat 1</t>
  </si>
  <si>
    <t>XYY</t>
  </si>
  <si>
    <t>Reanalysis - เก็บเงินเต็มจำนวนรอบสอง</t>
  </si>
  <si>
    <t>NC250703</t>
  </si>
  <si>
    <t>PC250703</t>
  </si>
  <si>
    <t>XYY Repeat 1</t>
  </si>
  <si>
    <t>Nareenad Raweewan</t>
  </si>
  <si>
    <t>Sarawalee Sirichairungrueng</t>
  </si>
  <si>
    <t>NIPT20250707</t>
  </si>
  <si>
    <t>Nipraphat Boonprasort</t>
  </si>
  <si>
    <t>Pitchayaporn Boonma</t>
  </si>
  <si>
    <t>Dr.Noppamart Clinic</t>
  </si>
  <si>
    <t>Noppamart whangteeranon</t>
  </si>
  <si>
    <t>Hareefa Yusoh</t>
  </si>
  <si>
    <t>Jiranat Boosamund</t>
  </si>
  <si>
    <t>Tuksinaporn Kanthang</t>
  </si>
  <si>
    <t>Nuttiya Clinic</t>
  </si>
  <si>
    <t>Nuttiya Rattanasirisin</t>
  </si>
  <si>
    <t>Aye Thu Zar Hlaing</t>
  </si>
  <si>
    <t>Vilawan Lutti</t>
  </si>
  <si>
    <t>Thunyanun Poonnawiwat</t>
  </si>
  <si>
    <t>Chariya Lapon</t>
  </si>
  <si>
    <t>Munlika Aupajun</t>
  </si>
  <si>
    <t>Pannipa Udomsan</t>
  </si>
  <si>
    <t>Kluay Namthai Hospital</t>
  </si>
  <si>
    <t>Preeda Kositsiri</t>
  </si>
  <si>
    <t>Rerai Thanchonnang</t>
  </si>
  <si>
    <t>Sukson Chaivirattana</t>
  </si>
  <si>
    <t>Phirawan Chaikun</t>
  </si>
  <si>
    <t>Pichai Saeton</t>
  </si>
  <si>
    <t>Sukanya Baokham</t>
  </si>
  <si>
    <t>Saowalak Kakaew</t>
  </si>
  <si>
    <t>Witchwaree Theethansiri</t>
  </si>
  <si>
    <t>Relibrary for verification(Z-score relatively high),chr20 positive with mosaicism, chimeric rate39.46%</t>
  </si>
  <si>
    <t>Wallee Pasawato</t>
  </si>
  <si>
    <t>Salinnard Yongsawat</t>
  </si>
  <si>
    <t>Relibrary for verification, SCAXXX Zxx3.16</t>
  </si>
  <si>
    <t>Areerat Wothom</t>
  </si>
  <si>
    <t>Wilasinee Sutthichot</t>
  </si>
  <si>
    <t>Kanyakarn Umnat</t>
  </si>
  <si>
    <t>Mahidol Bumrungrak Nakhonsawan Medical Center</t>
  </si>
  <si>
    <t>Chirtkiet Termkasemsan</t>
  </si>
  <si>
    <t>Kanokkorn Bunma</t>
  </si>
  <si>
    <t>Alocha Mahamat</t>
  </si>
  <si>
    <t>Piyapron Laothaworn</t>
  </si>
  <si>
    <t>NC250707</t>
  </si>
  <si>
    <t>PC250707</t>
  </si>
  <si>
    <t>Wannapa Chantakhad</t>
  </si>
  <si>
    <t>NIPT20250709</t>
  </si>
  <si>
    <t>Pornpai Oonyiay</t>
  </si>
  <si>
    <t>Suphada Kunkaew</t>
  </si>
  <si>
    <t>Yanisa Srisong</t>
  </si>
  <si>
    <t>Chutima Ngamngon</t>
  </si>
  <si>
    <t>Chayada Clinic</t>
  </si>
  <si>
    <t>Chayada Wongsuwan</t>
  </si>
  <si>
    <t>Teuy Patsanaly</t>
  </si>
  <si>
    <t>Chantanwee Rojjanaprateep</t>
  </si>
  <si>
    <t>Nisarat Nasingkhan</t>
  </si>
  <si>
    <t>Kanokporn Prasit</t>
  </si>
  <si>
    <t>CMF Lab</t>
  </si>
  <si>
    <t>Sichaphat Hirunmaikhun</t>
  </si>
  <si>
    <t>Thuy Nguyen Thi</t>
  </si>
  <si>
    <t>Supattra Moonsiri</t>
  </si>
  <si>
    <t>Kanokphich Poungsorn</t>
  </si>
  <si>
    <t>Jiraporn Puneivm</t>
  </si>
  <si>
    <t>Kantima Montree</t>
  </si>
  <si>
    <t>Atinud Narad</t>
  </si>
  <si>
    <t>Panitta Keeratikrittin</t>
  </si>
  <si>
    <t>Jhaksanaphat Suwannet</t>
  </si>
  <si>
    <t>Sirinan Phuangthong</t>
  </si>
  <si>
    <t>Banmorh Clinic (ChiangKham, Phayao)</t>
  </si>
  <si>
    <t>Chanaphat Tarat</t>
  </si>
  <si>
    <t>Onanong Pattana</t>
  </si>
  <si>
    <t>Sreysross Sok</t>
  </si>
  <si>
    <t>Kesinee Sapphilai</t>
  </si>
  <si>
    <t>Resampling for verification(Z-score relatively high),chr20 positive with mosaicism, chimeric rate39.46%</t>
  </si>
  <si>
    <t>Natkritta Chochong</t>
  </si>
  <si>
    <t>NIPT20250710</t>
  </si>
  <si>
    <t xml:space="preserve">Khaing Khin Chue </t>
  </si>
  <si>
    <t>Merin Pongkan</t>
  </si>
  <si>
    <t>Supatcharee Nopnaruemit</t>
  </si>
  <si>
    <t>Siriluk Yuenyao</t>
  </si>
  <si>
    <t>Jittawee Meerat</t>
  </si>
  <si>
    <t>Supattra Areeaue</t>
  </si>
  <si>
    <t>Thidarat Duangsoithong</t>
  </si>
  <si>
    <t>Banjarat Mahayanta</t>
  </si>
  <si>
    <t>Ratchaya Maharuensong</t>
  </si>
  <si>
    <t>Chanyaporn Homchaam</t>
  </si>
  <si>
    <t>Natchananthorn Watchawong</t>
  </si>
  <si>
    <t>Kanyaphat Kaewpoung</t>
  </si>
  <si>
    <t>Naree Clinic</t>
  </si>
  <si>
    <t>Krissanee Theppratuangtip</t>
  </si>
  <si>
    <t>Buppha Rattanawadee</t>
  </si>
  <si>
    <t>Chanittha Chaihundeharuen</t>
  </si>
  <si>
    <t>Ornnnat Wanasitchaiwat</t>
  </si>
  <si>
    <t>Pinanong Kornnoom</t>
  </si>
  <si>
    <t>Sanonty Hatpasong</t>
  </si>
  <si>
    <t>UR failed for NIPT Standard</t>
  </si>
  <si>
    <t>Monpariya Thaweepattanaporg</t>
  </si>
  <si>
    <t>Siranee Pho-on</t>
  </si>
  <si>
    <t>Wipavee Uthawang</t>
  </si>
  <si>
    <t>Geeraporn Sankeing</t>
  </si>
  <si>
    <t>Pongpawan Chienvichai</t>
  </si>
  <si>
    <t>Chanokporn Phokhampok</t>
  </si>
  <si>
    <t>Ploypailin Clinic</t>
  </si>
  <si>
    <t>Ploypailin Thannabhinunt</t>
  </si>
  <si>
    <t>Thanaporn Thooptompong</t>
  </si>
  <si>
    <t>Meung Narai hospital</t>
  </si>
  <si>
    <t>Chuttrapat Klumnak</t>
  </si>
  <si>
    <t>Pattrawadee Cheamchoy</t>
  </si>
  <si>
    <t>Praeploy Tangthong</t>
  </si>
  <si>
    <t>NC250710</t>
  </si>
  <si>
    <t>PC250710</t>
  </si>
  <si>
    <t>Angkana Simjaroean</t>
  </si>
  <si>
    <t>NIPT20250711</t>
  </si>
  <si>
    <t>Mananchaya Thaimai</t>
  </si>
  <si>
    <t>Low fetal fraction</t>
  </si>
  <si>
    <t xml:space="preserve">Zin mar </t>
  </si>
  <si>
    <t>Pornsak Sirinavasatian</t>
  </si>
  <si>
    <t>Thanphitcha Thasanoh</t>
  </si>
  <si>
    <t>Thanyaporn Kongonsri</t>
  </si>
  <si>
    <t>Kanyarat Thammakhot</t>
  </si>
  <si>
    <t>Natrada Ounphamornlah</t>
  </si>
  <si>
    <t>Kanthida Kasemchitmun</t>
  </si>
  <si>
    <t>Panumas Sanit</t>
  </si>
  <si>
    <t>Bung-On Prajanban</t>
  </si>
  <si>
    <t>Juajun Rongsak</t>
  </si>
  <si>
    <t>Wijitra Chaladu</t>
  </si>
  <si>
    <t>Nongyao Suwankanta</t>
  </si>
  <si>
    <t>Florence Naing</t>
  </si>
  <si>
    <t>Nakorn maesot International Hospital</t>
  </si>
  <si>
    <t>Suwanna Sornwanee</t>
  </si>
  <si>
    <t>Relibrary for verification(Z-score relatively high)</t>
  </si>
  <si>
    <t>Alisa Khunbankhong</t>
  </si>
  <si>
    <t>Monta Phayakti</t>
  </si>
  <si>
    <t>Kanokpit Juntimart</t>
  </si>
  <si>
    <t>Janjira Duangta</t>
  </si>
  <si>
    <t>QS failed</t>
  </si>
  <si>
    <t>Wirawan Pohngoern</t>
  </si>
  <si>
    <t>Sasipimon Sarnnok</t>
  </si>
  <si>
    <t>Weerawan Wijit</t>
  </si>
  <si>
    <t>Anita Khamlek</t>
  </si>
  <si>
    <t>Soraphan Clinic</t>
  </si>
  <si>
    <t>Soraphan Songsermpong</t>
  </si>
  <si>
    <t>Joanna Dooley Tantipongpipat</t>
  </si>
  <si>
    <t>Patcharee Watanatittan</t>
  </si>
  <si>
    <t>Pachara Poomduang</t>
  </si>
  <si>
    <t>Patchareewan Suwan</t>
  </si>
  <si>
    <t>Ruethairat Jampahom</t>
  </si>
  <si>
    <t>NC250711</t>
  </si>
  <si>
    <t>PC250711</t>
  </si>
  <si>
    <t>Pariyaporn Laothanoo</t>
  </si>
  <si>
    <t>NIPT20250715</t>
  </si>
  <si>
    <t>Vilaykhone Phimmasy</t>
  </si>
  <si>
    <t>Thamonwon Kulrattanayan</t>
  </si>
  <si>
    <t>Nontita Jamjan</t>
  </si>
  <si>
    <t>Pimnapa Sanotong</t>
  </si>
  <si>
    <t>Angkharn Clinic</t>
  </si>
  <si>
    <t>Angkharn Triniti</t>
  </si>
  <si>
    <t>Urarat Poolperm</t>
  </si>
  <si>
    <t>Orasa Aussalerk</t>
  </si>
  <si>
    <t>Lapatrada Foeilung</t>
  </si>
  <si>
    <t>Phuwat Foeilung</t>
  </si>
  <si>
    <t>Ketruedee Thongphuthon</t>
  </si>
  <si>
    <t>Nisthida Chumjul</t>
  </si>
  <si>
    <t>Nathakan Khewchaum</t>
  </si>
  <si>
    <t>Sunisa Ratchawong</t>
  </si>
  <si>
    <t>Nuengruethai Clinic</t>
  </si>
  <si>
    <t>Nuengruethai Sinnithithawon</t>
  </si>
  <si>
    <t>Arissara Chantharamongkhonchai</t>
  </si>
  <si>
    <t>Tanaporn Buakhao</t>
  </si>
  <si>
    <t>Chonticha Teain ngam</t>
  </si>
  <si>
    <t>Arthitaya Phusawan</t>
  </si>
  <si>
    <t>Sirirak Nguanjinda</t>
  </si>
  <si>
    <t>Sunday Moo</t>
  </si>
  <si>
    <t>Siriwan Pimpa</t>
  </si>
  <si>
    <t>Rattikan Saetan</t>
  </si>
  <si>
    <t>Chotika Khamaing</t>
  </si>
  <si>
    <t>Nuntapat Kiatthanasin</t>
  </si>
  <si>
    <t>Keeratikan Sirimanawong</t>
  </si>
  <si>
    <t>NC250715</t>
  </si>
  <si>
    <t>PC250715</t>
  </si>
  <si>
    <t>Jintana Paulumphai</t>
  </si>
  <si>
    <t>NIPT20250717</t>
  </si>
  <si>
    <t>Kanjana Konglasae</t>
  </si>
  <si>
    <t>Petniyom Pada</t>
  </si>
  <si>
    <t>Sureerat Namwicha</t>
  </si>
  <si>
    <t>Supattra Panya</t>
  </si>
  <si>
    <t>Chanicha Anansaringkan</t>
  </si>
  <si>
    <t>Kawinthida Sontit</t>
  </si>
  <si>
    <t>Treerat Takhote</t>
  </si>
  <si>
    <t>Bhakthiya Boontra</t>
  </si>
  <si>
    <t>Pannarai Jittrising</t>
  </si>
  <si>
    <t>Nongnuch Duangduean</t>
  </si>
  <si>
    <t>Nichakamon Ake-udompong</t>
  </si>
  <si>
    <t>Chananthida Ngamsanthia</t>
  </si>
  <si>
    <t>Apiwat Wangpusayavisut</t>
  </si>
  <si>
    <t>Jidapha Bunlhua</t>
  </si>
  <si>
    <t>Prontip Phonlaphuak</t>
  </si>
  <si>
    <t>Waraphon Ngokwong</t>
  </si>
  <si>
    <t>Supparat Samakkarn</t>
  </si>
  <si>
    <t>Sairung Rukkij</t>
  </si>
  <si>
    <t>Maleewan Keawram</t>
  </si>
  <si>
    <t>Xia Yan</t>
  </si>
  <si>
    <t>Thai Stem Life</t>
  </si>
  <si>
    <t>NC250717</t>
  </si>
  <si>
    <t>PC250717</t>
  </si>
  <si>
    <t>T20 chr20 positive with mosaicism, chimeric rate32.43%</t>
  </si>
  <si>
    <t>Nanthawan Ketin</t>
  </si>
  <si>
    <t>NIPT20250718</t>
  </si>
  <si>
    <t>Soliha Longmina</t>
  </si>
  <si>
    <t>Jamjuree Singsetar</t>
  </si>
  <si>
    <t>Lalidporn Suttipapar</t>
  </si>
  <si>
    <t>A Woman's Friend Clinic</t>
  </si>
  <si>
    <t>Supatchaya Siripadung</t>
  </si>
  <si>
    <t>Suthatip Ruengsrisang</t>
  </si>
  <si>
    <t>Zin Zin OO</t>
  </si>
  <si>
    <t>Yosita Saejaew</t>
  </si>
  <si>
    <t>Phornphan Phukiatkong</t>
  </si>
  <si>
    <t>Nanticha Keawnunual</t>
  </si>
  <si>
    <t>Jintana Phuem-Jai</t>
  </si>
  <si>
    <t>Jittima Supakornsangtong</t>
  </si>
  <si>
    <t>Suwimol Sriwongsuk</t>
  </si>
  <si>
    <t>Pornpimol Sorasingha</t>
  </si>
  <si>
    <t>Saichit Sekira</t>
  </si>
  <si>
    <t>Sreyvy Some</t>
  </si>
  <si>
    <t>Samrong General hospital</t>
  </si>
  <si>
    <t>Satit Pingsuttiwong</t>
  </si>
  <si>
    <t>Saowaros Angkana</t>
  </si>
  <si>
    <t>Wipattra Ongsathaporn</t>
  </si>
  <si>
    <t>Siliphone Vonglaxa</t>
  </si>
  <si>
    <t>Pimnara Omsutthibudkul</t>
  </si>
  <si>
    <t>Hadsadee Xaimonty</t>
  </si>
  <si>
    <t>Saisuda Chukhong</t>
  </si>
  <si>
    <t>Wilailak Chownue</t>
  </si>
  <si>
    <t>NC250718</t>
  </si>
  <si>
    <t>PC250718</t>
  </si>
  <si>
    <t>Pareeya Saenchat</t>
  </si>
  <si>
    <t>NIPT20250721</t>
  </si>
  <si>
    <t>Jantpon Sathianphantharit</t>
  </si>
  <si>
    <t>Sipaseuth Khamchanh</t>
  </si>
  <si>
    <t>Methaya kondinjee</t>
  </si>
  <si>
    <t>Ornmanee Wecharangsi</t>
  </si>
  <si>
    <t>Wannipa Krudkaew</t>
  </si>
  <si>
    <t>Pornsawan Jaisan</t>
  </si>
  <si>
    <t>Sisavanh Apaiyalath</t>
  </si>
  <si>
    <t>Moukdavanh Poumakaysone</t>
  </si>
  <si>
    <t>Kittiporn Kittipongpaisarn</t>
  </si>
  <si>
    <t>Malisa Phakonekham</t>
  </si>
  <si>
    <t>Chansamout Phoumanivong</t>
  </si>
  <si>
    <t>Kettiya Thawong</t>
  </si>
  <si>
    <t>big</t>
  </si>
  <si>
    <t>Nattaka Chaikiattiyos</t>
  </si>
  <si>
    <t>Tatsanee Prasankasem</t>
  </si>
  <si>
    <t>Phakjira Phakdeechotekawee</t>
  </si>
  <si>
    <t>Duanghathai Sritrakarn</t>
  </si>
  <si>
    <t>Kanokkhan Matthip</t>
  </si>
  <si>
    <t>Siriporn Dubtuk</t>
  </si>
  <si>
    <t>Saowalak Kontha</t>
  </si>
  <si>
    <t>NC250721</t>
  </si>
  <si>
    <t>PC250721</t>
  </si>
  <si>
    <t>Phawinee Phitphum</t>
  </si>
  <si>
    <t>NIPT20250723</t>
  </si>
  <si>
    <t>Savitree Thanomlek</t>
  </si>
  <si>
    <t>Onuma Nuchyoo</t>
  </si>
  <si>
    <t>Pitchayawee Tummat</t>
  </si>
  <si>
    <t>Chanyanat Jantasong</t>
  </si>
  <si>
    <t>Patima Mongkontanwattana</t>
  </si>
  <si>
    <t>Relibrary for verification, SCAXO+XY Zxy5.22</t>
  </si>
  <si>
    <t>Uraiwan Chartsuwan</t>
  </si>
  <si>
    <t>Khaemchira Tepsiri</t>
  </si>
  <si>
    <t>Netnapa Tumthong</t>
  </si>
  <si>
    <t>Angkana Chueamuangphan</t>
  </si>
  <si>
    <t>Suthathip Srijai</t>
  </si>
  <si>
    <t>Nirinthana Chamnanphon</t>
  </si>
  <si>
    <t>Maneela Sorpaseuth</t>
  </si>
  <si>
    <t>Chanthida Manesavanh</t>
  </si>
  <si>
    <t>Phitsarinthan Hasstem</t>
  </si>
  <si>
    <t>Araya Choosrirat</t>
  </si>
  <si>
    <t>Jiraporn Thaipreecha</t>
  </si>
  <si>
    <t>Nakhon Chaisi Lab</t>
  </si>
  <si>
    <t>Surinna Polnan</t>
  </si>
  <si>
    <t>Onuma Junthulang</t>
  </si>
  <si>
    <t>Patthama Inwat</t>
  </si>
  <si>
    <t>Preeyanun Worapatjindachote</t>
  </si>
  <si>
    <t>Sirinan Makkati</t>
  </si>
  <si>
    <t>Sgt Pattra Chumphaphan</t>
  </si>
  <si>
    <t>Chalotorn Sungchoo</t>
  </si>
  <si>
    <t>Wanalee Petra</t>
  </si>
  <si>
    <t>Tassanapon Khamthawi</t>
  </si>
  <si>
    <t>PC250723</t>
  </si>
  <si>
    <t>NC250723</t>
  </si>
  <si>
    <t>Keowadee Srijan</t>
  </si>
  <si>
    <t>NIPT20250725</t>
  </si>
  <si>
    <t>Cholnisa Supawannapong</t>
  </si>
  <si>
    <t>Vallapa Ruangjarat</t>
  </si>
  <si>
    <t>Sirin Somman</t>
  </si>
  <si>
    <t>Apinya Chaiyawong</t>
  </si>
  <si>
    <t>Sumalee Lahmeen</t>
  </si>
  <si>
    <t>Khwanchira Aiamsaard</t>
  </si>
  <si>
    <t>Wanwisa Tangkratok</t>
  </si>
  <si>
    <t>Aiyada Chaemsutcheep</t>
  </si>
  <si>
    <t>Kornkamon Tanapongnurod</t>
  </si>
  <si>
    <t>Apinya Wuttiwararak</t>
  </si>
  <si>
    <t>Phonevilai Khanthavixay</t>
  </si>
  <si>
    <t>Sansany Fongsamout</t>
  </si>
  <si>
    <t>Warintip Srisaiy</t>
  </si>
  <si>
    <t>Suchada Ritthaisong</t>
  </si>
  <si>
    <t>Wachiraporn Kladcharoen</t>
  </si>
  <si>
    <t>Warissara Chonmahasawat</t>
  </si>
  <si>
    <t>Phichamon Chaikla</t>
  </si>
  <si>
    <t>Chanika Peachpairoj</t>
  </si>
  <si>
    <t>Piyanoot Sirirachanon</t>
  </si>
  <si>
    <t>Chompunoot Chawphichit</t>
  </si>
  <si>
    <t>Wipawadee Maneeprasat</t>
  </si>
  <si>
    <t>Sornsawan Romjan</t>
  </si>
  <si>
    <t>Saruttaya Thotom</t>
  </si>
  <si>
    <t>Samorn Nachaiwat</t>
  </si>
  <si>
    <t>Uraiwan Kongtawin</t>
  </si>
  <si>
    <t>Sopida Thambumroong</t>
  </si>
  <si>
    <t>Chanoknan Klamphak</t>
  </si>
  <si>
    <t>Resample for verification, SCAXO+XY Zxy4.87</t>
  </si>
  <si>
    <t>NC250725</t>
  </si>
  <si>
    <t>PC250725</t>
  </si>
  <si>
    <t>Ratawan Visoothisak</t>
  </si>
  <si>
    <t>NIPT20250729</t>
  </si>
  <si>
    <t>Sulawan Jantapoon</t>
  </si>
  <si>
    <t>Kanyarat Phopradubdee</t>
  </si>
  <si>
    <t>Airnoy Soulixay</t>
  </si>
  <si>
    <t>Wanthani Phokampa</t>
  </si>
  <si>
    <t>Kanockpetch Micaraseth</t>
  </si>
  <si>
    <t>Khwanrudee Mianmuang</t>
  </si>
  <si>
    <t>Phassara Saengwaree</t>
  </si>
  <si>
    <t>Report XO. It is likely to be maternally disturbed, but the decreased X chromosome in the fetal chromosome cannot be excluded.</t>
  </si>
  <si>
    <t>Omruthai Fugfang</t>
  </si>
  <si>
    <t>Central Lab Supanburi</t>
  </si>
  <si>
    <t>Niphon Kanchana</t>
  </si>
  <si>
    <t>Yupin Thaenphutsa</t>
  </si>
  <si>
    <t>Naluemon Maphon</t>
  </si>
  <si>
    <t>Prapasri Boonpob</t>
  </si>
  <si>
    <t>Patcharee Thongklieng</t>
  </si>
  <si>
    <t>Hatyai Lab</t>
  </si>
  <si>
    <t>Somsak Umnakmanee</t>
  </si>
  <si>
    <t>Janjira Thongudom</t>
  </si>
  <si>
    <t>Teerakarn Chaiyapetch</t>
  </si>
  <si>
    <t>Sonsamon Thanomklang</t>
  </si>
  <si>
    <t>Zin Mar Myint</t>
  </si>
  <si>
    <t>Phatcharamai Boonchucherd</t>
  </si>
  <si>
    <t>Praveena Neyanan</t>
  </si>
  <si>
    <t>Sakuna Sakunmatthathum</t>
  </si>
  <si>
    <t>Peetapanan Pattarasingkaew</t>
  </si>
  <si>
    <t>Nattida Khuncharoon</t>
  </si>
  <si>
    <t>Natkritta Suksri</t>
  </si>
  <si>
    <t>Arisara Kuyai</t>
  </si>
  <si>
    <t>Relibrary for verification, SCAXO+XY Zxy3.34</t>
  </si>
  <si>
    <t>Phanwalee Kongdee</t>
  </si>
  <si>
    <t>XO+XY</t>
  </si>
  <si>
    <t>Report XO+XY.It is likely to be maternally disturbed.</t>
  </si>
  <si>
    <t>Jutharat Phetaksorn</t>
  </si>
  <si>
    <t>Report T16</t>
  </si>
  <si>
    <t>Nattanicha Sansiri</t>
  </si>
  <si>
    <t>NC250729</t>
  </si>
  <si>
    <t>PC250729</t>
  </si>
  <si>
    <t>NIPT20250731</t>
  </si>
  <si>
    <t>202500737-RL</t>
  </si>
  <si>
    <t>202500751-RL</t>
  </si>
  <si>
    <t>202500759-RL</t>
  </si>
  <si>
    <t>Resample for verification(Z-score relatively high)</t>
  </si>
  <si>
    <t>Kotchakon Khampom</t>
  </si>
  <si>
    <t>Janjira Khotwichai</t>
  </si>
  <si>
    <r>
      <t>Relibrary for verification, SCAXO Zxx3.01.</t>
    </r>
    <r>
      <rPr>
        <sz val="10"/>
        <color rgb="FFFF0000"/>
        <rFont val="宋体"/>
        <charset val="134"/>
      </rPr>
      <t>（</t>
    </r>
    <r>
      <rPr>
        <sz val="10"/>
        <color rgb="FFFF0000"/>
        <rFont val="Arial"/>
        <family val="2"/>
      </rPr>
      <t>HIgh possibility of XX.</t>
    </r>
    <r>
      <rPr>
        <sz val="10"/>
        <color rgb="FFFF0000"/>
        <rFont val="宋体"/>
        <charset val="134"/>
      </rPr>
      <t>）</t>
    </r>
  </si>
  <si>
    <t>Siripa Ngaochaeng</t>
  </si>
  <si>
    <t>Wiboon Sirivarakul</t>
  </si>
  <si>
    <t>Report T7</t>
  </si>
  <si>
    <t>Manussanun Tongchum</t>
  </si>
  <si>
    <t>Boonyapan Jaiyai</t>
  </si>
  <si>
    <t>Napatsorn Intaradach</t>
  </si>
  <si>
    <t>Pimpapich Naktung</t>
  </si>
  <si>
    <t>Rattikan Kongprom</t>
  </si>
  <si>
    <t>Ratchathani Nongkhae Hospital</t>
  </si>
  <si>
    <t>Kantapat Ekboon</t>
  </si>
  <si>
    <t>Pawichaya Pongpiriyapanya</t>
  </si>
  <si>
    <t>Janejira Lakamnouyporn</t>
  </si>
  <si>
    <t>Rattanaporn Palukjaiharn</t>
  </si>
  <si>
    <t>Kamonchanok Sima</t>
  </si>
  <si>
    <t>Paweena Udom</t>
  </si>
  <si>
    <t>Chanoknat Larakhee</t>
  </si>
  <si>
    <t>Jintana Summart</t>
  </si>
  <si>
    <t>Suleeporn Prapakornwimon</t>
  </si>
  <si>
    <t>Thitikul Sottisuporn</t>
  </si>
  <si>
    <t>Punrisa Sripuri</t>
  </si>
  <si>
    <t>Chomphunuch Yuchiam</t>
  </si>
  <si>
    <t>Nidawan Tongthai</t>
  </si>
  <si>
    <t>NC250731</t>
  </si>
  <si>
    <t>PC250731</t>
  </si>
  <si>
    <t>จำนวนตัวอย่างเฉลี่ยต่อรอบ</t>
  </si>
  <si>
    <t>%ต่อยอดขาย</t>
  </si>
  <si>
    <t>NIPT20250803</t>
  </si>
  <si>
    <t>202500736-RS</t>
  </si>
  <si>
    <t>202500766-RL</t>
  </si>
  <si>
    <t>Roeury Chhenh</t>
  </si>
  <si>
    <t>Paphitchaya Chaiprasit</t>
  </si>
  <si>
    <t>Naw Mu Bo</t>
  </si>
  <si>
    <t>Pattraporn Supnit</t>
  </si>
  <si>
    <t>Doctor Suradej-Sureerat Medical Clinic</t>
  </si>
  <si>
    <t>Sureerat Mongkolprathumrut</t>
  </si>
  <si>
    <t>XXX</t>
  </si>
  <si>
    <t>Thidarat Chandondaenq</t>
  </si>
  <si>
    <t>Kulthida Prakobsuk</t>
  </si>
  <si>
    <t>Saowalak Benkhum</t>
  </si>
  <si>
    <t>Sengsouly Hanpathoum</t>
  </si>
  <si>
    <t>Khamphat Thidaluck</t>
  </si>
  <si>
    <t>Netnarin Wongsa</t>
  </si>
  <si>
    <t>Onpimon Banjun</t>
  </si>
  <si>
    <t xml:space="preserve">Rungthip Chaipornpokin </t>
  </si>
  <si>
    <t>Nan Mu Tuok Wai</t>
  </si>
  <si>
    <t>Angsumalin Talabtong</t>
  </si>
  <si>
    <t>Makarak Hospital</t>
  </si>
  <si>
    <t>Penpak Jensarasart</t>
  </si>
  <si>
    <t>Artitya Jamdamnong</t>
  </si>
  <si>
    <t>Atittaya Jitboon</t>
  </si>
  <si>
    <t>Wei Lu</t>
  </si>
  <si>
    <t>Ekachai Hospital</t>
  </si>
  <si>
    <t>Kingkaew Mingsuttiporn</t>
  </si>
  <si>
    <t>Jiranan Nonthanam</t>
  </si>
  <si>
    <t>Takhli Hospital</t>
  </si>
  <si>
    <t>Sirawit Pipatkasira</t>
  </si>
  <si>
    <t>Kannikar Punyanuy</t>
  </si>
  <si>
    <t>Anchalee Vijitrawiwat</t>
  </si>
  <si>
    <t>Mintita Hongsaeng</t>
  </si>
  <si>
    <t>Prakaimas Chaichongwang</t>
  </si>
  <si>
    <t>Kanyarat Chanda</t>
  </si>
  <si>
    <t>Walk IN / เงินสด (Bria Lab)</t>
  </si>
  <si>
    <t>Kotchakan Ditchui</t>
  </si>
  <si>
    <t>Natkodchapun Siriwattanapong</t>
  </si>
  <si>
    <t>Avani Maulik Sheta</t>
  </si>
  <si>
    <t>Piyada Chatanukulkit</t>
  </si>
  <si>
    <t>Sukanya Chanseephueak</t>
  </si>
  <si>
    <t>Tanyaporn Nuanying</t>
  </si>
  <si>
    <t>Saowapa Rueangyong</t>
  </si>
  <si>
    <t>Benchaphon Seeyangnok</t>
  </si>
  <si>
    <t>Chumphon interlab</t>
  </si>
  <si>
    <t>Yaowares Sakpirom</t>
  </si>
  <si>
    <t>Nhin Ta Zin Oo</t>
  </si>
  <si>
    <t>Pimpakan Aojanepong</t>
  </si>
  <si>
    <t>Nan Wah So</t>
  </si>
  <si>
    <t>Su Su Maw</t>
  </si>
  <si>
    <t>Mae Ohn Myint</t>
  </si>
  <si>
    <t>Daw Poe Ei San</t>
  </si>
  <si>
    <t>NC250803</t>
  </si>
  <si>
    <t>PC250803</t>
  </si>
  <si>
    <t>NIPT20250804</t>
  </si>
  <si>
    <t>202500759-RS</t>
  </si>
  <si>
    <t>Nan Phot Mike Tho</t>
  </si>
  <si>
    <t>Zin Mar Oo</t>
  </si>
  <si>
    <t>Aye Myint</t>
  </si>
  <si>
    <t>Ma Zue Zue</t>
  </si>
  <si>
    <t>Phoutthasone Chansysoulath</t>
  </si>
  <si>
    <t>Rathawit Clinic</t>
  </si>
  <si>
    <t>Rathawit Suntorn</t>
  </si>
  <si>
    <t>Oranut Netmanee</t>
  </si>
  <si>
    <t>Kedsarin Inta</t>
  </si>
  <si>
    <t>Relibrary for verification(Z-score relatively high),chr15 positive with mosaicism, chimeric rate43.75%. If Zscore(chr15) &gt;=8 after relibrary， can be report as high risk. Otherwise, resample for verification.</t>
  </si>
  <si>
    <t>Apatsara Panutas</t>
  </si>
  <si>
    <t>Thidarat Suksawang</t>
  </si>
  <si>
    <t>Chanitda Buabkhom</t>
  </si>
  <si>
    <t>Orasa Seangpirau</t>
  </si>
  <si>
    <t>Kedsana Phoumma</t>
  </si>
  <si>
    <t>Nithaphone Khammounheuang</t>
  </si>
  <si>
    <t>Viengsavanh Khammounheuang</t>
  </si>
  <si>
    <t>Prapapan Janteang</t>
  </si>
  <si>
    <t>Kanokporn Jachaiyaphoom</t>
  </si>
  <si>
    <t>Chutamad Piapinthong</t>
  </si>
  <si>
    <t>Suchada Sakmas</t>
  </si>
  <si>
    <t>Orawan Naruhai</t>
  </si>
  <si>
    <t>Torrung Boontho</t>
  </si>
  <si>
    <t>Nampeng Sansap</t>
  </si>
  <si>
    <t>Parinada Sookdib</t>
  </si>
  <si>
    <t>XXY</t>
  </si>
  <si>
    <t>Supattra Srisai</t>
  </si>
  <si>
    <t>Panida Joblar</t>
  </si>
  <si>
    <t>Thidaporn Pormwong</t>
  </si>
  <si>
    <t>Thanaporn Kanchananon</t>
  </si>
  <si>
    <t>Patthamawan Khammak</t>
  </si>
  <si>
    <t>Kanokon Teanrungrasamee</t>
  </si>
  <si>
    <t>Sirikwan Warakornpitchaya</t>
  </si>
  <si>
    <t>Saithan sangprajan</t>
  </si>
  <si>
    <t>Praewpayom Juksan</t>
  </si>
  <si>
    <t>NC</t>
  </si>
  <si>
    <t>PC</t>
  </si>
  <si>
    <t>NIPT20250807</t>
  </si>
  <si>
    <t>202500759-RS-RL</t>
  </si>
  <si>
    <t>Fail to report, QS failed</t>
  </si>
  <si>
    <t>202500787-RS</t>
  </si>
  <si>
    <t>202500822-RL</t>
  </si>
  <si>
    <t>202500824-RL</t>
  </si>
  <si>
    <t>Resample for verification(Z-score relatively high),chr15 positive with mosaicism, chimeric rate38.63%. Or report as high risk for T15 with mosaicism.</t>
  </si>
  <si>
    <t>202500837-RL</t>
  </si>
  <si>
    <t>Montiya Soongngam</t>
  </si>
  <si>
    <t>Pimnipa O-Ralerk</t>
  </si>
  <si>
    <t>Natawan Khempech</t>
  </si>
  <si>
    <t>Patcharee Chinkam</t>
  </si>
  <si>
    <t>Yodsawadee Butukam</t>
  </si>
  <si>
    <t>Vijitra Voraratchaipan</t>
  </si>
  <si>
    <t>Nilawan Chomnat</t>
  </si>
  <si>
    <t>Tran Thi Hoa</t>
  </si>
  <si>
    <t>Anantaporn Sukying</t>
  </si>
  <si>
    <t>Hnunghatai Vaiyalapa</t>
  </si>
  <si>
    <t>Thidar Hlaing</t>
  </si>
  <si>
    <t>Rossukon Sauanphan</t>
  </si>
  <si>
    <t>Boonsak Clinic</t>
  </si>
  <si>
    <t>Boonsak Pongpanich</t>
  </si>
  <si>
    <t>Supaporn Pongthonpisut</t>
  </si>
  <si>
    <t>Angkhana Namtong</t>
  </si>
  <si>
    <t>Apirak Nguanboonmak</t>
  </si>
  <si>
    <t>Natcha Loypetch</t>
  </si>
  <si>
    <t>Udomsak Sathapanachai</t>
  </si>
  <si>
    <t>Kwanruen Mungphonklang</t>
  </si>
  <si>
    <t>Pimsuda Pramookkul</t>
  </si>
  <si>
    <t>Susu Susu</t>
  </si>
  <si>
    <t>Panadda Sangka</t>
  </si>
  <si>
    <t>Prarichat Intharawong</t>
  </si>
  <si>
    <t>Suriwisa Jankoon</t>
  </si>
  <si>
    <t>Patipan Sermsak</t>
  </si>
  <si>
    <t>Chaweewan Aonjanhom</t>
  </si>
  <si>
    <t>Pattiya Sawangkij</t>
  </si>
  <si>
    <t>Busakon Suwanna</t>
  </si>
  <si>
    <t>Porntip Bubpa</t>
  </si>
  <si>
    <t>Khaing Khaing Htay</t>
  </si>
  <si>
    <t>Somjit Tansakul</t>
  </si>
  <si>
    <t>Wacharaporn Chatabutr</t>
  </si>
  <si>
    <t>Noochanart Clinic</t>
  </si>
  <si>
    <t>Noochanart Pattanapanyasat</t>
  </si>
  <si>
    <t>Jutarat Phetmanee</t>
  </si>
  <si>
    <t>Kriton Thuanpuangkaew</t>
  </si>
  <si>
    <t>Khaing Khaing Htay Clot</t>
  </si>
  <si>
    <t>Punchigah Prapawiwat</t>
  </si>
  <si>
    <t>NIPT20250811</t>
  </si>
  <si>
    <t>Wannipa Sartongyod</t>
  </si>
  <si>
    <t>Suangsuda Phondee</t>
  </si>
  <si>
    <t>Puangphaka Bamrungkit</t>
  </si>
  <si>
    <t>Srey Mao Kong</t>
  </si>
  <si>
    <t>Sasivimol Imon</t>
  </si>
  <si>
    <t>Samonwan Kornphituksukh</t>
  </si>
  <si>
    <t>Chonticha Tuadnok</t>
  </si>
  <si>
    <t>Chinpana Kaeokhon</t>
  </si>
  <si>
    <t>Kamonrat Konabal</t>
  </si>
  <si>
    <t>Nawrat Dabuddee</t>
  </si>
  <si>
    <t>Mother and Baby Clinic</t>
  </si>
  <si>
    <t>Supreeya Thaiyana</t>
  </si>
  <si>
    <t>Amornrat Chomphoosri</t>
  </si>
  <si>
    <t>Pornnapha Janthima</t>
  </si>
  <si>
    <t>Matinee Pongpee</t>
  </si>
  <si>
    <t>Namthip Saosung</t>
  </si>
  <si>
    <t>Nwe Nwe Tun</t>
  </si>
  <si>
    <t>Thongchai Meelurkan</t>
  </si>
  <si>
    <t>Chanhatai Pumipattananon</t>
  </si>
  <si>
    <t>Jedsuda Phakaew</t>
  </si>
  <si>
    <t>Thatsawan Dongtangram</t>
  </si>
  <si>
    <t>Suthida Tadkerd</t>
  </si>
  <si>
    <t>Sirinan Krugkrai</t>
  </si>
  <si>
    <t>Umpa Buttong</t>
  </si>
  <si>
    <t>Kanyapat Watthanorom</t>
  </si>
  <si>
    <t>Rattanavadee Butpuk</t>
  </si>
  <si>
    <t>Supawadee Suklom</t>
  </si>
  <si>
    <t>Chutikarn Taseeda</t>
  </si>
  <si>
    <t>Nakhonthai Crown Prince Hospital</t>
  </si>
  <si>
    <t>Theerapat Keawsaard</t>
  </si>
  <si>
    <t>Khanittha Phunduang</t>
  </si>
  <si>
    <t>Relibrary for T20 verification (Z-score relatively high)</t>
  </si>
  <si>
    <t>Nisalak Traijak</t>
  </si>
  <si>
    <t>Apinya Singtoothong</t>
  </si>
  <si>
    <t>Kaywanwadee Janpool</t>
  </si>
  <si>
    <t>T19</t>
  </si>
  <si>
    <t>NIPT20250813</t>
  </si>
  <si>
    <t>202500902-RL</t>
  </si>
  <si>
    <t>Chalisa Changsirikul</t>
  </si>
  <si>
    <t>Relibrary for T10 verification (Z-score relatively high)</t>
  </si>
  <si>
    <t>Xiao Zhu</t>
  </si>
  <si>
    <t>Benjawan Banyong</t>
  </si>
  <si>
    <t>Phatcharin Natham</t>
  </si>
  <si>
    <t>T21</t>
  </si>
  <si>
    <t>Wanida Phongchukiet</t>
  </si>
  <si>
    <t>Sirirat Raksadee</t>
  </si>
  <si>
    <t>Arisra Nimwan</t>
  </si>
  <si>
    <t>Chalaithorn Nantasupha</t>
  </si>
  <si>
    <t>Amornrat Khawsookdee</t>
  </si>
  <si>
    <t>Nattikan Aromsawa</t>
  </si>
  <si>
    <t>Chonthicha Smonak</t>
  </si>
  <si>
    <t>Nongnaphat Khadsaya</t>
  </si>
  <si>
    <t>Thanaporn Sukhumvada</t>
  </si>
  <si>
    <t>Savitri Maneepakdee</t>
  </si>
  <si>
    <t>Manasicha Mekjarasnapha</t>
  </si>
  <si>
    <t>Chompoonut Chomphutat</t>
  </si>
  <si>
    <t>Wellness Care Buengkan</t>
  </si>
  <si>
    <t>Amvika Pakdee</t>
  </si>
  <si>
    <t>Nuengruethai Boonsin</t>
  </si>
  <si>
    <t>Prin Boonyanoy</t>
  </si>
  <si>
    <t>Chosita Punthong</t>
  </si>
  <si>
    <t>Nareerat Khantee</t>
  </si>
  <si>
    <t>Pornnipa Suntong</t>
  </si>
  <si>
    <t>Duangporn Aekpatcha</t>
  </si>
  <si>
    <t>Supassorn Namkhet</t>
  </si>
  <si>
    <t>Manida Kumprasit</t>
  </si>
  <si>
    <t>Siriwan Kaewkantho</t>
  </si>
  <si>
    <t>Relibrary for XO verification</t>
  </si>
  <si>
    <t>At Phommachan</t>
  </si>
  <si>
    <t>Pittayarat Hengjarernsin</t>
  </si>
  <si>
    <t>NIPT20250815</t>
  </si>
  <si>
    <t>202500789-RS</t>
  </si>
  <si>
    <t>202500824-RS</t>
  </si>
  <si>
    <t>202500837-RS</t>
  </si>
  <si>
    <t>202500906-RL</t>
  </si>
  <si>
    <t>Resample for verification(Z-score relatively high),chr10 positive with mosaicism, chimeric rate21.05%.Or report as chr10 positive with mosaicism, chimeric rate21.05%</t>
  </si>
  <si>
    <t>202500930-RL</t>
  </si>
  <si>
    <t>Tidaporn Kanitanon</t>
  </si>
  <si>
    <t>Jammaree Wannaboworn</t>
  </si>
  <si>
    <t>Phatita Jaikla</t>
  </si>
  <si>
    <t>Pimpitcha Chalalai</t>
  </si>
  <si>
    <t>Panudchanard Chritraton</t>
  </si>
  <si>
    <t>Monthitra Sunsiwsap</t>
  </si>
  <si>
    <t>Sirichonlada Wanta</t>
  </si>
  <si>
    <t>Paweena Wongmanee</t>
  </si>
  <si>
    <t>Suphaphon Rueanphit</t>
  </si>
  <si>
    <t>Phattharaphon Detmaroeng</t>
  </si>
  <si>
    <t>Natpapat Pakakorn</t>
  </si>
  <si>
    <t>Lakana Nilklad</t>
  </si>
  <si>
    <t>Khin Than Wai</t>
  </si>
  <si>
    <t>Orawan Pannuy</t>
  </si>
  <si>
    <t>Suttinee Poolsawat</t>
  </si>
  <si>
    <t>Chalita Jaikeawdang</t>
  </si>
  <si>
    <t>Waraporn Kharin</t>
  </si>
  <si>
    <t>Tidarat Sutthachaiya</t>
  </si>
  <si>
    <t>Aranya Chaiyaban</t>
  </si>
  <si>
    <t>Vibharam Pakkred hospital</t>
  </si>
  <si>
    <t>Atittaya Vallapapan</t>
  </si>
  <si>
    <t>Parawee Phiwoon</t>
  </si>
  <si>
    <t>Nipaporn Deema</t>
  </si>
  <si>
    <t>Anutsara Piraksa BELL</t>
  </si>
  <si>
    <t>T15 chr15 positive with mosaicism, chimeric rate20.9%</t>
  </si>
  <si>
    <t>XO Combined with previous result, suggest report as XO</t>
  </si>
  <si>
    <t>NIPT20250819</t>
  </si>
  <si>
    <t>202500837-RS-RL</t>
  </si>
  <si>
    <t>Kanwirin Ratipongkaroon</t>
  </si>
  <si>
    <t>Phatthanit Towkeaw</t>
  </si>
  <si>
    <t>Sarasas Medical Clinic</t>
  </si>
  <si>
    <t>Panomkorn Sae-lee</t>
  </si>
  <si>
    <t>Marili Van Der Meijden</t>
  </si>
  <si>
    <t>BS plus Laboratory</t>
  </si>
  <si>
    <t>Napatthamont Boonma</t>
  </si>
  <si>
    <t>Benjarat Raksapon</t>
  </si>
  <si>
    <t>Alisara Akarawattanakul</t>
  </si>
  <si>
    <t>Chadaphorn Suksamran</t>
  </si>
  <si>
    <t>Rattanawadee Phuekklay</t>
  </si>
  <si>
    <t>Siriyakorn Soongying</t>
  </si>
  <si>
    <t>Sutatip Mudthong</t>
  </si>
  <si>
    <t>Ratchanisa Kaewdee</t>
  </si>
  <si>
    <t>Supaluck Mapitak</t>
  </si>
  <si>
    <t>Nararat Vongkumpan</t>
  </si>
  <si>
    <t>Praweena Chotikwiratkit</t>
  </si>
  <si>
    <t>Phawittee Tiyathanakoon</t>
  </si>
  <si>
    <t>Nipp Chantanahom</t>
  </si>
  <si>
    <t>Eiryn Natnisha Kant</t>
  </si>
  <si>
    <t>Mungkorn Sawad</t>
  </si>
  <si>
    <t>Manisone Keochanda</t>
  </si>
  <si>
    <t>Natechanok Pungwattana</t>
  </si>
  <si>
    <t>Ratikarn Lertwattananuwat</t>
  </si>
  <si>
    <t>Kantana Lueadaeng</t>
  </si>
  <si>
    <t>May Sandi Zaw Win</t>
  </si>
  <si>
    <t>Kawissara Wansawet</t>
  </si>
  <si>
    <t>Relibrary for verification(&lt;4.5&lt;Z-score&lt;8)</t>
  </si>
  <si>
    <t>Sutthida Norit</t>
  </si>
  <si>
    <t>Chadaporn Pimsomboon</t>
  </si>
  <si>
    <t>NIPT20250821</t>
  </si>
  <si>
    <t>202500906-RS</t>
  </si>
  <si>
    <t>202500963-RL</t>
  </si>
  <si>
    <t>QS failed, still UR failed for NIPT Standard. Pay attention to the pooling.</t>
  </si>
  <si>
    <t>202500975-RL</t>
  </si>
  <si>
    <t>Rattiya Tangsopa</t>
  </si>
  <si>
    <t>Supranee Suebsee</t>
  </si>
  <si>
    <t>Sinapohn Jamsri</t>
  </si>
  <si>
    <t>SGT Patcharaporn Tongkampa</t>
  </si>
  <si>
    <t>Phakawan Priprem</t>
  </si>
  <si>
    <t>Jutarat Jantrawijit</t>
  </si>
  <si>
    <t>Amornrat Sasunti</t>
  </si>
  <si>
    <t>Waraphorn Martposri</t>
  </si>
  <si>
    <t>Benyapa Nongtee</t>
  </si>
  <si>
    <t>Ramkhamhaeng 2 hospital</t>
  </si>
  <si>
    <t>Thanchanok Sompratthana</t>
  </si>
  <si>
    <t>Nattida Angkavanich</t>
  </si>
  <si>
    <t>Bouavone Haomany</t>
  </si>
  <si>
    <t>Sutthirak Khonto</t>
  </si>
  <si>
    <t xml:space="preserve">Preyanan Larbanantaphol </t>
  </si>
  <si>
    <t>Anusara Signtotong</t>
  </si>
  <si>
    <t xml:space="preserve">Suratsawadee Umnakmanee </t>
  </si>
  <si>
    <t>Manantron Boonmarsirarat</t>
  </si>
  <si>
    <t xml:space="preserve">Yongyuth Siripoke </t>
  </si>
  <si>
    <t>Jeerapatsorn Malikhajon</t>
  </si>
  <si>
    <t>Unnop Tantajina</t>
  </si>
  <si>
    <t>Sugunya Dithabut</t>
  </si>
  <si>
    <t xml:space="preserve">Preeda Kositsiri </t>
  </si>
  <si>
    <t>U-sa Nasa</t>
  </si>
  <si>
    <t>Sarun Amsumang</t>
  </si>
  <si>
    <t>Naw Joy Myat Mu Lwin</t>
  </si>
  <si>
    <t>Keth Sikhamsouk</t>
  </si>
  <si>
    <t>Soraya Rungsunniwet</t>
  </si>
  <si>
    <t>T10 based on Lena's experience, low chimerism have minimal impact, and the Zscore is smaller after resample,slightly higher than threshold.</t>
  </si>
  <si>
    <t>NIPT20250825</t>
  </si>
  <si>
    <t>202500978-RL</t>
  </si>
  <si>
    <t>202500991-RL</t>
  </si>
  <si>
    <t>Resample for verification(&lt;4.5&lt;Z-score&lt;8)</t>
  </si>
  <si>
    <t>202500995-RL</t>
  </si>
  <si>
    <t>Ruthairat Manola</t>
  </si>
  <si>
    <t>Rinsira Sonthipho</t>
  </si>
  <si>
    <t>multiple CNVsyndromes detection.  Maybe because of K tube or data fluctation. 16p13.3 deletion syndrome(%) has 7.9 Mb size. If Abnormalratio≥8% ( in this case is 8.32) then Relibrary.</t>
  </si>
  <si>
    <t>Kamonwan Charoenwong</t>
  </si>
  <si>
    <t>Mintra Rungsripaibul</t>
  </si>
  <si>
    <t>Cholticha Homchiw</t>
  </si>
  <si>
    <t>Weeraya Srisuriyachai</t>
  </si>
  <si>
    <t>Chanida Somsanor</t>
  </si>
  <si>
    <t>Wanwisa Moeydong</t>
  </si>
  <si>
    <t>Nongkhai Hospital</t>
  </si>
  <si>
    <t>Sunida Panna</t>
  </si>
  <si>
    <t>Achareeya Jamsai</t>
  </si>
  <si>
    <t>Piangnan Clinic</t>
  </si>
  <si>
    <t>Piangrutai Rirattanapong</t>
  </si>
  <si>
    <t>Julawinee Thaoya</t>
  </si>
  <si>
    <t xml:space="preserve">Angkharn Triniti </t>
  </si>
  <si>
    <t>Pimchanok Maneerat</t>
  </si>
  <si>
    <t xml:space="preserve">Poonkiat Punyamitr </t>
  </si>
  <si>
    <t>Jirawan Ritdet</t>
  </si>
  <si>
    <t>Jittima Supakornsaengtong</t>
  </si>
  <si>
    <t>Sakaowduen Singha</t>
  </si>
  <si>
    <t>Prapatsarin Rattanapattarawiboon</t>
  </si>
  <si>
    <t xml:space="preserve">Thunyanun Poonnawiwat </t>
  </si>
  <si>
    <t>Jirawan Deeperm</t>
  </si>
  <si>
    <t>Phanida Phanaphaiprasoet</t>
  </si>
  <si>
    <t>Wipada Poolsawas</t>
  </si>
  <si>
    <t>Rhumpath Chainat hospital</t>
  </si>
  <si>
    <t>Suchatree Botpibul</t>
  </si>
  <si>
    <t>Warattaya Khiewthong</t>
  </si>
  <si>
    <t xml:space="preserve">Sureerut Mongkolprathumrut </t>
  </si>
  <si>
    <t>Pandita Kapthong</t>
  </si>
  <si>
    <t>NIPT20250827</t>
  </si>
  <si>
    <t>202500975-RS</t>
  </si>
  <si>
    <t>202500998-RL</t>
  </si>
  <si>
    <t>Peechaya Leevarit</t>
  </si>
  <si>
    <t xml:space="preserve">Pongsun Puntachai </t>
  </si>
  <si>
    <t>Sunisa Sonkhrua</t>
  </si>
  <si>
    <t>Juthaporn Sujitrom</t>
  </si>
  <si>
    <t>Anongnart Kradee</t>
  </si>
  <si>
    <t>Saipin Pongsatha</t>
  </si>
  <si>
    <t>Wiyada Amnuaysi</t>
  </si>
  <si>
    <t>Kamolwan Noiwan</t>
  </si>
  <si>
    <t>Nipaporn Sangsukwaw</t>
  </si>
  <si>
    <t xml:space="preserve">Rathawit Suntorn </t>
  </si>
  <si>
    <t>Chonlada Thawonying</t>
  </si>
  <si>
    <t>Panomporn Tangpongsirikul</t>
  </si>
  <si>
    <t>Silaphat Kaendee</t>
  </si>
  <si>
    <t>Chalothon Suvannarangsee</t>
  </si>
  <si>
    <t>Napapun Samaksaman</t>
  </si>
  <si>
    <t>Suwannee Buranawattanachoke</t>
  </si>
  <si>
    <t>Hansa Chaisiri</t>
  </si>
  <si>
    <t>Saint Louis Hospital</t>
  </si>
  <si>
    <t>Petcharat Pitahongnun</t>
  </si>
  <si>
    <t>Nawarat Chankajorn</t>
  </si>
  <si>
    <t>Pusuda Laiprasert</t>
  </si>
  <si>
    <t>Chanyanuch Panawan</t>
  </si>
  <si>
    <t xml:space="preserve">Theenat Kanjanasingh </t>
  </si>
  <si>
    <t>Sudnita Charoenphon</t>
  </si>
  <si>
    <t>QS fail</t>
  </si>
  <si>
    <t>Wassana Boonsip</t>
  </si>
  <si>
    <t>low fetal fraction</t>
  </si>
  <si>
    <t>Aphinya Tajanata</t>
  </si>
  <si>
    <t>Jutarmas Jumnong</t>
  </si>
  <si>
    <t xml:space="preserve">Wiboon Sirivarakul </t>
  </si>
  <si>
    <t>Kittaya Niennattrakul</t>
  </si>
  <si>
    <t>Sakchai Panitwong</t>
  </si>
  <si>
    <t>Relibrary to verification CNV</t>
  </si>
  <si>
    <t>Rapatsarin Yimyuan</t>
  </si>
  <si>
    <t>Unnop  Jaisamrarn</t>
  </si>
  <si>
    <t>Sangsakao Inprom</t>
  </si>
  <si>
    <t>Namphueng Sripattaranitikul</t>
  </si>
  <si>
    <t>T9 chr9 positive with mosaicism, chimeric rate 17.16%. cffDNA includes fetal and placental DNA, and it cannot distinguish whether the mosaicism is truly fetal or originates from placental mosaicism. Also, Low-level mosaicism may not have a significant impact. 
Further clinical confirmation is recommended.</t>
  </si>
  <si>
    <t>รวม</t>
  </si>
  <si>
    <t>จำนวนน้ำยาที่ทำซ้ำ 
(Repeat + Resampling + Validate)</t>
  </si>
  <si>
    <t>NIPT20250829</t>
  </si>
  <si>
    <t>202500456-RS</t>
  </si>
  <si>
    <t>202501031-RL</t>
  </si>
  <si>
    <t>QS Failed (QS &gt; 2)</t>
  </si>
  <si>
    <t>202501035-RL</t>
  </si>
  <si>
    <t>UniqReads for NIPT is less than minimum requirement ( 16 millions) . Resequencing to get enough UniqReads. Lena Recommendation: Check the qbuit，if is too low，relibrary. otherwise， resequencing and pay attention to pooling，to get more reads. If they not sure which process caused UinqRead failed，please check with thailand FAS or GeneMind FAS Mr.Du</t>
  </si>
  <si>
    <t>Pornsuda Sorathiwa</t>
  </si>
  <si>
    <t>Wilailak Srithan</t>
  </si>
  <si>
    <t>Phusanisa Lomthong</t>
  </si>
  <si>
    <t>Thannattaporn Vilairat</t>
  </si>
  <si>
    <t>Katkanok Chaichana</t>
  </si>
  <si>
    <t>Rungfa Rueangsaen</t>
  </si>
  <si>
    <t>Natta Siamhan</t>
  </si>
  <si>
    <t>Nan Nu Nu Yee</t>
  </si>
  <si>
    <t>Phasita Champathong</t>
  </si>
  <si>
    <t>Sopin Hongpatanachai</t>
  </si>
  <si>
    <t>Nittaya Inkanon</t>
  </si>
  <si>
    <t>Sudaporn Muanlaew</t>
  </si>
  <si>
    <t>Angkana Kawchoosri</t>
  </si>
  <si>
    <t>Sutasinee Supsucharit</t>
  </si>
  <si>
    <t>Nantawan Chochawong</t>
  </si>
  <si>
    <t>Sudawon Ponthong</t>
  </si>
  <si>
    <t>Wimonphan Krittayakulchat</t>
  </si>
  <si>
    <t>Boonsong Medical Clinic</t>
  </si>
  <si>
    <t>Boonsong Rawangban</t>
  </si>
  <si>
    <t xml:space="preserve"> Z-score (Chr9) = 7.77 ( 4.5&lt;Z-score&lt;8 ) </t>
  </si>
  <si>
    <t>Supamart Chaiyong</t>
  </si>
  <si>
    <t>Sunisa Saehang</t>
  </si>
  <si>
    <t>Pethporn Chanpitu</t>
  </si>
  <si>
    <t>Calista Uyva</t>
  </si>
  <si>
    <t>รวมจำนวนน้ำยาที่ใช้ทั้งหมด</t>
  </si>
  <si>
    <t>NIPT20250901</t>
  </si>
  <si>
    <t>202500963-RS</t>
  </si>
  <si>
    <t>202500991-RS</t>
  </si>
  <si>
    <t>202501035-RL-RL</t>
  </si>
  <si>
    <t>202501055-RL</t>
  </si>
  <si>
    <t>ZscoreT9 = 7.87(if  4.5&lt;Z-score&lt;8, resample for verification.)</t>
  </si>
  <si>
    <t>Naphat Phansri</t>
  </si>
  <si>
    <t>Pimchanok Srimuang</t>
  </si>
  <si>
    <t>Netpreeya Nakngam</t>
  </si>
  <si>
    <t>Wipawan Laorattanakomut</t>
  </si>
  <si>
    <t>Sroi Saensong</t>
  </si>
  <si>
    <t>Ploynaphat Preechanuwatanasiri</t>
  </si>
  <si>
    <t>Saengarun Thapthanee</t>
  </si>
  <si>
    <t>Than Than Htay</t>
  </si>
  <si>
    <t xml:space="preserve">Saranchana Dissakorn </t>
  </si>
  <si>
    <t>Ampai Jeamdee</t>
  </si>
  <si>
    <t>Tube validation discordance</t>
  </si>
  <si>
    <t>Chuthamat Yanyong</t>
  </si>
  <si>
    <t>Sunly Yem</t>
  </si>
  <si>
    <t>Khamphordy</t>
  </si>
  <si>
    <t>Thanatcha Julamun</t>
  </si>
  <si>
    <t>Janthra Namthip</t>
  </si>
  <si>
    <t xml:space="preserve">Apiwat Wangpusayavisut </t>
  </si>
  <si>
    <t>Nan Thi Dar Khaing</t>
  </si>
  <si>
    <t>Thunyanun poonnawiwat</t>
  </si>
  <si>
    <t>Puttida Thongpeaw</t>
  </si>
  <si>
    <t>Chatchadaporn Neerasen</t>
  </si>
  <si>
    <t>Reveewan Khumpho</t>
  </si>
  <si>
    <t>Yardpirun Tonbun</t>
  </si>
  <si>
    <t>Lalita Songsathaporn</t>
  </si>
  <si>
    <t>Nan Kham Chu</t>
  </si>
  <si>
    <t>HEUA</t>
  </si>
  <si>
    <t>Sudarat Chatchana</t>
  </si>
  <si>
    <t>Jarinya Meetien</t>
  </si>
  <si>
    <t>NIPT20250902</t>
  </si>
  <si>
    <t>QS Failed</t>
  </si>
  <si>
    <t>Wannika Kunmano</t>
  </si>
  <si>
    <t>Supattra Dechaakkharametha</t>
  </si>
  <si>
    <t>Parrung Pholpipattanapong</t>
  </si>
  <si>
    <t>CNV verification</t>
  </si>
  <si>
    <t>Jiraya Rueangthai</t>
  </si>
  <si>
    <t>Ladthawan Kamsaeng</t>
  </si>
  <si>
    <t>Rattana Sala</t>
  </si>
  <si>
    <t>Doctor Piriya-Tanupol Clinic</t>
  </si>
  <si>
    <t>Sukomya Tuadee</t>
  </si>
  <si>
    <t>Watcharobon Chaowiwat</t>
  </si>
  <si>
    <t>Renu Khatthi</t>
  </si>
  <si>
    <t>Wilailak Pudsakaew</t>
  </si>
  <si>
    <t>Omjai Soikham</t>
  </si>
  <si>
    <t>Sofia Makta</t>
  </si>
  <si>
    <t>Popmed Medical Clinic</t>
  </si>
  <si>
    <t>Punmpuang Suayklang</t>
  </si>
  <si>
    <t>Netnapha Puangmanee</t>
  </si>
  <si>
    <t>Ratee Seepraman</t>
  </si>
  <si>
    <t>Raviporn Pookonglee</t>
  </si>
  <si>
    <t>Satinee Sangjan</t>
  </si>
  <si>
    <t>Nanthanat Thomkrathok</t>
  </si>
  <si>
    <t>Somprapha Srithat</t>
  </si>
  <si>
    <t>Apinya Chamram</t>
  </si>
  <si>
    <t>Ploychanok Kandee</t>
  </si>
  <si>
    <t>Chalita Chaisaen</t>
  </si>
  <si>
    <t>Vichuta Clinic</t>
  </si>
  <si>
    <t>Vichuta Unalome</t>
  </si>
  <si>
    <t>Cherilynn Hongkrailert</t>
  </si>
  <si>
    <t>Nanchaya Chothapthim</t>
  </si>
  <si>
    <t>Siriporn Ratchathanee</t>
  </si>
  <si>
    <t>NIPT20250903</t>
  </si>
  <si>
    <t>202501068-RL</t>
  </si>
  <si>
    <t>202501069-RL</t>
  </si>
  <si>
    <t>Winanya Riankai</t>
  </si>
  <si>
    <t>Vibhavadi hospital</t>
  </si>
  <si>
    <t>Nittaya Panpuk</t>
  </si>
  <si>
    <t>Waraporn Woradong</t>
  </si>
  <si>
    <t>Meena Yadav</t>
  </si>
  <si>
    <t>Jasmin Dangkomen</t>
  </si>
  <si>
    <t>Srisupa Laopakorn</t>
  </si>
  <si>
    <t>Supisara Kulnok</t>
  </si>
  <si>
    <t>Kwanrudee Kalnattee</t>
  </si>
  <si>
    <t>Nattanan Kunchaleerom</t>
  </si>
  <si>
    <t>Piyawan Pariyawateekul</t>
  </si>
  <si>
    <t>XU RUITING</t>
  </si>
  <si>
    <t>Paweethida Wattanapanee</t>
  </si>
  <si>
    <t>Sukanya Saenprasert</t>
  </si>
  <si>
    <t>Soontaree Thongsom</t>
  </si>
  <si>
    <t>Akarawit Clinic</t>
  </si>
  <si>
    <t>Akarawit Jitchanwichai</t>
  </si>
  <si>
    <t>Supanee Khunpracha</t>
  </si>
  <si>
    <t>Sudarat Phanthong</t>
  </si>
  <si>
    <t>Chutimon Kitsakul</t>
  </si>
  <si>
    <t>Piyanee Bolganith</t>
  </si>
  <si>
    <t>Z-scoreT7 = 4.55. If 4.5&lt;Z-score&lt;8, resample for verification</t>
  </si>
  <si>
    <t>Janjira Yothakot</t>
  </si>
  <si>
    <t>Butsararat Kaewkla</t>
  </si>
  <si>
    <t>Paveena Sributta</t>
  </si>
  <si>
    <t>Theerapat Clinic</t>
  </si>
  <si>
    <t>Parichat Chompueng</t>
  </si>
  <si>
    <t>Liangdy Willis</t>
  </si>
  <si>
    <t>NIPT20250905</t>
  </si>
  <si>
    <t>202501085-RL</t>
  </si>
  <si>
    <t>UR Failed</t>
  </si>
  <si>
    <t>202501088-RL</t>
  </si>
  <si>
    <t>202501124-RL</t>
  </si>
  <si>
    <t>Natthanit Pokcrong</t>
  </si>
  <si>
    <t>Butsaya Chaiyarat</t>
  </si>
  <si>
    <t>Ladapa Luppongsombat</t>
  </si>
  <si>
    <t>Nampheung Wutimon</t>
  </si>
  <si>
    <t>Kanidta Chumjun</t>
  </si>
  <si>
    <t>Chiraphon Chaiotthon</t>
  </si>
  <si>
    <t>Jidapa Suriwong</t>
  </si>
  <si>
    <t>Patcharaporn Charoensuk</t>
  </si>
  <si>
    <t>Pawarinyaporn Kuroorak</t>
  </si>
  <si>
    <t>Pattarawadee Siriprapanonkul</t>
  </si>
  <si>
    <t>Sengphachanh Phanith</t>
  </si>
  <si>
    <t>Sutthinan Sahasinsitthinan</t>
  </si>
  <si>
    <t>Cholaros Charoenratana</t>
  </si>
  <si>
    <t>Siriwan Poooo</t>
  </si>
  <si>
    <t>Nithirat Boontanon</t>
  </si>
  <si>
    <t>Benjawan Sasomsong</t>
  </si>
  <si>
    <t>Jiraporn Sinlaprapa</t>
  </si>
  <si>
    <t>Kannika Jindarong</t>
  </si>
  <si>
    <t>KANYA KEOPASEUT</t>
  </si>
  <si>
    <t>Siriluk Sangngiw</t>
  </si>
  <si>
    <t>Panwit Wirojwong</t>
  </si>
  <si>
    <t>Woranan Kasemthongsap</t>
  </si>
  <si>
    <t>Chiangmai Klaimor Hospital</t>
  </si>
  <si>
    <t>Sayan Veskijkul</t>
  </si>
  <si>
    <t>Nattakun Tounsiri</t>
  </si>
  <si>
    <t>Suchavadee Sakunwong</t>
  </si>
  <si>
    <t>NIPT20250909</t>
  </si>
  <si>
    <t>202501055-RS</t>
  </si>
  <si>
    <t>T13 verification</t>
  </si>
  <si>
    <t>202501133-RL</t>
  </si>
  <si>
    <t>202501140-RL</t>
  </si>
  <si>
    <t>Jankaew Boonya</t>
  </si>
  <si>
    <t>Wisakon Chaiyaphum</t>
  </si>
  <si>
    <t>Thidasinan Charoensrithiwakorn</t>
  </si>
  <si>
    <t>Ladda Sukphoem</t>
  </si>
  <si>
    <t>Kesone Kanhalikham</t>
  </si>
  <si>
    <t>Punyanud Suewacha</t>
  </si>
  <si>
    <t>Jinnapat Katasila</t>
  </si>
  <si>
    <t>Thanapron Chaichana</t>
  </si>
  <si>
    <t>Pantaree Tudpraditthiti</t>
  </si>
  <si>
    <t>Kunsiri Lawang</t>
  </si>
  <si>
    <t xml:space="preserve">Nan Tin Nila Myint </t>
  </si>
  <si>
    <t>Mookrawee Bunyalub</t>
  </si>
  <si>
    <t>Rachata Wankayo</t>
  </si>
  <si>
    <t xml:space="preserve">Surakit Yingyuenyong </t>
  </si>
  <si>
    <t xml:space="preserve">Nan Cho Cho Than </t>
  </si>
  <si>
    <t xml:space="preserve">Daw Hnin Ei Man </t>
  </si>
  <si>
    <t xml:space="preserve">Khaing Khaing Oo </t>
  </si>
  <si>
    <t xml:space="preserve">Than Than Soe </t>
  </si>
  <si>
    <t xml:space="preserve">Mu Yar Lwin </t>
  </si>
  <si>
    <t>Maliwan Hassanai</t>
  </si>
  <si>
    <t>Wannapha Yuyen</t>
  </si>
  <si>
    <t>Phetsutee Medical Laboratory</t>
  </si>
  <si>
    <t>Patcharee Kasempakdeepong</t>
  </si>
  <si>
    <t>Waranya Kokmanee</t>
  </si>
  <si>
    <t>Tipmongkon Jumpakaew</t>
  </si>
  <si>
    <t xml:space="preserve">Pattarawadee Siriprapanonkul </t>
  </si>
  <si>
    <t>NIPT20250909-2</t>
  </si>
  <si>
    <t>Kodchakorn Buakaew</t>
  </si>
  <si>
    <t>Manuschai Kulpornsirikul</t>
  </si>
  <si>
    <t>Siriwan Kankat</t>
  </si>
  <si>
    <t>Nilawan Thaewaban</t>
  </si>
  <si>
    <t xml:space="preserve">Moukda Xiengan </t>
  </si>
  <si>
    <t>Yossawadee Watthanorom</t>
  </si>
  <si>
    <t>Willpda Sathitpanyakul</t>
  </si>
  <si>
    <t xml:space="preserve">Nan Athe Pearl </t>
  </si>
  <si>
    <t xml:space="preserve">Kanyapat Watthanorom </t>
  </si>
  <si>
    <t>Ni-on Kitsana</t>
  </si>
  <si>
    <t xml:space="preserve">Kannikar Aurwattanakorn </t>
  </si>
  <si>
    <t>Natpaphat Supkornkij</t>
  </si>
  <si>
    <t>Pichai Saetan</t>
  </si>
  <si>
    <t>Chidsamai Ounmon</t>
  </si>
  <si>
    <t>Darunee Jaiprom</t>
  </si>
  <si>
    <t xml:space="preserve">Sayam Veskijkul </t>
  </si>
  <si>
    <t>Nongnapat Boonjaroen</t>
  </si>
  <si>
    <t>Luchuta Suksomart</t>
  </si>
  <si>
    <t xml:space="preserve">Supreecha Leksuwan </t>
  </si>
  <si>
    <t>Khuanrudee Tariwik</t>
  </si>
  <si>
    <t>Jaruayporn Sawangsri</t>
  </si>
  <si>
    <t>Jiraporn Plongjit</t>
  </si>
  <si>
    <t>Charinya Thimthong</t>
  </si>
  <si>
    <t>Nootcharin Siriphong</t>
  </si>
  <si>
    <t>Rukchanok Jaroensri</t>
  </si>
  <si>
    <t>Darunee Suwannee</t>
  </si>
  <si>
    <t>NIPT20250910-1</t>
  </si>
  <si>
    <t>202501031-RS</t>
  </si>
  <si>
    <t>202501032-RS</t>
  </si>
  <si>
    <t>Pimpakan Sapphli</t>
  </si>
  <si>
    <t xml:space="preserve">Kanokwan Apinsathanon </t>
  </si>
  <si>
    <t>Maewika Marapaht</t>
  </si>
  <si>
    <t>Kannika Jaimakrua</t>
  </si>
  <si>
    <t>Chanapa Karakas</t>
  </si>
  <si>
    <t>Janjira Phadkaew</t>
  </si>
  <si>
    <t xml:space="preserve">Chutikarn Osotcharoenphon </t>
  </si>
  <si>
    <t>Marisa Chareewong</t>
  </si>
  <si>
    <t>Kalasin Woman health center</t>
  </si>
  <si>
    <t xml:space="preserve">Thirawut Khanprakob </t>
  </si>
  <si>
    <t>Sudarat Thongnen</t>
  </si>
  <si>
    <t>Prapatsorn Wongprathed</t>
  </si>
  <si>
    <t>Maytaporn Yoosukarb</t>
  </si>
  <si>
    <t>%GC Failed</t>
  </si>
  <si>
    <t>Pronthip Poonsawat</t>
  </si>
  <si>
    <t>Methinee Chasombat</t>
  </si>
  <si>
    <t>Pimwipa Phoote</t>
  </si>
  <si>
    <t xml:space="preserve">Wine Wine </t>
  </si>
  <si>
    <t xml:space="preserve">Thongchai Meelurkan </t>
  </si>
  <si>
    <t>Vipada Lummanid</t>
  </si>
  <si>
    <t>Rantiya Sukgler</t>
  </si>
  <si>
    <t>Sukanya Thianngern</t>
  </si>
  <si>
    <t>Supranee Rakkarn</t>
  </si>
  <si>
    <t>Areerat Somma</t>
  </si>
  <si>
    <t>Nuengruethai Sawatrungrueang</t>
  </si>
  <si>
    <t>NIPT20250910-2</t>
  </si>
  <si>
    <t>202501055-RS-RL</t>
  </si>
  <si>
    <t>202501085-RS</t>
  </si>
  <si>
    <t>202501124-RS</t>
  </si>
  <si>
    <t>Supawadee Cangsuksanti</t>
  </si>
  <si>
    <t>Panadda Dondeelert</t>
  </si>
  <si>
    <t>Synphaet Theparak hospital</t>
  </si>
  <si>
    <t xml:space="preserve">Maneerat Pichitronnachai </t>
  </si>
  <si>
    <t>Kitsana Sophakun</t>
  </si>
  <si>
    <t>Natkrita Phewdam</t>
  </si>
  <si>
    <t>Polina Koroleva</t>
  </si>
  <si>
    <t xml:space="preserve">Purim Ruanphoo </t>
  </si>
  <si>
    <t>XY/XYY Verification</t>
  </si>
  <si>
    <t>Kunyalak Changpuss</t>
  </si>
  <si>
    <t>Supranee Junsang</t>
  </si>
  <si>
    <t>Phassara  Saengwaree</t>
  </si>
  <si>
    <t>Areeya Bensa</t>
  </si>
  <si>
    <t xml:space="preserve">Phatsorn Sae-lin </t>
  </si>
  <si>
    <t>Prasita Boonpila</t>
  </si>
  <si>
    <t>Athicha Khosin</t>
  </si>
  <si>
    <t>Watsana Sukprasert</t>
  </si>
  <si>
    <t>Jenjira Tepinta</t>
  </si>
  <si>
    <t>Marisa Soiphet</t>
  </si>
  <si>
    <t>Chenchira Sisaet</t>
  </si>
  <si>
    <t xml:space="preserve">Boonsak Pongpanich </t>
  </si>
  <si>
    <t>Ampha Joodto</t>
  </si>
  <si>
    <t xml:space="preserve">Thunyada Thiampong </t>
  </si>
  <si>
    <t>Phakawan Kajaren</t>
  </si>
  <si>
    <t xml:space="preserve">Myo Myo </t>
  </si>
  <si>
    <t>Phitchaya Phoopairachaphong</t>
  </si>
  <si>
    <t xml:space="preserve">Vichuta Unalome </t>
  </si>
  <si>
    <t>Kornkanok Kanjanarot</t>
  </si>
  <si>
    <t xml:space="preserve">Ratchaya Maharuensong </t>
  </si>
  <si>
    <t>NIPT20250912</t>
  </si>
  <si>
    <t>202501225-RL</t>
  </si>
  <si>
    <t>202501227-RL</t>
  </si>
  <si>
    <t>202501236-RL</t>
  </si>
  <si>
    <t>Sansany Khamsoukthavong</t>
  </si>
  <si>
    <t>Sommany Khamsoukthavong</t>
  </si>
  <si>
    <t>Silaporn Kansorn</t>
  </si>
  <si>
    <t>Watcharaporn Thumdee</t>
  </si>
  <si>
    <t>Jidsupha Khannalao</t>
  </si>
  <si>
    <t>Yuwadee Thepphan</t>
  </si>
  <si>
    <t xml:space="preserve">Anurak Bodhidatta </t>
  </si>
  <si>
    <t>Kittiya Sangpong</t>
  </si>
  <si>
    <t xml:space="preserve">Smith Ratanaphanyarat </t>
  </si>
  <si>
    <t>Nadtavadee Pasansuk</t>
  </si>
  <si>
    <t>Khajeewan Ketraksa</t>
  </si>
  <si>
    <t>Sirirat Pawanna</t>
  </si>
  <si>
    <t>Chanida Pobut</t>
  </si>
  <si>
    <t>Chayakarn Siripong</t>
  </si>
  <si>
    <t xml:space="preserve">Nuttanun Panyawongudom </t>
  </si>
  <si>
    <t>Siriwan Saunchoophol</t>
  </si>
  <si>
    <t xml:space="preserve">Monyada Pieankong </t>
  </si>
  <si>
    <t>Ratchadaporn Chatsom</t>
  </si>
  <si>
    <t>Nuengruethai Sinnithithaworn</t>
  </si>
  <si>
    <t>Waranya Laosaksam</t>
  </si>
  <si>
    <t>Aingnicha Thatsit</t>
  </si>
  <si>
    <t>Klairung Gruaythong</t>
  </si>
  <si>
    <t>Kemmapat Lalitwongsa</t>
  </si>
  <si>
    <t>Natwalai Somsiri</t>
  </si>
  <si>
    <t>Thanapa Poolnil</t>
  </si>
  <si>
    <t>T21 verification</t>
  </si>
  <si>
    <t>Nan Aorr Baw</t>
  </si>
  <si>
    <t xml:space="preserve">Kritakarn Telapol </t>
  </si>
  <si>
    <t>Sapik Phanthavong</t>
  </si>
  <si>
    <t>Budsayamas Kaewrasamee</t>
  </si>
  <si>
    <t>Kitsada Waipradit</t>
  </si>
  <si>
    <t xml:space="preserve">Kittinun Nakpun </t>
  </si>
  <si>
    <t>Rattiya Ruanglong</t>
  </si>
  <si>
    <t xml:space="preserve">Amporn Srisupornkornkul </t>
  </si>
  <si>
    <t>Siriporn Tainjan</t>
  </si>
  <si>
    <t>Pakaporn Uthaichalanont</t>
  </si>
  <si>
    <t>NIPT20250915</t>
  </si>
  <si>
    <t>202501253-RL</t>
  </si>
  <si>
    <t>202501262-RL</t>
  </si>
  <si>
    <t>Sarannut Intongdee</t>
  </si>
  <si>
    <t>Ratanaporn Amphijit</t>
  </si>
  <si>
    <t>Sangdaen Butin</t>
  </si>
  <si>
    <t>Rattawan Sookprasan</t>
  </si>
  <si>
    <t>Napassorn Thienthong</t>
  </si>
  <si>
    <t>Phakkhaphat Phuengyotsiriphak</t>
  </si>
  <si>
    <t>Jarinthip Charoenkommetha</t>
  </si>
  <si>
    <t>Mya Thu Zar Win</t>
  </si>
  <si>
    <t>Ladda Pama</t>
  </si>
  <si>
    <t>Nonglak Tangnawee</t>
  </si>
  <si>
    <t>Kanokwan Chatchoi</t>
  </si>
  <si>
    <t>Papatsarin Himhanampai</t>
  </si>
  <si>
    <t>Sunantip Domdang</t>
  </si>
  <si>
    <t>Kanthima Khanteetong</t>
  </si>
  <si>
    <t xml:space="preserve">Karan Veerapongset </t>
  </si>
  <si>
    <t>Preeyanuch Suwan</t>
  </si>
  <si>
    <t xml:space="preserve">Sukanya Mokkongphai </t>
  </si>
  <si>
    <t>Suntaree Gatdee</t>
  </si>
  <si>
    <t>Chanisada Sarajun</t>
  </si>
  <si>
    <t xml:space="preserve">Noochanart pattanapanyasat </t>
  </si>
  <si>
    <t>Konkanok Somjan</t>
  </si>
  <si>
    <t xml:space="preserve">Narong Inploy </t>
  </si>
  <si>
    <t>Nan Thein Nyunt</t>
  </si>
  <si>
    <t>Panomporn Siripatanadilok</t>
  </si>
  <si>
    <t>NIPT20250917</t>
  </si>
  <si>
    <t>Wilailak Tanyachareon</t>
  </si>
  <si>
    <t>Wararat Chimtim</t>
  </si>
  <si>
    <t>Yanaphan Muentha</t>
  </si>
  <si>
    <t>Suchavalee Gunob</t>
  </si>
  <si>
    <t>Kamonthip Inkhieo</t>
  </si>
  <si>
    <t>Wannaporn Singnoi</t>
  </si>
  <si>
    <t>Pattravadee Kunlawong</t>
  </si>
  <si>
    <t>Chanita Chumnannoh</t>
  </si>
  <si>
    <t>Kanjana Kitsoda</t>
  </si>
  <si>
    <t>Kanwala Laloeng</t>
  </si>
  <si>
    <t>Sukanya Sasom</t>
  </si>
  <si>
    <t>Paijit Makkoktal</t>
  </si>
  <si>
    <t>Supada Sukhad</t>
  </si>
  <si>
    <t xml:space="preserve">Thitikarn Lerthiranwong </t>
  </si>
  <si>
    <t>Pijittra Unnawong</t>
  </si>
  <si>
    <t xml:space="preserve">Porntita Lersbuasin  </t>
  </si>
  <si>
    <t>Pailin Konin</t>
  </si>
  <si>
    <t xml:space="preserve">Supatchaya Siripadung </t>
  </si>
  <si>
    <t>Viengphone Khonesavanh</t>
  </si>
  <si>
    <t>Thanarin Kaewduangdee</t>
  </si>
  <si>
    <t xml:space="preserve">Kittisak Kanasawat </t>
  </si>
  <si>
    <t>Sudarat Kotchasarn</t>
  </si>
  <si>
    <t>Panittha Tippawan</t>
  </si>
  <si>
    <t>Bongkodchakon Prathammasan</t>
  </si>
  <si>
    <t>Nipa Saelow</t>
  </si>
  <si>
    <t>NIPT20250918</t>
  </si>
  <si>
    <t>202501309-RL</t>
  </si>
  <si>
    <t>Kantika Boonshob</t>
  </si>
  <si>
    <t>Pornphilai Banphatathi</t>
  </si>
  <si>
    <t>Lalita Pimput</t>
  </si>
  <si>
    <t>NAW EH PAW PAW</t>
  </si>
  <si>
    <t>Kanyamon Klomkliang</t>
  </si>
  <si>
    <t>Naphatsarin Sriraphan</t>
  </si>
  <si>
    <t>Kornkanok Chinsote</t>
  </si>
  <si>
    <t xml:space="preserve">Yenrudee Poomtavorn </t>
  </si>
  <si>
    <t>Panisara Yonggiattigan</t>
  </si>
  <si>
    <t xml:space="preserve">Phassara  Saengwaree </t>
  </si>
  <si>
    <t>Nalintip Sridama</t>
  </si>
  <si>
    <t>Kanjana Krutchaiyan</t>
  </si>
  <si>
    <t>Lalida Latham</t>
  </si>
  <si>
    <t xml:space="preserve">Jittima Supakornsaengtong </t>
  </si>
  <si>
    <t>Duangphorn Maitreejit</t>
  </si>
  <si>
    <t xml:space="preserve">Siriporn Trainak </t>
  </si>
  <si>
    <t>Kwanphirom Lalun</t>
  </si>
  <si>
    <t>Sasima Sangkumdee</t>
  </si>
  <si>
    <t>Toungrat Sangchote</t>
  </si>
  <si>
    <t xml:space="preserve">Jiranat Boosamund </t>
  </si>
  <si>
    <t>Sasinan Khuisuk</t>
  </si>
  <si>
    <t xml:space="preserve">Rucha Thangjittham </t>
  </si>
  <si>
    <t>Thassanee Ondam</t>
  </si>
  <si>
    <t>Pempak Namkham</t>
  </si>
  <si>
    <t>Chenchira Wandi</t>
  </si>
  <si>
    <t>Yeewoei Sae Chang</t>
  </si>
  <si>
    <t>Chiraporn Samaket</t>
  </si>
  <si>
    <t>Pattaramas Lertcheewakan</t>
  </si>
  <si>
    <t>Amphai Lokham</t>
  </si>
  <si>
    <t>Manilay Dethvongphanh</t>
  </si>
  <si>
    <t>Arisara Poomnuan</t>
  </si>
  <si>
    <t>Narinrat Manosong</t>
  </si>
  <si>
    <t>Ladawan Nimanong</t>
  </si>
  <si>
    <t>Jutapit Aphiban</t>
  </si>
  <si>
    <t xml:space="preserve">Wanicha Sittiparn </t>
  </si>
  <si>
    <t>NIPT20250920</t>
  </si>
  <si>
    <t>202501320-RL</t>
  </si>
  <si>
    <t>UniqRate failed</t>
  </si>
  <si>
    <t>202501325-RL</t>
  </si>
  <si>
    <t>202501327-RL</t>
  </si>
  <si>
    <t>202501330-RL</t>
  </si>
  <si>
    <t>202501336-RL</t>
  </si>
  <si>
    <t>Jeeraphat Janson</t>
  </si>
  <si>
    <t>Ploypaya Ploybhajarakula</t>
  </si>
  <si>
    <t>Timaporn Khoonpong</t>
  </si>
  <si>
    <t>Phadtakamon Kongtong</t>
  </si>
  <si>
    <t xml:space="preserve">Opas Pathawanit </t>
  </si>
  <si>
    <t>Aree Pirayapanit</t>
  </si>
  <si>
    <t>Sutla Phithaktrakunanan</t>
  </si>
  <si>
    <t>Phimnipha Mongkolkeereeroj</t>
  </si>
  <si>
    <t>Nuth Noppawitsnithi</t>
  </si>
  <si>
    <t>Wachilaporn Srisan</t>
  </si>
  <si>
    <t>Patcharat Songsri</t>
  </si>
  <si>
    <t>Prawwarin Charoensuk</t>
  </si>
  <si>
    <t>Warisara Prempree</t>
  </si>
  <si>
    <t>Piyada Onprasong</t>
  </si>
  <si>
    <t>Parisa Niruchawarakul</t>
  </si>
  <si>
    <t>Papungkorn Surapanthapisit</t>
  </si>
  <si>
    <t>Nidkamoln Yodsakul</t>
  </si>
  <si>
    <t>Natthiya Nasok</t>
  </si>
  <si>
    <t>Khemmanat Sanguanwongthong</t>
  </si>
  <si>
    <t>Pornnarin Singtoen</t>
  </si>
  <si>
    <t>Orrapan Sookphom</t>
  </si>
  <si>
    <t>Araya Ketjan</t>
  </si>
  <si>
    <t>Lillada Clinic</t>
  </si>
  <si>
    <t>Lillada Umpawa</t>
  </si>
  <si>
    <t>Narisara Kanyayoot</t>
  </si>
  <si>
    <t xml:space="preserve">Pawanruj Tuksanawes </t>
  </si>
  <si>
    <t>Sineenad Kongchang</t>
  </si>
  <si>
    <t xml:space="preserve">Akegapot  Anantaworapot </t>
  </si>
  <si>
    <t>Kornnika Jomwong</t>
  </si>
  <si>
    <t>Waranya Sornsurin</t>
  </si>
  <si>
    <t>Nuntana Sudtachart</t>
  </si>
  <si>
    <t xml:space="preserve">Penpak Jensarasart </t>
  </si>
  <si>
    <t>Lamphay Visetsin</t>
  </si>
  <si>
    <t>Suthada Puttarak</t>
  </si>
  <si>
    <t>NIPT20250924</t>
  </si>
  <si>
    <t>202501309-RS</t>
  </si>
  <si>
    <t>202501320-RL-RL</t>
  </si>
  <si>
    <t>202501327-RL-RL</t>
  </si>
  <si>
    <t>202501341-RL</t>
  </si>
  <si>
    <t>202501346-RL</t>
  </si>
  <si>
    <t>202501357-RL</t>
  </si>
  <si>
    <t>202501360-RL</t>
  </si>
  <si>
    <t>Sukanya Duangsanwo</t>
  </si>
  <si>
    <t>Issaraporn Inek</t>
  </si>
  <si>
    <t>Supitcha Sangthong</t>
  </si>
  <si>
    <t>Pusanisa Sirima</t>
  </si>
  <si>
    <t>Phaenwa Hansamak</t>
  </si>
  <si>
    <t>Jantra Khammueang</t>
  </si>
  <si>
    <t>Jaruwan Sarikakad</t>
  </si>
  <si>
    <t xml:space="preserve">Torsak Aungkananupong </t>
  </si>
  <si>
    <t>Siriporn Promchuen</t>
  </si>
  <si>
    <t>Orrawan Bunked</t>
  </si>
  <si>
    <t>Nuchjaree Boonmar</t>
  </si>
  <si>
    <t>Ladda Mueangden</t>
  </si>
  <si>
    <t>Sirimas Ingkanart</t>
  </si>
  <si>
    <t>Fai Somvang</t>
  </si>
  <si>
    <t>Sutatta Yospunya</t>
  </si>
  <si>
    <t xml:space="preserve">Theerapat Keawsaard </t>
  </si>
  <si>
    <t>Piyawan Phonchamni</t>
  </si>
  <si>
    <t xml:space="preserve">Worapong Worachet </t>
  </si>
  <si>
    <t>Laorrat Mitjit</t>
  </si>
  <si>
    <t xml:space="preserve">Chanaphat Tarat </t>
  </si>
  <si>
    <t>Kitiya Akaraun</t>
  </si>
  <si>
    <t>Khanlisa</t>
  </si>
  <si>
    <t xml:space="preserve">Parawee Tongudai </t>
  </si>
  <si>
    <t>Wannapha Issaard</t>
  </si>
  <si>
    <t xml:space="preserve">Kaniknun Kitisrivorapan </t>
  </si>
  <si>
    <t>Thanatcha Srinak</t>
  </si>
  <si>
    <t xml:space="preserve">Kanyarat Petcharat </t>
  </si>
  <si>
    <t>Emmika Bunoeb</t>
  </si>
  <si>
    <t>Jittiphon Kowattana</t>
  </si>
  <si>
    <t xml:space="preserve">Krissanee Theppratuangthip </t>
  </si>
  <si>
    <t>Chanjira Namwicha</t>
  </si>
  <si>
    <t xml:space="preserve">Natkritta Pinyoanantapong </t>
  </si>
  <si>
    <t>NIPT20250928</t>
  </si>
  <si>
    <t>202501190-RS</t>
  </si>
  <si>
    <t>202501384-RL</t>
  </si>
  <si>
    <t>Praetong Somphop</t>
  </si>
  <si>
    <t>Nan Shwe Nu</t>
  </si>
  <si>
    <t>Natchapat Meegarun</t>
  </si>
  <si>
    <t>Temsiri Parapirom</t>
  </si>
  <si>
    <t xml:space="preserve">Parit Wachasiddhisilpa </t>
  </si>
  <si>
    <t>Onanong Jannoy</t>
  </si>
  <si>
    <t>Oranut Julkliang</t>
  </si>
  <si>
    <t>Arpakorn Suriyawong</t>
  </si>
  <si>
    <t xml:space="preserve">Artisa Wasinarom </t>
  </si>
  <si>
    <t>Vasittee Setprasong</t>
  </si>
  <si>
    <t>Piyawan Chindasing</t>
  </si>
  <si>
    <t>Kadsarin Vongfong</t>
  </si>
  <si>
    <t>Yadpirun Udomtrap</t>
  </si>
  <si>
    <t>Praewnapa Pimchaiyong</t>
  </si>
  <si>
    <t>Sunilamon Chotwiwatthakul</t>
  </si>
  <si>
    <t>Atcharaporn Sonmuang</t>
  </si>
  <si>
    <t>Orathai Sithanon</t>
  </si>
  <si>
    <t>Thirawut Khanprakob</t>
  </si>
  <si>
    <t>Nuanjan Waikhruea</t>
  </si>
  <si>
    <t>Jarunate Jainak</t>
  </si>
  <si>
    <t>Suparat Sukkhasem</t>
  </si>
  <si>
    <t>Abu Bialaeku</t>
  </si>
  <si>
    <t>Siriluk Srisumol</t>
  </si>
  <si>
    <t>Thanyatip U-danon</t>
  </si>
  <si>
    <t>Nan Tun Le</t>
  </si>
  <si>
    <t xml:space="preserve">Kamolwan chotapisitkul </t>
  </si>
  <si>
    <t>Nan Eain</t>
  </si>
  <si>
    <t>Jantra Sanlit</t>
  </si>
  <si>
    <t>Pamika Suwansaphak</t>
  </si>
  <si>
    <t>Naphaporn Seesin</t>
  </si>
  <si>
    <t>NIPT20250929</t>
  </si>
  <si>
    <t>Prapaijit Udtha</t>
  </si>
  <si>
    <t>Nitiwadee Panjun</t>
  </si>
  <si>
    <t>Waranyoo Chuthachan</t>
  </si>
  <si>
    <t>Nichakamol Khompanich</t>
  </si>
  <si>
    <t>Amonrat Wongwan</t>
  </si>
  <si>
    <t xml:space="preserve">Anyamanee Khansutham </t>
  </si>
  <si>
    <t>Preeyanuch Jornsathian</t>
  </si>
  <si>
    <t>Jutamas Khuntapat</t>
  </si>
  <si>
    <t>Ploypailin Thanabhinunt</t>
  </si>
  <si>
    <t>Pasuta Saengnak</t>
  </si>
  <si>
    <t xml:space="preserve">Pongpol Khuhathong </t>
  </si>
  <si>
    <t>Pawarisa Prajuabwan</t>
  </si>
  <si>
    <t>Nuseela Wado</t>
  </si>
  <si>
    <t>Nuchchada Boonchalee</t>
  </si>
  <si>
    <t>Lalita Jansuwan</t>
  </si>
  <si>
    <t xml:space="preserve">Arpanee Promthong </t>
  </si>
  <si>
    <t>Namtan Khomsanthia</t>
  </si>
  <si>
    <t>Chayanan Suriya</t>
  </si>
  <si>
    <t xml:space="preserve">Chumphol Chinniyomphanich </t>
  </si>
  <si>
    <t>Kannika Changnoi</t>
  </si>
  <si>
    <t>Lin Vilay</t>
  </si>
  <si>
    <t>Aye Aung</t>
  </si>
  <si>
    <t>Ariya</t>
  </si>
  <si>
    <t xml:space="preserve">Suthada Puttarak </t>
  </si>
  <si>
    <t>Mo Mo Aer</t>
  </si>
  <si>
    <t>Wijitra Meechalad</t>
  </si>
  <si>
    <t>Phiarphaka Phongam</t>
  </si>
  <si>
    <t>Naruemon Pliadee</t>
  </si>
  <si>
    <t>Jaranaporn Srikaewnual</t>
  </si>
  <si>
    <t>Nan Mya</t>
  </si>
  <si>
    <t>Atchara Panichpongpan</t>
  </si>
  <si>
    <t>Mira Ruamsuk</t>
  </si>
  <si>
    <t>bhc</t>
  </si>
  <si>
    <t>Ma Cho Pyone</t>
  </si>
  <si>
    <t xml:space="preserve">Yossawadee Kittiratanapinan </t>
  </si>
  <si>
    <t>T3 verification</t>
  </si>
  <si>
    <t>Noi</t>
  </si>
  <si>
    <t xml:space="preserve">Apirak Nguanboonmak </t>
  </si>
  <si>
    <t>Rutairat Jaimuang</t>
  </si>
  <si>
    <t>T18 verification</t>
  </si>
  <si>
    <t>Eaint Phue Phue</t>
  </si>
  <si>
    <t xml:space="preserve">Suwanna Sornwanee </t>
  </si>
  <si>
    <t>NIPT20251001</t>
  </si>
  <si>
    <t>202501357-RS</t>
  </si>
  <si>
    <t>202501412-RQ</t>
  </si>
  <si>
    <t>202501422-RQ</t>
  </si>
  <si>
    <t>202501438-RL</t>
  </si>
  <si>
    <t>202501440-RL</t>
  </si>
  <si>
    <t>FAIl</t>
  </si>
  <si>
    <t>Resampling is recommended due to result discordance</t>
  </si>
  <si>
    <t>202501441-RL</t>
  </si>
  <si>
    <t>Kanyarat Suwankitikul</t>
  </si>
  <si>
    <t xml:space="preserve">Yaowaluk Rapeepattana </t>
  </si>
  <si>
    <t>Jenny Khamchalern</t>
  </si>
  <si>
    <t>Auttaraporn Jaikaew</t>
  </si>
  <si>
    <t>Maneerat Pichitronnachai</t>
  </si>
  <si>
    <t>Panita Srichamnong</t>
  </si>
  <si>
    <t xml:space="preserve">Kanittha kitsombud </t>
  </si>
  <si>
    <t>Khanitta Noptargul</t>
  </si>
  <si>
    <t>Anchalee Ngamchanthathip</t>
  </si>
  <si>
    <t>Wannisa Klomdee</t>
  </si>
  <si>
    <t>Arisa Khemthong</t>
  </si>
  <si>
    <t>Thidar Lwin</t>
  </si>
  <si>
    <t>Laddawan Watchasok</t>
  </si>
  <si>
    <t>Jiraporn Phoopatee</t>
  </si>
  <si>
    <t xml:space="preserve">Arunrat Ungkarud </t>
  </si>
  <si>
    <t>Apinya Leejinda</t>
  </si>
  <si>
    <t>Walaiporn Pongvarodom</t>
  </si>
  <si>
    <t>Pornpimon Khannog</t>
  </si>
  <si>
    <t>Watcharapron Daungchai</t>
  </si>
  <si>
    <t>Noukthida Chaleunsouk</t>
  </si>
  <si>
    <t xml:space="preserve">Kusuma Boonarch </t>
  </si>
  <si>
    <t>Chintana Saeyang</t>
  </si>
  <si>
    <t>Nuttha Yotchana</t>
  </si>
  <si>
    <t>Somying Khampichai</t>
  </si>
  <si>
    <t>Kriangsak Saleephon</t>
  </si>
  <si>
    <t>Somruetai Komsai</t>
  </si>
  <si>
    <t>Soe Pye Pye Htoo</t>
  </si>
  <si>
    <t>Taksina Sutawong</t>
  </si>
  <si>
    <t>NIPT20251003</t>
  </si>
  <si>
    <t>202501384-RS</t>
  </si>
  <si>
    <t>202501447-RL</t>
  </si>
  <si>
    <t>202501454-RL</t>
  </si>
  <si>
    <t>202501455-RQ</t>
  </si>
  <si>
    <t>Matinee Tippamad</t>
  </si>
  <si>
    <t xml:space="preserve">Bhakthiya Boonthra </t>
  </si>
  <si>
    <t>Nannaphat Siripanichwong</t>
  </si>
  <si>
    <t>Patthamaporn Boonchamoy</t>
  </si>
  <si>
    <t>Chanatkan Sutammikanan</t>
  </si>
  <si>
    <t xml:space="preserve">Thanchanok Sompratthana </t>
  </si>
  <si>
    <t>Patcharin Rujiranukun</t>
  </si>
  <si>
    <t>Nan Myint Kyl</t>
  </si>
  <si>
    <t>Mamiko Toyosato</t>
  </si>
  <si>
    <t>Daeng Thammavong</t>
  </si>
  <si>
    <t>Sisomphone</t>
  </si>
  <si>
    <t>Koungnang Keoxiengsouane</t>
  </si>
  <si>
    <t xml:space="preserve">Suriya Amornpan </t>
  </si>
  <si>
    <t>Kunthida Worametrachanon</t>
  </si>
  <si>
    <t>Pattaramas Lertcheewakarn</t>
  </si>
  <si>
    <t>Maneerat Wapeeyo</t>
  </si>
  <si>
    <t>Chawanis Boonthong</t>
  </si>
  <si>
    <t xml:space="preserve">Prae Sabsamruei </t>
  </si>
  <si>
    <t>Rungarun Kamtha</t>
  </si>
  <si>
    <t>Nichapat Pimtong</t>
  </si>
  <si>
    <t>Ratsanon Aiamthot</t>
  </si>
  <si>
    <t>Suchavadee Pinprayoon</t>
  </si>
  <si>
    <t>Benjamaporn Sawangpak</t>
  </si>
  <si>
    <t>Wanutchaya Duanginta</t>
  </si>
  <si>
    <t>Sukanya Pansiri</t>
  </si>
  <si>
    <t>Utumporn Pho-in</t>
  </si>
  <si>
    <t>Natwalan Limwong</t>
  </si>
  <si>
    <t>Benya Kongsuwan</t>
  </si>
  <si>
    <t>Jenjira Intachai</t>
  </si>
  <si>
    <t>T7 verification</t>
  </si>
  <si>
    <t>Sunee Kingthong</t>
  </si>
  <si>
    <t>Nanthawan Suksomkit</t>
  </si>
  <si>
    <t>นอกสิทธิ์สปสช</t>
  </si>
  <si>
    <t>NIPT20251005</t>
  </si>
  <si>
    <t>202501341-RS</t>
  </si>
  <si>
    <t>202501485-RL</t>
  </si>
  <si>
    <t>Adchara Jamsai</t>
  </si>
  <si>
    <t>Tanaporn Boonplod</t>
  </si>
  <si>
    <t>Apinya Boonfu</t>
  </si>
  <si>
    <t>Naluemon Phommueangchai</t>
  </si>
  <si>
    <t>Siam Wesakijkul</t>
  </si>
  <si>
    <t>Sirikon Akaruan</t>
  </si>
  <si>
    <t xml:space="preserve">Chayada Wongsuwan </t>
  </si>
  <si>
    <t>Boonyanuch Muksai</t>
  </si>
  <si>
    <t>Fareeda Madsoh</t>
  </si>
  <si>
    <t>Wiphaphanwadi Khampuang</t>
  </si>
  <si>
    <t>Wisanee Noosavang</t>
  </si>
  <si>
    <t>Supatchaya Treetanont</t>
  </si>
  <si>
    <t>Thin  Mya</t>
  </si>
  <si>
    <t>Ae Seng Mo</t>
  </si>
  <si>
    <t>Pakkred Hospital</t>
  </si>
  <si>
    <t>Punyacha Tangterdchanakit</t>
  </si>
  <si>
    <t>Chulaluck Somsiriwatthana</t>
  </si>
  <si>
    <t xml:space="preserve">Boonchai Uerpairojkit </t>
  </si>
  <si>
    <t>Davanh Phomphim</t>
  </si>
  <si>
    <t>Lar Lar Aye</t>
  </si>
  <si>
    <t>Butsaba Wila</t>
  </si>
  <si>
    <t>Phodchanan Buasi</t>
  </si>
  <si>
    <t>Kannikar Khamtue</t>
  </si>
  <si>
    <t>Boonyapa Budda</t>
  </si>
  <si>
    <t>Supannee Sangaphaet</t>
  </si>
  <si>
    <t xml:space="preserve">Pattiya Sawangkij </t>
  </si>
  <si>
    <t>Poukky Lorxaipanya</t>
  </si>
  <si>
    <t>Jiraporn Roekput</t>
  </si>
  <si>
    <t xml:space="preserve">Netpreeya Nakngam </t>
  </si>
  <si>
    <t>Thaniya Jollobol</t>
  </si>
  <si>
    <t>Nathalie Ratsatit Harris</t>
  </si>
  <si>
    <t>Samrong General Hospital</t>
  </si>
  <si>
    <t>Pavarin Teekapakvisit</t>
  </si>
  <si>
    <t>Laoongdaw Sukjit</t>
  </si>
  <si>
    <t>Prada Sumanik</t>
  </si>
  <si>
    <t>Juthaluk Kamkhunthod</t>
  </si>
  <si>
    <t>NIPT20251008</t>
  </si>
  <si>
    <t>202501440-RS</t>
  </si>
  <si>
    <t>Sukpittra Teerawananit</t>
  </si>
  <si>
    <t>Rapheephan Homtong</t>
  </si>
  <si>
    <t>Kanlaya Taempan</t>
  </si>
  <si>
    <t>Wipawan Kaewmaneeporn</t>
  </si>
  <si>
    <t>Benjawan Takeaw</t>
  </si>
  <si>
    <t>Tippawan Treewatanawong</t>
  </si>
  <si>
    <t>Nutchanart Chundang</t>
  </si>
  <si>
    <t>Dueanpen Sengwong</t>
  </si>
  <si>
    <t>Anongnuch Chaosrikuk</t>
  </si>
  <si>
    <t>Supassorn Sukpom</t>
  </si>
  <si>
    <t>Omduan Discamhmo</t>
  </si>
  <si>
    <t xml:space="preserve">Warittha Sakulsaengprapha </t>
  </si>
  <si>
    <t>Jiraphorn Satechan</t>
  </si>
  <si>
    <t>Anulak Panaet</t>
  </si>
  <si>
    <t>Porntita Lersbuasin</t>
  </si>
  <si>
    <t>Methaporn Musikapala</t>
  </si>
  <si>
    <t>Janejira Wongaudom</t>
  </si>
  <si>
    <t>Onuma Janthop</t>
  </si>
  <si>
    <t>Suwanni Sawanya</t>
  </si>
  <si>
    <t>Waritta Potiwat</t>
  </si>
  <si>
    <t>Wiyada Hluangdansakul</t>
  </si>
  <si>
    <t>Chutima Ninneam</t>
  </si>
  <si>
    <t>Phacharida Bunplang</t>
  </si>
  <si>
    <t>Jiraporn Ensarn</t>
  </si>
  <si>
    <t>Thanika Chomuangdee</t>
  </si>
  <si>
    <t>Walk IN / เงินสด (BHC)</t>
  </si>
  <si>
    <t>Supamas Srijan</t>
  </si>
  <si>
    <t>Wongsiya Kehasuwon</t>
  </si>
  <si>
    <t>Pawinee Noppasod</t>
  </si>
  <si>
    <t>Tiwaree Kitarsa</t>
  </si>
  <si>
    <t>Nattiya Clinic</t>
  </si>
  <si>
    <t xml:space="preserve">Nattiya Rattanasirisin </t>
  </si>
  <si>
    <t>Chutchanok Sanubun</t>
  </si>
  <si>
    <t xml:space="preserve">Kingkaew Mingsuttiporn </t>
  </si>
  <si>
    <t>Suppakan Mekara</t>
  </si>
  <si>
    <t>Purim Ruanphoo</t>
  </si>
  <si>
    <t>Wilai Khaimuk</t>
  </si>
  <si>
    <t>Chantha Ret</t>
  </si>
  <si>
    <t>NIPT20251010</t>
  </si>
  <si>
    <t>202501495-RS</t>
  </si>
  <si>
    <t>Charinee Uaphoemkiat</t>
  </si>
  <si>
    <t>Nan Zin Mar Oo</t>
  </si>
  <si>
    <t>Thin Thin Oo</t>
  </si>
  <si>
    <t>Jidapa Vatanatar</t>
  </si>
  <si>
    <t>Rossukon Kuntago</t>
  </si>
  <si>
    <t>Panfan Wongkittithaworn</t>
  </si>
  <si>
    <t>Kanyanat Thoedthunkiat</t>
  </si>
  <si>
    <t>Vilavanh Panyadit</t>
  </si>
  <si>
    <t>Piyanee Pholkanit</t>
  </si>
  <si>
    <t>Rungthipy Thetsana</t>
  </si>
  <si>
    <t xml:space="preserve">Wongsiya Kehasuwon </t>
  </si>
  <si>
    <t>Xeunmaichou</t>
  </si>
  <si>
    <t>Syamphai Khammounneun</t>
  </si>
  <si>
    <t>Salackchay Sunthorn</t>
  </si>
  <si>
    <t>Sunisa Phaowongtum</t>
  </si>
  <si>
    <t>Krissana Jankrajang</t>
  </si>
  <si>
    <t>Vibharam Samutsakhon Hospital</t>
  </si>
  <si>
    <t xml:space="preserve">Sasithorn Moryadee </t>
  </si>
  <si>
    <t>Rujina Joshi</t>
  </si>
  <si>
    <t>Pechpaerw Indajoti</t>
  </si>
  <si>
    <t>Aye Thinzar Kyaw</t>
  </si>
  <si>
    <t xml:space="preserve">Punyacha Tangterdchanakit </t>
  </si>
  <si>
    <t>Sudarat Bualuang</t>
  </si>
  <si>
    <t>Worawan Nitipanon</t>
  </si>
  <si>
    <t>Natticha Waluwanaluk</t>
  </si>
  <si>
    <t>MO SI</t>
  </si>
  <si>
    <t>Thikampon Lusombat</t>
  </si>
  <si>
    <t>Paweena Khantee</t>
  </si>
  <si>
    <t>Nichakarn Veingrat</t>
  </si>
  <si>
    <t>Thatsanaphone Singvorlalath</t>
  </si>
  <si>
    <t>Kittipong Clinic</t>
  </si>
  <si>
    <t>Kittipong thuakprasert</t>
  </si>
  <si>
    <t>Chanidapa Neamkhontrong</t>
  </si>
  <si>
    <t>T21 positive</t>
  </si>
  <si>
    <t>Manita Mudchawanich</t>
  </si>
  <si>
    <t>Htar Htar Nwe</t>
  </si>
  <si>
    <t>Smith Ratanaphanyarat</t>
  </si>
  <si>
    <t>Nanthaya Bunchan</t>
  </si>
  <si>
    <t>Nitchagarn Saelim</t>
  </si>
  <si>
    <t xml:space="preserve">Udomsak Sathapanachai </t>
  </si>
  <si>
    <t>Rakchanok Itsuwan</t>
  </si>
  <si>
    <t>NIPT20251014</t>
  </si>
  <si>
    <t>202501485-RS</t>
  </si>
  <si>
    <t>T7 positive</t>
  </si>
  <si>
    <t>Supranee Panruang</t>
  </si>
  <si>
    <t>Preeyanuch Chonthong</t>
  </si>
  <si>
    <t xml:space="preserve">Sopida Thambumroong </t>
  </si>
  <si>
    <t>Sansanee Nitong</t>
  </si>
  <si>
    <t>Wiiyada Saetan</t>
  </si>
  <si>
    <t>Rattanaphon Lakrathok</t>
  </si>
  <si>
    <t>Kanjana Korkamlung</t>
  </si>
  <si>
    <t>Kamolchanok Nunthapodet</t>
  </si>
  <si>
    <t>Vilailuck Vongpom</t>
  </si>
  <si>
    <t xml:space="preserve">Sukson Chaivirattana </t>
  </si>
  <si>
    <t>Pakamat Loeskharom</t>
  </si>
  <si>
    <t>Sirirat Suwannalop</t>
  </si>
  <si>
    <t>Onpawi Tirarangkul</t>
  </si>
  <si>
    <t>Suraiya Yanting</t>
  </si>
  <si>
    <t>Thet Thet Maung</t>
  </si>
  <si>
    <t>Atitaya Khiawlek</t>
  </si>
  <si>
    <t>Win Win Nwe</t>
  </si>
  <si>
    <t>Aephotchana Li Onphim</t>
  </si>
  <si>
    <t>Sureerath Kucharoentraworn</t>
  </si>
  <si>
    <t>Auncharee Phaon</t>
  </si>
  <si>
    <t>Thi Gai Bui</t>
  </si>
  <si>
    <t>Nittaya Thongsorn</t>
  </si>
  <si>
    <t>Prissana Kaewthum</t>
  </si>
  <si>
    <t>Tapanee Samerjai</t>
  </si>
  <si>
    <t>Anchisa Jansuwan</t>
  </si>
  <si>
    <t>Chutima Phonoumphai</t>
  </si>
  <si>
    <t>NIPT20251014-1</t>
  </si>
  <si>
    <t>Prakaidao Chaicha</t>
  </si>
  <si>
    <t>Panadda Salangam</t>
  </si>
  <si>
    <t>Apachara Pataya</t>
  </si>
  <si>
    <t>Jiraphorn Chaimat</t>
  </si>
  <si>
    <t>Sasiprapha Khophra</t>
  </si>
  <si>
    <t>Yuwadee Ajkidkarn</t>
  </si>
  <si>
    <t>Wichada Thongkawkeaw</t>
  </si>
  <si>
    <t>Jenjira Nakgerd</t>
  </si>
  <si>
    <t>Atitaya Wongkalasin</t>
  </si>
  <si>
    <t>Siraphastsorn Namsena</t>
  </si>
  <si>
    <t>Bhakthiya Boonthra</t>
  </si>
  <si>
    <t>Panisara Surachat</t>
  </si>
  <si>
    <t>Napaphat Suyadee</t>
  </si>
  <si>
    <t>Metikul Thonnam</t>
  </si>
  <si>
    <t>Saranya Changniam</t>
  </si>
  <si>
    <t>Wanvisa Chaiyaka</t>
  </si>
  <si>
    <t>IK Seng Aloun</t>
  </si>
  <si>
    <t>Wachiraphon Ponkongseng</t>
  </si>
  <si>
    <t xml:space="preserve">Thidarat Malasan </t>
  </si>
  <si>
    <t>Thatsanee Sawangsri</t>
  </si>
  <si>
    <t>Yuparat Thumrongsumpun</t>
  </si>
  <si>
    <t>Gynmed Clinic</t>
  </si>
  <si>
    <t>Theethat Mongkornthong</t>
  </si>
  <si>
    <t>Sunapha Chanaporntharadol</t>
  </si>
  <si>
    <t>Nakorn Chaisi Lab</t>
  </si>
  <si>
    <t xml:space="preserve">Prakob Wongwai </t>
  </si>
  <si>
    <t>Wannika Saytongkeaw</t>
  </si>
  <si>
    <t>Nujcharee Wongkhark</t>
  </si>
  <si>
    <t>Chonphicha Thumthee</t>
  </si>
  <si>
    <t>Nattapond Wongthonglaue</t>
  </si>
  <si>
    <t>Arisra Withoonsin</t>
  </si>
  <si>
    <t>Neng Saelee</t>
  </si>
  <si>
    <t>Chanisara Saewa</t>
  </si>
  <si>
    <t>NIPT20251016</t>
  </si>
  <si>
    <t>202501477-RS</t>
  </si>
  <si>
    <t>202501526-RS</t>
  </si>
  <si>
    <t>202501573-RL</t>
  </si>
  <si>
    <t>202501604-RL</t>
  </si>
  <si>
    <t>202501620-RL</t>
  </si>
  <si>
    <t>Phichanan Suebsaard</t>
  </si>
  <si>
    <t xml:space="preserve">Monrudee Sapphasri </t>
  </si>
  <si>
    <t>Pornpan Khaokan</t>
  </si>
  <si>
    <t>boonsong Clinic</t>
  </si>
  <si>
    <t xml:space="preserve">Boonsong Rawangban </t>
  </si>
  <si>
    <t>NAW PAING MUEE</t>
  </si>
  <si>
    <t>Ratchanee Suksamran</t>
  </si>
  <si>
    <t xml:space="preserve">Siroat Sukkasem </t>
  </si>
  <si>
    <t>Pranpreeya Leilajnasrandi</t>
  </si>
  <si>
    <t>Maneerat Kosalanan</t>
  </si>
  <si>
    <t>Nalina Orprayoon</t>
  </si>
  <si>
    <t>Lalita Sueaphrom</t>
  </si>
  <si>
    <t>Nareumon Reungsiri</t>
  </si>
  <si>
    <t>Panumat Phungtippimanchai</t>
  </si>
  <si>
    <t>Chomphunut Srihanon</t>
  </si>
  <si>
    <t>Wiwatthanee Sumpradit</t>
  </si>
  <si>
    <t>Suphanan Chansuk</t>
  </si>
  <si>
    <t>chr 7 positive with chimeric ratio of 12.81%</t>
  </si>
  <si>
    <t>Sutheera Siyang</t>
  </si>
  <si>
    <t>XXY verification due to low fetal fraction</t>
  </si>
  <si>
    <t>Patthira Phadungloed</t>
  </si>
  <si>
    <t>Runi Khontrong</t>
  </si>
  <si>
    <t xml:space="preserve">Jidapa Vatanatara </t>
  </si>
  <si>
    <t>Rapeephan Khamkhrua</t>
  </si>
  <si>
    <t>Pimchanok Montri</t>
  </si>
  <si>
    <t>Thavisay Insixiengmay</t>
  </si>
  <si>
    <t>Jeeranat Chaiyawan</t>
  </si>
  <si>
    <t>NIPT20251018</t>
  </si>
  <si>
    <t>202501481-RL</t>
  </si>
  <si>
    <t>T18 positive</t>
  </si>
  <si>
    <t>202501638-RL</t>
  </si>
  <si>
    <t>Apinya Kiarhaan</t>
  </si>
  <si>
    <t>Tichakorn Jongchaisitthikon</t>
  </si>
  <si>
    <t>Sirirat Pookkham</t>
  </si>
  <si>
    <t>Kanyapat Kaewchatawong</t>
  </si>
  <si>
    <t>Worranut Maliwan</t>
  </si>
  <si>
    <t>Bongkochrat Naka</t>
  </si>
  <si>
    <t>Benchakitti Park Hospital</t>
  </si>
  <si>
    <t>Veera Nunthanavarangkool</t>
  </si>
  <si>
    <t>Hitaporn Tagram</t>
  </si>
  <si>
    <t>Thanatporn Saepur</t>
  </si>
  <si>
    <t>Teerat Koedmongkhon</t>
  </si>
  <si>
    <t>Wilaiwan Thongob</t>
  </si>
  <si>
    <t>Suwisa Namwongsa</t>
  </si>
  <si>
    <t>Nawaporn Panyasawas</t>
  </si>
  <si>
    <t xml:space="preserve">Nuengruethai Sinnithithaworn </t>
  </si>
  <si>
    <t>Sarika Kingkaew</t>
  </si>
  <si>
    <t>Chidchada Prachantasen</t>
  </si>
  <si>
    <t>Wiraya Banphakanya</t>
  </si>
  <si>
    <t>Vilayphone Xaysongki</t>
  </si>
  <si>
    <t>Ma Than Than Shwe</t>
  </si>
  <si>
    <t>Nan Su Su Kyi</t>
  </si>
  <si>
    <t>Nonglak Chotmook</t>
  </si>
  <si>
    <t>Nantida Theanaram</t>
  </si>
  <si>
    <t>Waritta Pituk</t>
  </si>
  <si>
    <t>Tin Zar Myo</t>
  </si>
  <si>
    <t>Phennapha Khan Asa</t>
  </si>
  <si>
    <t>Naw Nwe Ni Zar Aung</t>
  </si>
  <si>
    <t>Nattaya Spencer</t>
  </si>
  <si>
    <t>Nan Zin Mar Phyo</t>
  </si>
  <si>
    <t>Yossawadee Kittiratanapinan</t>
  </si>
  <si>
    <t>Hang Xaiyavong</t>
  </si>
  <si>
    <t>Krungthai Western Hospital</t>
  </si>
  <si>
    <t>Puchit Meeprasertskul</t>
  </si>
  <si>
    <t>Sumanatda Khammueangchai</t>
  </si>
  <si>
    <t>NIPT20251021</t>
  </si>
  <si>
    <t>202501481-RS</t>
  </si>
  <si>
    <t>202501611-RS</t>
  </si>
  <si>
    <t>Chatkwan Pongmala</t>
  </si>
  <si>
    <t xml:space="preserve">Japarath Prechapanich </t>
  </si>
  <si>
    <t>Thongsai Chanthavong</t>
  </si>
  <si>
    <t>Dueannapha Thiamkiang</t>
  </si>
  <si>
    <t>Phatcharin Khramphaibun</t>
  </si>
  <si>
    <t>Aritsada Hankam</t>
  </si>
  <si>
    <t>Siwaporn Pansee</t>
  </si>
  <si>
    <t>Orawan Thongyai</t>
  </si>
  <si>
    <t>Piyaporn Sritorn</t>
  </si>
  <si>
    <t>Prapatsorn Wongkham</t>
  </si>
  <si>
    <t>Saowaluk Somjit</t>
  </si>
  <si>
    <t>Chanmany Vandixai</t>
  </si>
  <si>
    <t>Kanphatcha Jantamath</t>
  </si>
  <si>
    <t>Papawee Pummai</t>
  </si>
  <si>
    <t>Namfah Karnjaratanakul</t>
  </si>
  <si>
    <t>Chain Ywin Pouk</t>
  </si>
  <si>
    <t>Saitoon Asae</t>
  </si>
  <si>
    <t>Theeyarat Klinseesook</t>
  </si>
  <si>
    <t>Kalyarat Sa-Authai</t>
  </si>
  <si>
    <t>Rhatha Kaewpraphai</t>
  </si>
  <si>
    <t xml:space="preserve">Suthasinee Mataneedol </t>
  </si>
  <si>
    <t>Pronchanida Buttason</t>
  </si>
  <si>
    <t>Chadaporn Saebang</t>
  </si>
  <si>
    <t>Tuangporn Phumiyot</t>
  </si>
  <si>
    <t>Visudar Promsavan</t>
  </si>
  <si>
    <t>Prapapun Punyakul</t>
  </si>
  <si>
    <t xml:space="preserve">Suppachai Sirisukkasem </t>
  </si>
  <si>
    <t>Kwanjira Yutitham</t>
  </si>
  <si>
    <t xml:space="preserve">Kamonrat Monthatip </t>
  </si>
  <si>
    <t>Rattana Thongjang</t>
  </si>
  <si>
    <t>Chutimon Woorasut</t>
  </si>
  <si>
    <t>NIPT20251024</t>
  </si>
  <si>
    <t>202501551-RS</t>
  </si>
  <si>
    <t>202501678-RL</t>
  </si>
  <si>
    <t>202501685-RL</t>
  </si>
  <si>
    <t>202501689-RL</t>
  </si>
  <si>
    <t>202501692-RL</t>
  </si>
  <si>
    <t>Sirima Thipwanna</t>
  </si>
  <si>
    <t>Narimon Tawithin</t>
  </si>
  <si>
    <t>Boonsita Trisamut</t>
  </si>
  <si>
    <t>Supalak Hmantham</t>
  </si>
  <si>
    <t>Sengchan Xayavo</t>
  </si>
  <si>
    <t xml:space="preserve">Rujira Phaitong </t>
  </si>
  <si>
    <t>Luxsanawadee Salim</t>
  </si>
  <si>
    <t xml:space="preserve">Sanya Patrachai </t>
  </si>
  <si>
    <t>Siriyakorn Srimanid</t>
  </si>
  <si>
    <t>Kritsanee Preawwhan</t>
  </si>
  <si>
    <t>Supranee Saenqow</t>
  </si>
  <si>
    <t>Kanda Chuaduangphooi</t>
  </si>
  <si>
    <t>MAN CHEN</t>
  </si>
  <si>
    <t>Pathumthip Donprecha</t>
  </si>
  <si>
    <t>Chanaphon Mueangmun</t>
  </si>
  <si>
    <t>Chatchada Poonead</t>
  </si>
  <si>
    <t>Jelena Plavsic</t>
  </si>
  <si>
    <t xml:space="preserve">NAN HEL LAE </t>
  </si>
  <si>
    <t xml:space="preserve">Nandar Hlaing </t>
  </si>
  <si>
    <t>Satiya Punnabud</t>
  </si>
  <si>
    <t>Nipaporn Wongkhamchao</t>
  </si>
  <si>
    <t>Pontiwa Buasree</t>
  </si>
  <si>
    <t>Supreeya Thaiyanan</t>
  </si>
  <si>
    <t>Pranaporn Jinpanich</t>
  </si>
  <si>
    <t>Yanisa Prathummat</t>
  </si>
  <si>
    <t>NIPT20251027</t>
  </si>
  <si>
    <t>202501632-RS</t>
  </si>
  <si>
    <t>202501633-RS</t>
  </si>
  <si>
    <t>Ma Win Meiyn</t>
  </si>
  <si>
    <t>Runglak Sirirat</t>
  </si>
  <si>
    <t>Nan Shwe Ain</t>
  </si>
  <si>
    <t>Supapan Namchaiotthon</t>
  </si>
  <si>
    <t>Saran Ya</t>
  </si>
  <si>
    <t>Orathai Wongsopha</t>
  </si>
  <si>
    <t>Sutthida Ditthaksorn</t>
  </si>
  <si>
    <t>Patcharee Onsri</t>
  </si>
  <si>
    <t xml:space="preserve">Rapeepat Auekitrungrueng </t>
  </si>
  <si>
    <t>Areeya Budthong</t>
  </si>
  <si>
    <t>Natsuda Aiamsaard</t>
  </si>
  <si>
    <t>Natsuda Koonthong</t>
  </si>
  <si>
    <t>Pakawan Kongnak</t>
  </si>
  <si>
    <t>Nachcha Aroonrerk</t>
  </si>
  <si>
    <t>Janejira Na Umong</t>
  </si>
  <si>
    <t>Anyamanee Khansutham</t>
  </si>
  <si>
    <t>Bussaya Boonpracom</t>
  </si>
  <si>
    <t>Orapim Sirikan</t>
  </si>
  <si>
    <t>Kritakarn Telapol</t>
  </si>
  <si>
    <t>Sudarut Adkum</t>
  </si>
  <si>
    <t>Supakhinee Yuchompoo</t>
  </si>
  <si>
    <t>Nantisa Khawngam</t>
  </si>
  <si>
    <t>Wanwisa Wanrakchat</t>
  </si>
  <si>
    <t>Ratchada Somboon</t>
  </si>
  <si>
    <t>Yaraporn Thamthong</t>
  </si>
  <si>
    <t>Kanyawee Thanthongdee</t>
  </si>
  <si>
    <t>Chintana Suwan</t>
  </si>
  <si>
    <t xml:space="preserve">Manuschai Kulpornsirikul </t>
  </si>
  <si>
    <t>NIPT20251030</t>
  </si>
  <si>
    <t>202501542-RS</t>
  </si>
  <si>
    <t>202501702-RS</t>
  </si>
  <si>
    <t>202501738-RL</t>
  </si>
  <si>
    <t>Nootsara Jamjan</t>
  </si>
  <si>
    <t>Wichamai Chumiad</t>
  </si>
  <si>
    <t>ChongGolab Medical Clinic</t>
  </si>
  <si>
    <t>Pajaree Jantaracha</t>
  </si>
  <si>
    <t>Siriwimol Saehoa</t>
  </si>
  <si>
    <t>Jariya Sookma</t>
  </si>
  <si>
    <t>Thitichaya Saengngam</t>
  </si>
  <si>
    <t>Ratchada Phol-In</t>
  </si>
  <si>
    <t>Arthitiya Nareekhum</t>
  </si>
  <si>
    <t>Nattakan Buankhunthod</t>
  </si>
  <si>
    <t>Chonlada Chandawong</t>
  </si>
  <si>
    <t>November Phyo</t>
  </si>
  <si>
    <t xml:space="preserve">Papungkorn Surapanthapisit </t>
  </si>
  <si>
    <t>Nuengluethai Somsrang</t>
  </si>
  <si>
    <t>Pratniracha Muangsuwan</t>
  </si>
  <si>
    <t xml:space="preserve">Suwaree Sangkhawanich </t>
  </si>
  <si>
    <t>Raksina Saibal</t>
  </si>
  <si>
    <t>Sompean Lodpat</t>
  </si>
  <si>
    <t>Sunanta Khamhrim</t>
  </si>
  <si>
    <t>Sukanya Khuenkham</t>
  </si>
  <si>
    <t>Atitaya Wantim</t>
  </si>
  <si>
    <t>Napathip Chaimontra</t>
  </si>
  <si>
    <t>Onanong Clinic - Tiger Zoo</t>
  </si>
  <si>
    <t>Onanong Noomcharoen</t>
  </si>
  <si>
    <t>Piyaporn Yangsub</t>
  </si>
  <si>
    <t>Pornjira Meesat</t>
  </si>
  <si>
    <t>Janjira Thongma</t>
  </si>
  <si>
    <t>Sunanta Phramchuen</t>
  </si>
  <si>
    <t>Tran Thi Thanh</t>
  </si>
  <si>
    <t>Jariya Phonkhet</t>
  </si>
  <si>
    <t>Phawinee Sommesee</t>
  </si>
  <si>
    <t>Netnapha Phuiprom</t>
  </si>
  <si>
    <t>Kaniknun Kitisrivorapan</t>
  </si>
  <si>
    <t>NIPT20251031</t>
  </si>
  <si>
    <t>202501638-RS</t>
  </si>
  <si>
    <t>202501742-RL</t>
  </si>
  <si>
    <t>202501757-RL</t>
  </si>
  <si>
    <t>Maneeporn Chinkutchanant</t>
  </si>
  <si>
    <t>Usa Krattapiya</t>
  </si>
  <si>
    <t>Aye Mon</t>
  </si>
  <si>
    <t>Nannaphat Rinsathon</t>
  </si>
  <si>
    <t>Isaraporn Cheampong</t>
  </si>
  <si>
    <t>In Oy Laoly</t>
  </si>
  <si>
    <t>Khamphew Namsena</t>
  </si>
  <si>
    <t>Soraya Wongthamart</t>
  </si>
  <si>
    <t>Janinthorn Suan-in</t>
  </si>
  <si>
    <t>Sa Vong Soeun</t>
  </si>
  <si>
    <t>Pawalee Songsiriwong</t>
  </si>
  <si>
    <t>Jareeporn Sillapachai</t>
  </si>
  <si>
    <t>Zhuang Zhimin</t>
  </si>
  <si>
    <t>Minda Uscharapong</t>
  </si>
  <si>
    <t xml:space="preserve">Anchulee Pruetiworanan </t>
  </si>
  <si>
    <t>Chayanee Intharawichean</t>
  </si>
  <si>
    <t>Kanjana Thana</t>
  </si>
  <si>
    <t>Thippamas Pobsuk</t>
  </si>
  <si>
    <t>NIPT20251103</t>
  </si>
  <si>
    <t>202501668-RS</t>
  </si>
  <si>
    <t>Ployrassamee Chomdach</t>
  </si>
  <si>
    <t>Nantaporn Nenseng</t>
  </si>
  <si>
    <t>Myo Myo San</t>
  </si>
  <si>
    <t>Zin Khat Phyu</t>
  </si>
  <si>
    <t>Nareerat Leesompoch</t>
  </si>
  <si>
    <t>Preeyanuch Plaengsarn</t>
  </si>
  <si>
    <t>Arisara Meemark</t>
  </si>
  <si>
    <t>T7 (chimeric ratio 24.42%) and CNV verification</t>
  </si>
  <si>
    <t>Kanitha Namking</t>
  </si>
  <si>
    <t>Supannee Rongluan</t>
  </si>
  <si>
    <t>Nisachon Kongkhom</t>
  </si>
  <si>
    <t>Pitchayapha Yuenyong</t>
  </si>
  <si>
    <t>Wannisa Bunyanit</t>
  </si>
  <si>
    <t>Pichamon Sukkasame</t>
  </si>
  <si>
    <t>Unique failed for NIPT Std</t>
  </si>
  <si>
    <t>Achika Kaemtong</t>
  </si>
  <si>
    <t>Siriphorn Chomphae</t>
  </si>
  <si>
    <t>Davika Polnyoong</t>
  </si>
  <si>
    <t>Waraporn Thonukarn</t>
  </si>
  <si>
    <t>Vilayphone Khieonamvong</t>
  </si>
  <si>
    <t>Souphaphone Houamboun</t>
  </si>
  <si>
    <t>Phouvieng Paoliyakhoun</t>
  </si>
  <si>
    <t>Kittipong Tuekprasert</t>
  </si>
  <si>
    <t>Aoranat Hicken</t>
  </si>
  <si>
    <t xml:space="preserve">Anchisa Chansuwan </t>
  </si>
  <si>
    <t>Pimpilai Chanachai</t>
  </si>
  <si>
    <t>Lee Kettavong</t>
  </si>
  <si>
    <t>Chiraphon Wareeudom</t>
  </si>
  <si>
    <t>Pitsinee Chuaiphan</t>
  </si>
  <si>
    <t>Sasithon Lakhunthod</t>
  </si>
  <si>
    <t>Temsiri Tagrudchom</t>
  </si>
  <si>
    <t>Liu Xuantong</t>
  </si>
  <si>
    <t>Ananya Boonchokchaithana</t>
  </si>
  <si>
    <t>Wanida Kanking</t>
  </si>
  <si>
    <t>Soudalath Thavone</t>
  </si>
  <si>
    <t>NIPT20251105</t>
  </si>
  <si>
    <t>202501742-RS</t>
  </si>
  <si>
    <t>202501793-RL</t>
  </si>
  <si>
    <t>202501797-RL</t>
  </si>
  <si>
    <t>202501801-RL</t>
  </si>
  <si>
    <t>202501805-RL</t>
  </si>
  <si>
    <t>Siramanee Thanomsuay</t>
  </si>
  <si>
    <t>Parit Wachasiddhisilpa</t>
  </si>
  <si>
    <t>Aunthicha Janseang</t>
  </si>
  <si>
    <t>Rattanaphon Bunkhong</t>
  </si>
  <si>
    <t>Ruchimaporn Chantarapratheap</t>
  </si>
  <si>
    <t>Atidtaya Srimolee</t>
  </si>
  <si>
    <t>Renu Khutthi</t>
  </si>
  <si>
    <t>Katharika Wangpon</t>
  </si>
  <si>
    <t>Choeririn Kerdsrichang</t>
  </si>
  <si>
    <t>Thunchanok Kamsee</t>
  </si>
  <si>
    <t>Piyamas Clinic</t>
  </si>
  <si>
    <t>Piyamas Iemthairat</t>
  </si>
  <si>
    <t>Sukanya Obchay</t>
  </si>
  <si>
    <t>Matsaya Sompun</t>
  </si>
  <si>
    <t>Sunida Karaphakdee</t>
  </si>
  <si>
    <t>Chonlada Phimphrasri</t>
  </si>
  <si>
    <t>Natthaghun Janyasiri</t>
  </si>
  <si>
    <t>Raveewan Khumpho</t>
  </si>
  <si>
    <t>Siriwan Wareenil</t>
  </si>
  <si>
    <t>Wipada Usombatchai</t>
  </si>
  <si>
    <t>Pronpimon Ketkeaw</t>
  </si>
  <si>
    <t>Natnapat Jatpajarakonkan</t>
  </si>
  <si>
    <t>Natenapa Kaewsrikham</t>
  </si>
  <si>
    <t>Maryann Somkaney</t>
  </si>
  <si>
    <t>Rakchanok Sudjaidee</t>
  </si>
  <si>
    <t>T20</t>
  </si>
  <si>
    <t>Alisa Leeseethuan</t>
  </si>
  <si>
    <t>Siriwan Bunku</t>
  </si>
  <si>
    <t>Rattikan Jatuporn</t>
  </si>
  <si>
    <t>Vanvisa Chaisura</t>
  </si>
  <si>
    <t>Khaing Khaing Than</t>
  </si>
  <si>
    <t>Nattanalinee Phiawphak</t>
  </si>
  <si>
    <t>NIPT20251106</t>
  </si>
  <si>
    <t>202501825-RL</t>
  </si>
  <si>
    <t>Pronsuda Kanjanalawan</t>
  </si>
  <si>
    <t>Naruemon Khongrian</t>
  </si>
  <si>
    <t>Saowaros Charoensuk</t>
  </si>
  <si>
    <t>Jeeranan Wongintawang</t>
  </si>
  <si>
    <t>Busya Kampiranon</t>
  </si>
  <si>
    <t>Arreerat Teabchai</t>
  </si>
  <si>
    <t>Narinpon Klangjoho</t>
  </si>
  <si>
    <t>Nattha Kudsajan</t>
  </si>
  <si>
    <t>Kamonthip Thongsri</t>
  </si>
  <si>
    <t>Donnaphon Teppanya</t>
  </si>
  <si>
    <t>Aemon Janna</t>
  </si>
  <si>
    <t>Mallika Saengphech</t>
  </si>
  <si>
    <t>Suchada Yakuman</t>
  </si>
  <si>
    <t>Sasithon Paengkaew</t>
  </si>
  <si>
    <t>Sakuna Saskratok</t>
  </si>
  <si>
    <t>Tippawan Boonpan</t>
  </si>
  <si>
    <t xml:space="preserve">Theethat Mongkornthong </t>
  </si>
  <si>
    <t>Suleeporn Kongdee</t>
  </si>
  <si>
    <t>Natnapin Pongvitayapanu</t>
  </si>
  <si>
    <t>Thadar Thant</t>
  </si>
  <si>
    <t>Jidapa Vatanatara</t>
  </si>
  <si>
    <t>Titar  Aye</t>
  </si>
  <si>
    <t>NAW MYINT AYE</t>
  </si>
  <si>
    <t>NAN EI BIN</t>
  </si>
  <si>
    <t>Unique failed for NIPT Basic Plus</t>
  </si>
  <si>
    <t>MARLAR HTAY</t>
  </si>
  <si>
    <t>HNIN NU WAI</t>
  </si>
  <si>
    <t>Lalita Toaiem</t>
  </si>
  <si>
    <t>Suwaree Sangkhawanich</t>
  </si>
  <si>
    <t>Manutsanan Chodok</t>
  </si>
  <si>
    <t>EQA-1</t>
  </si>
  <si>
    <t>P 65</t>
  </si>
  <si>
    <t>EQA</t>
  </si>
  <si>
    <t>EQA-2</t>
  </si>
  <si>
    <t>Q 65</t>
  </si>
  <si>
    <t>EQA-3</t>
  </si>
  <si>
    <t>R 65</t>
  </si>
  <si>
    <t>NIPT20251110</t>
  </si>
  <si>
    <t>202501741-RS</t>
  </si>
  <si>
    <t>202501841-RL</t>
  </si>
  <si>
    <t>202501859-RL</t>
  </si>
  <si>
    <t>202501860-RL</t>
  </si>
  <si>
    <t>202501862-RL</t>
  </si>
  <si>
    <t>Chanakan Sanruan</t>
  </si>
  <si>
    <t>Auranunphat Khupthavatin</t>
  </si>
  <si>
    <t>Kannika Kongmeesri</t>
  </si>
  <si>
    <t>SCA/T18 + Low fetal fraction</t>
  </si>
  <si>
    <t>Khanchana Khumkhaew</t>
  </si>
  <si>
    <t>Viphavanh Phimmasane</t>
  </si>
  <si>
    <t>Yupa Kummoonam</t>
  </si>
  <si>
    <t>Nang Youn Shi</t>
  </si>
  <si>
    <t>Rutairat Khumtree</t>
  </si>
  <si>
    <t>Monthiraya Sopanoparat</t>
  </si>
  <si>
    <t>Jiraporn Patitang</t>
  </si>
  <si>
    <t>Patitta Namkhot</t>
  </si>
  <si>
    <t>Dilrabo Bakhtalieva</t>
  </si>
  <si>
    <t>Kulwadee Kitipoonwongwanid</t>
  </si>
  <si>
    <t>Titima Puangsuk</t>
  </si>
  <si>
    <t>Sukanya Suwannasang</t>
  </si>
  <si>
    <t>Sasiprapa Kluapid</t>
  </si>
  <si>
    <t>Arada Suwannakood</t>
  </si>
  <si>
    <t>SCA + Low fetal fraction</t>
  </si>
  <si>
    <t>Naruemon Sanoun</t>
  </si>
  <si>
    <t>Chansouda Inthasane</t>
  </si>
  <si>
    <t>Napasorn Ophanurak</t>
  </si>
  <si>
    <t>Chongrak Phongsak</t>
  </si>
  <si>
    <t>Waratthaya Thongho</t>
  </si>
  <si>
    <t>Ratanaphorn Suksamran</t>
  </si>
  <si>
    <t>Jenjira Saengrat</t>
  </si>
  <si>
    <t>NIPT20251111</t>
  </si>
  <si>
    <t>202501788-RS</t>
  </si>
  <si>
    <t>Unique failed for NIPT Pro</t>
  </si>
  <si>
    <t>202501869-RQ</t>
  </si>
  <si>
    <t>202501881-RQ</t>
  </si>
  <si>
    <t>Wanwisa Surirach</t>
  </si>
  <si>
    <t>Fueangladda Authapsahwan</t>
  </si>
  <si>
    <t>Yupa Wongnoi</t>
  </si>
  <si>
    <t>Sanya Patrachai</t>
  </si>
  <si>
    <t>Sandar OO</t>
  </si>
  <si>
    <t>Wikanda Jaroensuk</t>
  </si>
  <si>
    <t>HTET HTET</t>
  </si>
  <si>
    <t>May Myant Thu</t>
  </si>
  <si>
    <t>Suthamart Sathidkul</t>
  </si>
  <si>
    <t>Orathai Thiamthan</t>
  </si>
  <si>
    <t>Piyaporn Charoensuk</t>
  </si>
  <si>
    <t>Natthicha Tasniyom</t>
  </si>
  <si>
    <t>Onuma Pumma</t>
  </si>
  <si>
    <t>Darat Yimyoo</t>
  </si>
  <si>
    <t>Ratchaneekorn Kaewmanee</t>
  </si>
  <si>
    <t>Siriwan Sudkasem</t>
  </si>
  <si>
    <t xml:space="preserve">Wannakarn Singhatanadgige </t>
  </si>
  <si>
    <t>Kamlaithong Phaetnukhrao</t>
  </si>
  <si>
    <t>Thipphawan Tumnok</t>
  </si>
  <si>
    <t>Wannakan Bejrananda</t>
  </si>
  <si>
    <t>Nanthanat Siriphatrada</t>
  </si>
  <si>
    <t>Chutharat Yaemmi</t>
  </si>
  <si>
    <t>Athya Manivong</t>
  </si>
  <si>
    <t>Daosavanh Sihaphaya</t>
  </si>
  <si>
    <t>Suparat Sawat</t>
  </si>
  <si>
    <t>Sirakan Siriwattakul</t>
  </si>
  <si>
    <t>Mingkwan Nhuprab</t>
  </si>
  <si>
    <t>Nan Mu Dar</t>
  </si>
  <si>
    <t>Chetsadaphon Kamsiang</t>
  </si>
  <si>
    <t>Yu Yu Nwe</t>
  </si>
  <si>
    <t>NIPT20251113</t>
  </si>
  <si>
    <t>202501788-RS-RL</t>
  </si>
  <si>
    <t>T7 with mosaicism</t>
  </si>
  <si>
    <t>202501825-RS</t>
  </si>
  <si>
    <t>202501906-RL</t>
  </si>
  <si>
    <t>202501907-RL</t>
  </si>
  <si>
    <t>202501911-RL</t>
  </si>
  <si>
    <t>Suwannan Manmai</t>
  </si>
  <si>
    <t>Miruntee Aumpa</t>
  </si>
  <si>
    <t>Apiwan Toemkla</t>
  </si>
  <si>
    <t>Tidarat Rasri</t>
  </si>
  <si>
    <t>Thanwamas Phasinam</t>
  </si>
  <si>
    <t>Fort Somdej Phranaresuan Maharaj Hospital</t>
  </si>
  <si>
    <t>Chanprim Ratanasaenghirun</t>
  </si>
  <si>
    <t>Chiengkham Kansilath</t>
  </si>
  <si>
    <t>Aphisa Sakhone</t>
  </si>
  <si>
    <t>T18/XXX verification</t>
  </si>
  <si>
    <t>Shunaly Chanthamoungkhoun</t>
  </si>
  <si>
    <t>Rattanaporn Khaophukhiew</t>
  </si>
  <si>
    <t>Phattharasaya Choosri</t>
  </si>
  <si>
    <t>Rattiyagorn Jidman</t>
  </si>
  <si>
    <t>Arrirat Bunchit</t>
  </si>
  <si>
    <t>Sujitra Siladee</t>
  </si>
  <si>
    <t>Jarunipha Chueboonma</t>
  </si>
  <si>
    <t>Mi Sandar Win</t>
  </si>
  <si>
    <t>Suphisara Suepsisuk</t>
  </si>
  <si>
    <t>Onanong Clinic (Sriracha)</t>
  </si>
  <si>
    <t xml:space="preserve">Onanong Noomcharoen </t>
  </si>
  <si>
    <t>Kanitta Sawatdee</t>
  </si>
  <si>
    <t>Chanissara Sarakul</t>
  </si>
  <si>
    <t>Sirada Panyaprachote</t>
  </si>
  <si>
    <t>Kyaw May Zin Win</t>
  </si>
  <si>
    <t>Woraphon Charit</t>
  </si>
  <si>
    <t>Napatsorn Seubsing</t>
  </si>
  <si>
    <t>NIPT20251117</t>
  </si>
  <si>
    <t>202501702-RS-RS</t>
  </si>
  <si>
    <t>202501825-RS-RL</t>
  </si>
  <si>
    <t>202501885-RL</t>
  </si>
  <si>
    <t>202501922-RL</t>
  </si>
  <si>
    <t>202501923-RL</t>
  </si>
  <si>
    <t>XXX verification</t>
  </si>
  <si>
    <t>202501927-RL</t>
  </si>
  <si>
    <t>202501935-RL</t>
  </si>
  <si>
    <t>Phittayarat Banpan</t>
  </si>
  <si>
    <t>Molrudee Keawborisut</t>
  </si>
  <si>
    <t>Sihin Huon</t>
  </si>
  <si>
    <t>Wannaporn Namkhot</t>
  </si>
  <si>
    <t>Sutasinee Khamsansai</t>
  </si>
  <si>
    <t>MI MYA YI</t>
  </si>
  <si>
    <t>Thanisa Sukjareon</t>
  </si>
  <si>
    <t xml:space="preserve">Piyawan Pariyawateekul </t>
  </si>
  <si>
    <t>Wanwisa Panchoo</t>
  </si>
  <si>
    <t>Kanya Khetnimit</t>
  </si>
  <si>
    <t>Nan Aung</t>
  </si>
  <si>
    <t xml:space="preserve">Puchit Meeprasertskul </t>
  </si>
  <si>
    <t>Saiyrung Manophing</t>
  </si>
  <si>
    <t>Pimchanok Aintharamani</t>
  </si>
  <si>
    <t>Chantakan Silpuksa</t>
  </si>
  <si>
    <t>PD Clinic Lab</t>
  </si>
  <si>
    <t>Namidanan  Padkasemjeerasakul</t>
  </si>
  <si>
    <t>Salinla Penpim</t>
  </si>
  <si>
    <t>Thunchanok Kulklieng</t>
  </si>
  <si>
    <t>Patnaree Srihaampai</t>
  </si>
  <si>
    <t>Chirattha Wongphuthon</t>
  </si>
  <si>
    <t>Panida Kaewkaed</t>
  </si>
  <si>
    <t>Mueannapa Limsopatham</t>
  </si>
  <si>
    <t>Rachawadee Suksri</t>
  </si>
  <si>
    <t xml:space="preserve">Juthaporn Sujitrom </t>
  </si>
  <si>
    <t>Bomby Vongphankhan</t>
  </si>
  <si>
    <t>Supatta Ngampiw</t>
  </si>
  <si>
    <t>Lumpoon Chanamee</t>
  </si>
  <si>
    <t>NIPT20251118</t>
  </si>
  <si>
    <t>202501820-RS</t>
  </si>
  <si>
    <t>202501862-RS</t>
  </si>
  <si>
    <t>202501899-RS</t>
  </si>
  <si>
    <t>202501941-RL</t>
  </si>
  <si>
    <t>202501945-RL</t>
  </si>
  <si>
    <t>202501949-RL</t>
  </si>
  <si>
    <t>202501950-RL</t>
  </si>
  <si>
    <t>202501952-RL</t>
  </si>
  <si>
    <t>Benjawan Samat</t>
  </si>
  <si>
    <t>Nyo Nyo Seint</t>
  </si>
  <si>
    <t>Khing Zin Nyein</t>
  </si>
  <si>
    <t>Chontipa Boongun</t>
  </si>
  <si>
    <t>Chulabhorn Hospital</t>
  </si>
  <si>
    <t>Kanyanat Chotichavanrattanakun</t>
  </si>
  <si>
    <t>Nutthanitcha Khemsophonthanet</t>
  </si>
  <si>
    <t>Arthittaya Meesuphasiri</t>
  </si>
  <si>
    <t>Phouvanh Sattaphap</t>
  </si>
  <si>
    <t>Phatcharaporn Potta</t>
  </si>
  <si>
    <t>Chalitta Sirithana</t>
  </si>
  <si>
    <t>Panida Keawthep</t>
  </si>
  <si>
    <t>Maninonh Khamvixai</t>
  </si>
  <si>
    <t>Chadakwan Katawetitatham</t>
  </si>
  <si>
    <t>Kwanchanok Rayanon</t>
  </si>
  <si>
    <t>Kamthorn Pruksananonda</t>
  </si>
  <si>
    <t>Natpisa Kiatphotha</t>
  </si>
  <si>
    <t>NIPT20251119</t>
  </si>
  <si>
    <t>202501820-RS-RL</t>
  </si>
  <si>
    <t>202501862-RS-RL</t>
  </si>
  <si>
    <t>Inconclusive T21</t>
  </si>
  <si>
    <t>202501889-RS</t>
  </si>
  <si>
    <t>202501931-RS</t>
  </si>
  <si>
    <t>202501962-RQ</t>
  </si>
  <si>
    <t>Thansuda Yamjitnim</t>
  </si>
  <si>
    <t>Sasikan Wongwaen</t>
  </si>
  <si>
    <t>Sansanee Nantapan</t>
  </si>
  <si>
    <t>Suphawari Chaiyanan</t>
  </si>
  <si>
    <t>Punyaphorn Laohachaiaroon</t>
  </si>
  <si>
    <t>Natwipa Imjit</t>
  </si>
  <si>
    <t>Chompoonoot Sanorkiat</t>
  </si>
  <si>
    <t>Wanida Singharat</t>
  </si>
  <si>
    <t>Rapeepat Auekitrungrueng</t>
  </si>
  <si>
    <t>Yupaporn Wonthawesuk</t>
  </si>
  <si>
    <t>Chalermporn Samontree</t>
  </si>
  <si>
    <t>Lakkhana Plainet</t>
  </si>
  <si>
    <t>Kanoknatee Aramwattanakul</t>
  </si>
  <si>
    <t>Paweena Madlay</t>
  </si>
  <si>
    <t>Petchchompoo Artmontree</t>
  </si>
  <si>
    <t>Nan Aoung</t>
  </si>
  <si>
    <t>Yenrudee Poomtavorn</t>
  </si>
  <si>
    <t>Sabaipae Phuttaraksa</t>
  </si>
  <si>
    <t>Daling Settha</t>
  </si>
  <si>
    <t>Wanalee Inkumnoed</t>
  </si>
  <si>
    <t>Chinthana Wongkhasum</t>
  </si>
  <si>
    <t>Athittaya Hongsawad</t>
  </si>
  <si>
    <t>Pansa Srisang</t>
  </si>
  <si>
    <t>Lalita Chatjindarat</t>
  </si>
  <si>
    <t>Rossarin Mano</t>
  </si>
  <si>
    <t>NIPT20251123</t>
  </si>
  <si>
    <t>202501735-RS</t>
  </si>
  <si>
    <t>202501849-RS</t>
  </si>
  <si>
    <t>202501931-RS-RL</t>
  </si>
  <si>
    <t>202501939-RS</t>
  </si>
  <si>
    <t>202501983-RL</t>
  </si>
  <si>
    <t>202501993-RL</t>
  </si>
  <si>
    <t>Chompunuch Akkaraborwornkul</t>
  </si>
  <si>
    <t>Pimpassawee Punnorit</t>
  </si>
  <si>
    <t xml:space="preserve">Ronnarong Maneeon </t>
  </si>
  <si>
    <t>Saimai Khwankeerati</t>
  </si>
  <si>
    <t>Areerat Prajarern</t>
  </si>
  <si>
    <t>Sujinda Songsaard</t>
  </si>
  <si>
    <t>Souphy Xayyalath</t>
  </si>
  <si>
    <t>Amphone Mahaxay</t>
  </si>
  <si>
    <t>Nutthakarn Phonghassaban</t>
  </si>
  <si>
    <t>Natthalika Sompong</t>
  </si>
  <si>
    <t>Rasikan Sivamatheewit</t>
  </si>
  <si>
    <t xml:space="preserve">Nicha Vetvitayavatana </t>
  </si>
  <si>
    <t>Nirawan Lodsawas</t>
  </si>
  <si>
    <t>Tomoae Wantha</t>
  </si>
  <si>
    <t>Preeyanuch Chaihuadjaroen</t>
  </si>
  <si>
    <t>Valliga Noonil</t>
  </si>
  <si>
    <t>Wanwisa Lekar</t>
  </si>
  <si>
    <t>Sayam Veskijkul</t>
  </si>
  <si>
    <t>Sarinpa Wongwiboolchai</t>
  </si>
  <si>
    <t>Somboun Kouangvantheo</t>
  </si>
  <si>
    <t>Padid Phetsamai</t>
  </si>
  <si>
    <t>Linly Phimmathong</t>
  </si>
  <si>
    <t>Teng Kee</t>
  </si>
  <si>
    <t>Busadee Suntrarak</t>
  </si>
  <si>
    <t>Nan Kham Sar</t>
  </si>
  <si>
    <t>Nittaya Saetan</t>
  </si>
  <si>
    <t>Anusara Dittheang</t>
  </si>
  <si>
    <t>Wenaporn Kiangkom</t>
  </si>
  <si>
    <t>Kotchaphan Roobsom</t>
  </si>
  <si>
    <t>NIPT20251125</t>
  </si>
  <si>
    <t>202501890-RS</t>
  </si>
  <si>
    <t>202501900-RS</t>
  </si>
  <si>
    <t>202501945-RS</t>
  </si>
  <si>
    <t>202502002-RQ</t>
  </si>
  <si>
    <t>202502008-RL</t>
  </si>
  <si>
    <t>202502010-RL</t>
  </si>
  <si>
    <t>202502011-RL</t>
  </si>
  <si>
    <t>Phonpreyanat Thathong</t>
  </si>
  <si>
    <t>Daraporn Muaksawai</t>
  </si>
  <si>
    <t>Wipada Chanaprakhon</t>
  </si>
  <si>
    <t>Hamon Saiwong</t>
  </si>
  <si>
    <t>Lita Liucharoensakul</t>
  </si>
  <si>
    <t xml:space="preserve">Cherdpong Chinawuth </t>
  </si>
  <si>
    <t>Thitinan Boonjing</t>
  </si>
  <si>
    <t>Chatsarun Srimoung</t>
  </si>
  <si>
    <t>Sinak Kea</t>
  </si>
  <si>
    <t>Chutima Jamsri</t>
  </si>
  <si>
    <t>Waraporn Sakunwanit</t>
  </si>
  <si>
    <t>Napaporn Buayai</t>
  </si>
  <si>
    <t>Rarinya Kanpimai</t>
  </si>
  <si>
    <t>Tin Hlaing San</t>
  </si>
  <si>
    <t>Arneeta Madadam</t>
  </si>
  <si>
    <t>Phetlada Charoensuk</t>
  </si>
  <si>
    <t>Atchara Thiamsunthorn</t>
  </si>
  <si>
    <t>Mouay Keolinthong</t>
  </si>
  <si>
    <t>Phanprow Supha-am-phanwong</t>
  </si>
  <si>
    <t>Rachadakorn Ussayakhun</t>
  </si>
  <si>
    <t>Jirapat Deemeechai</t>
  </si>
  <si>
    <t>Naphatson Bunsong</t>
  </si>
  <si>
    <t>Suchada Wongkongcome</t>
  </si>
  <si>
    <t>Wannakarn Singhatanadgige</t>
  </si>
  <si>
    <t>Siranee Khongsattra</t>
  </si>
  <si>
    <t>Kedvalin Rukkum</t>
  </si>
  <si>
    <t>Teerawat Anansirikasem</t>
  </si>
  <si>
    <t>Yan Mei Wu</t>
  </si>
  <si>
    <t>Arinpat Saiwong</t>
  </si>
  <si>
    <t>NIPT20251127</t>
  </si>
  <si>
    <t>202501882-RS</t>
  </si>
  <si>
    <t>202501929-RS</t>
  </si>
  <si>
    <t>202501945-RS-RL</t>
  </si>
  <si>
    <t>202502002-RQ-RL</t>
  </si>
  <si>
    <t>202502022-RL</t>
  </si>
  <si>
    <t>202502030-RL</t>
  </si>
  <si>
    <t>202502032-RL</t>
  </si>
  <si>
    <t>202502037-RL</t>
  </si>
  <si>
    <t>202502038-RL</t>
  </si>
  <si>
    <t>202502043-RL</t>
  </si>
  <si>
    <t>Chompunut Maiyawong</t>
  </si>
  <si>
    <t>Anuthida Bunloed</t>
  </si>
  <si>
    <t>Supaphon Panpakdee</t>
  </si>
  <si>
    <t>Kamonchanok Sensiri</t>
  </si>
  <si>
    <t>Kanlayanee Trudthai</t>
  </si>
  <si>
    <t>Sutida Thonglop</t>
  </si>
  <si>
    <t>Jatnipit Machim</t>
  </si>
  <si>
    <t>Parnwad Nukrogun</t>
  </si>
  <si>
    <t>Vanhpheng Phimmasone</t>
  </si>
  <si>
    <t>Reaksa Pheak</t>
  </si>
  <si>
    <t>Dy Xouam</t>
  </si>
  <si>
    <t>Saengdao Saengsuwan</t>
  </si>
  <si>
    <t>Kaewkao Kittithondetdamrong</t>
  </si>
  <si>
    <t>Darin Somsen</t>
  </si>
  <si>
    <t>Krungthai Hospital</t>
  </si>
  <si>
    <t>Paiboon Lamanchai</t>
  </si>
  <si>
    <t>Naratchakorn Roeksiri</t>
  </si>
  <si>
    <t>Patcharee Dachdee</t>
  </si>
  <si>
    <t>Malinee Wangkati</t>
  </si>
  <si>
    <t>Pattaraporn Pongpaew</t>
  </si>
  <si>
    <t>Tanaporn Phattarametaworakul</t>
  </si>
  <si>
    <t>NIPT20251129</t>
  </si>
  <si>
    <t>202501869-RS</t>
  </si>
  <si>
    <t>202501957-RS</t>
  </si>
  <si>
    <t>202501993-RS</t>
  </si>
  <si>
    <t>202502004-RS</t>
  </si>
  <si>
    <t>202502032-RL-RL</t>
  </si>
  <si>
    <t>202502051-RL</t>
  </si>
  <si>
    <t>202502055-RL</t>
  </si>
  <si>
    <t>202502064-RL</t>
  </si>
  <si>
    <t>Orathai Sihiprasert</t>
  </si>
  <si>
    <t>Katsara Kesa</t>
  </si>
  <si>
    <t>Natchanita Papay</t>
  </si>
  <si>
    <t>Pijitra Bovornjakavan</t>
  </si>
  <si>
    <t>Yupadee Tongkui</t>
  </si>
  <si>
    <t>Napasorn Kantasueb</t>
  </si>
  <si>
    <t>Kessanee Suklon</t>
  </si>
  <si>
    <t>Wiparat Srecream</t>
  </si>
  <si>
    <t>XYY verification</t>
  </si>
  <si>
    <t>Piyarat Srithep</t>
  </si>
  <si>
    <t>Charinrut Pimsarn</t>
  </si>
  <si>
    <t>Naritsara Suphajin</t>
  </si>
  <si>
    <t>Acting Sub Lt Nilawan Kaewprasoet</t>
  </si>
  <si>
    <t>Chiraphon Chomthip</t>
  </si>
  <si>
    <t>Malika Chooamnuay</t>
  </si>
  <si>
    <t>Natkamon Chimngarm</t>
  </si>
  <si>
    <t>Mareeya Bitterlin</t>
  </si>
  <si>
    <t>Paul Atkinson</t>
  </si>
  <si>
    <t>Jittraporn Palasak</t>
  </si>
  <si>
    <t>Panida Phakphan</t>
  </si>
  <si>
    <t>Arjaree Wongsuk</t>
  </si>
  <si>
    <t>Pranee Khomwan</t>
  </si>
  <si>
    <t>Wisuda Laoon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</si>
</sst>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font>
      <sz val="12"/>
      <color theme="1"/>
      <name val="Aptos Narrow"/>
      <family val="2"/>
      <scheme val="minor"/>
    </font>
    <font>
      <sz val="12"/>
      <color theme="1"/>
      <name val="Aptos Narrow"/>
      <family val="2"/>
      <scheme val="minor"/>
    </font>
    <font>
      <sz val="12"/>
      <color rgb="FFFF0000"/>
      <name val="Aptos Narrow"/>
      <family val="2"/>
      <scheme val="minor"/>
    </font>
    <font>
      <sz val="8"/>
      <name val="Aptos Narrow"/>
      <family val="2"/>
      <scheme val="minor"/>
    </font>
    <font>
      <sz val="18"/>
      <color theme="1"/>
      <name val="THSarabunNew"/>
    </font>
    <font>
      <b/>
      <sz val="18"/>
      <color theme="1"/>
      <name val="THSarabunNew"/>
    </font>
    <font>
      <sz val="12"/>
      <color theme="1"/>
      <name val="Aptos Narrow"/>
      <scheme val="minor"/>
    </font>
    <font>
      <b/>
      <sz val="12"/>
      <color theme="1"/>
      <name val="Aptos Narrow"/>
      <scheme val="minor"/>
    </font>
    <font>
      <sz val="12"/>
      <color rgb="FF000000"/>
      <name val="Aptos Narrow"/>
      <family val="2"/>
      <scheme val="minor"/>
    </font>
    <font>
      <sz val="10"/>
      <color rgb="FFFF0000"/>
      <name val="Arial"/>
      <family val="2"/>
    </font>
    <font>
      <sz val="10"/>
      <name val="Arial"/>
      <family val="2"/>
    </font>
    <font>
      <sz val="10"/>
      <color rgb="FFFF0000"/>
      <name val="宋体"/>
      <charset val="134"/>
    </font>
  </fonts>
  <fills count="1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FFFF00"/>
        <bgColor rgb="FFFFFF00"/>
      </patternFill>
    </fill>
    <fill>
      <patternFill patternType="solid">
        <fgColor rgb="FFFFC000"/>
        <bgColor rgb="FFFFFF00"/>
      </patternFill>
    </fill>
    <fill>
      <patternFill patternType="solid">
        <fgColor rgb="FFFFFF00"/>
        <bgColor rgb="FF000000"/>
      </patternFill>
    </fill>
    <fill>
      <patternFill patternType="solid">
        <fgColor rgb="FF92D050"/>
        <bgColor rgb="FF000000"/>
      </patternFill>
    </fill>
    <fill>
      <patternFill patternType="solid">
        <fgColor rgb="FFFF0000"/>
        <bgColor rgb="FF000000"/>
      </patternFill>
    </fill>
    <fill>
      <patternFill patternType="solid">
        <fgColor rgb="FFFF0000"/>
        <bgColor rgb="FFFFFF00"/>
      </patternFill>
    </fill>
    <fill>
      <patternFill patternType="solid">
        <fgColor rgb="FFFFC000"/>
        <bgColor rgb="FF000000"/>
      </patternFill>
    </fill>
    <fill>
      <patternFill patternType="solid">
        <fgColor rgb="FF00B0F0"/>
        <bgColor rgb="FFFFFF00"/>
      </patternFill>
    </fill>
    <fill>
      <patternFill patternType="solid">
        <fgColor theme="6"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34">
    <xf numFmtId="0" fontId="0" fillId="0" borderId="0" xfId="0"/>
    <xf numFmtId="0" fontId="4" fillId="0" borderId="0" xfId="0" applyFont="1"/>
    <xf numFmtId="0" fontId="4" fillId="0" borderId="0" xfId="0" applyFont="1" applyAlignment="1">
      <alignment horizontal="center"/>
    </xf>
    <xf numFmtId="0" fontId="0" fillId="0" borderId="1" xfId="0" applyBorder="1" applyAlignment="1">
      <alignment horizontal="center"/>
    </xf>
    <xf numFmtId="43" fontId="0" fillId="0" borderId="1" xfId="1" applyFont="1" applyFill="1" applyBorder="1" applyAlignment="1">
      <alignment horizontal="center"/>
    </xf>
    <xf numFmtId="0" fontId="0" fillId="0" borderId="1" xfId="0" applyBorder="1"/>
    <xf numFmtId="14" fontId="0" fillId="0" borderId="1" xfId="0" applyNumberFormat="1" applyBorder="1"/>
    <xf numFmtId="43" fontId="0" fillId="0" borderId="1" xfId="1" applyFont="1" applyFill="1" applyBorder="1"/>
    <xf numFmtId="43" fontId="0" fillId="0" borderId="1" xfId="0" applyNumberFormat="1" applyBorder="1"/>
    <xf numFmtId="0" fontId="0" fillId="2" borderId="1" xfId="0" applyFill="1" applyBorder="1"/>
    <xf numFmtId="14" fontId="0" fillId="2" borderId="1" xfId="0" applyNumberFormat="1" applyFill="1" applyBorder="1"/>
    <xf numFmtId="43" fontId="0" fillId="2" borderId="1" xfId="1" applyFont="1" applyFill="1" applyBorder="1"/>
    <xf numFmtId="43" fontId="0" fillId="2" borderId="1" xfId="0" applyNumberFormat="1" applyFill="1" applyBorder="1"/>
    <xf numFmtId="0" fontId="0" fillId="3" borderId="1" xfId="0" applyFill="1" applyBorder="1"/>
    <xf numFmtId="14" fontId="0" fillId="3" borderId="1" xfId="0" applyNumberFormat="1" applyFill="1" applyBorder="1"/>
    <xf numFmtId="43" fontId="0" fillId="3" borderId="1" xfId="1" applyFont="1" applyFill="1" applyBorder="1"/>
    <xf numFmtId="43" fontId="0" fillId="3" borderId="1" xfId="0" applyNumberFormat="1" applyFill="1" applyBorder="1"/>
    <xf numFmtId="0" fontId="0" fillId="4" borderId="1" xfId="0" applyFill="1" applyBorder="1"/>
    <xf numFmtId="14" fontId="0" fillId="4" borderId="1" xfId="0" applyNumberFormat="1" applyFill="1" applyBorder="1"/>
    <xf numFmtId="43" fontId="0" fillId="4" borderId="1" xfId="1" applyFont="1" applyFill="1" applyBorder="1"/>
    <xf numFmtId="43" fontId="0" fillId="4" borderId="1" xfId="0" applyNumberFormat="1" applyFill="1" applyBorder="1"/>
    <xf numFmtId="14" fontId="6" fillId="0" borderId="1" xfId="0" applyNumberFormat="1" applyFont="1" applyBorder="1"/>
    <xf numFmtId="0" fontId="0" fillId="5" borderId="1" xfId="0" applyFill="1" applyBorder="1"/>
    <xf numFmtId="14" fontId="0" fillId="5" borderId="1" xfId="0" applyNumberFormat="1" applyFill="1" applyBorder="1"/>
    <xf numFmtId="43" fontId="0" fillId="5" borderId="1" xfId="1" applyFont="1" applyFill="1" applyBorder="1"/>
    <xf numFmtId="43" fontId="0" fillId="5" borderId="1" xfId="0" applyNumberFormat="1" applyFill="1" applyBorder="1"/>
    <xf numFmtId="0" fontId="0" fillId="6" borderId="1" xfId="0" applyFill="1" applyBorder="1"/>
    <xf numFmtId="14" fontId="0" fillId="6" borderId="1" xfId="0" applyNumberFormat="1" applyFill="1" applyBorder="1"/>
    <xf numFmtId="43" fontId="0" fillId="6" borderId="1" xfId="1" applyFont="1" applyFill="1" applyBorder="1"/>
    <xf numFmtId="43" fontId="0" fillId="6" borderId="1" xfId="0" applyNumberFormat="1" applyFill="1" applyBorder="1"/>
    <xf numFmtId="1" fontId="0" fillId="0" borderId="1" xfId="0" applyNumberFormat="1" applyBorder="1"/>
    <xf numFmtId="1" fontId="0" fillId="4" borderId="1" xfId="0" applyNumberFormat="1" applyFill="1" applyBorder="1"/>
    <xf numFmtId="1" fontId="0" fillId="2" borderId="1" xfId="0" applyNumberFormat="1" applyFill="1" applyBorder="1"/>
    <xf numFmtId="1" fontId="0" fillId="6" borderId="1" xfId="0" applyNumberFormat="1" applyFill="1" applyBorder="1"/>
    <xf numFmtId="1" fontId="0" fillId="5" borderId="1" xfId="0" applyNumberFormat="1" applyFill="1" applyBorder="1"/>
    <xf numFmtId="1" fontId="0" fillId="3" borderId="1" xfId="0" applyNumberFormat="1" applyFill="1" applyBorder="1"/>
    <xf numFmtId="43" fontId="0" fillId="0" borderId="0" xfId="0" applyNumberFormat="1"/>
    <xf numFmtId="2" fontId="0" fillId="0" borderId="1" xfId="0" applyNumberFormat="1" applyBorder="1"/>
    <xf numFmtId="10" fontId="0" fillId="0" borderId="1" xfId="2" applyNumberFormat="1" applyFont="1" applyBorder="1"/>
    <xf numFmtId="0" fontId="7" fillId="0" borderId="1" xfId="0" applyFont="1" applyBorder="1" applyAlignment="1">
      <alignment horizontal="center"/>
    </xf>
    <xf numFmtId="43" fontId="7" fillId="0" borderId="1" xfId="1" applyFont="1" applyFill="1" applyBorder="1" applyAlignment="1">
      <alignment horizontal="center"/>
    </xf>
    <xf numFmtId="43" fontId="0" fillId="0" borderId="1" xfId="1" applyFont="1" applyBorder="1"/>
    <xf numFmtId="0" fontId="8" fillId="0" borderId="1" xfId="0" applyFont="1" applyBorder="1"/>
    <xf numFmtId="14" fontId="8" fillId="0" borderId="1" xfId="0" applyNumberFormat="1" applyFont="1" applyBorder="1"/>
    <xf numFmtId="1" fontId="8" fillId="0" borderId="1" xfId="0" applyNumberFormat="1" applyFont="1" applyBorder="1"/>
    <xf numFmtId="43" fontId="8" fillId="0" borderId="1" xfId="0" applyNumberFormat="1" applyFont="1" applyBorder="1"/>
    <xf numFmtId="0" fontId="8" fillId="4" borderId="1" xfId="0" applyFont="1" applyFill="1" applyBorder="1"/>
    <xf numFmtId="14" fontId="8" fillId="4" borderId="1" xfId="0" applyNumberFormat="1" applyFont="1" applyFill="1" applyBorder="1"/>
    <xf numFmtId="1" fontId="8" fillId="4" borderId="1" xfId="0" applyNumberFormat="1" applyFont="1" applyFill="1" applyBorder="1"/>
    <xf numFmtId="43" fontId="8" fillId="4" borderId="1" xfId="0" applyNumberFormat="1" applyFont="1" applyFill="1" applyBorder="1"/>
    <xf numFmtId="0" fontId="8" fillId="5" borderId="1" xfId="0" applyFont="1" applyFill="1" applyBorder="1"/>
    <xf numFmtId="14" fontId="8" fillId="5" borderId="1" xfId="0" applyNumberFormat="1" applyFont="1" applyFill="1" applyBorder="1"/>
    <xf numFmtId="1" fontId="8" fillId="5" borderId="1" xfId="0" applyNumberFormat="1" applyFont="1" applyFill="1" applyBorder="1"/>
    <xf numFmtId="43" fontId="8" fillId="5" borderId="1" xfId="0" applyNumberFormat="1" applyFont="1" applyFill="1" applyBorder="1"/>
    <xf numFmtId="0" fontId="8" fillId="2" borderId="1" xfId="0" applyFont="1" applyFill="1" applyBorder="1"/>
    <xf numFmtId="14" fontId="8" fillId="2" borderId="1" xfId="0" applyNumberFormat="1" applyFont="1" applyFill="1" applyBorder="1"/>
    <xf numFmtId="1" fontId="8" fillId="2" borderId="1" xfId="0" applyNumberFormat="1" applyFont="1" applyFill="1" applyBorder="1"/>
    <xf numFmtId="43" fontId="8" fillId="2" borderId="1" xfId="0" applyNumberFormat="1" applyFont="1" applyFill="1" applyBorder="1"/>
    <xf numFmtId="0" fontId="0" fillId="7" borderId="1" xfId="0" applyFill="1" applyBorder="1"/>
    <xf numFmtId="14" fontId="0" fillId="7" borderId="1" xfId="0" applyNumberFormat="1" applyFill="1" applyBorder="1"/>
    <xf numFmtId="1" fontId="0" fillId="7" borderId="1" xfId="0" applyNumberFormat="1" applyFill="1" applyBorder="1"/>
    <xf numFmtId="43" fontId="0" fillId="7" borderId="1" xfId="1" applyFont="1" applyFill="1" applyBorder="1"/>
    <xf numFmtId="43" fontId="0" fillId="7" borderId="1" xfId="0" applyNumberFormat="1" applyFill="1" applyBorder="1"/>
    <xf numFmtId="0" fontId="9" fillId="8" borderId="1" xfId="0" applyFont="1" applyFill="1" applyBorder="1"/>
    <xf numFmtId="0" fontId="9" fillId="9" borderId="1" xfId="0" applyFont="1" applyFill="1" applyBorder="1"/>
    <xf numFmtId="43" fontId="8" fillId="0" borderId="1" xfId="1" applyFont="1" applyBorder="1"/>
    <xf numFmtId="0" fontId="8" fillId="10" borderId="1" xfId="0" applyFont="1" applyFill="1" applyBorder="1"/>
    <xf numFmtId="14" fontId="8" fillId="10" borderId="1" xfId="0" applyNumberFormat="1" applyFont="1" applyFill="1" applyBorder="1"/>
    <xf numFmtId="1" fontId="8" fillId="10" borderId="1" xfId="0" applyNumberFormat="1" applyFont="1" applyFill="1" applyBorder="1"/>
    <xf numFmtId="43" fontId="8" fillId="10" borderId="1" xfId="1" applyFont="1" applyFill="1" applyBorder="1"/>
    <xf numFmtId="43" fontId="8" fillId="10" borderId="1" xfId="0" applyNumberFormat="1" applyFont="1" applyFill="1" applyBorder="1"/>
    <xf numFmtId="0" fontId="8" fillId="11" borderId="1" xfId="0" applyFont="1" applyFill="1" applyBorder="1"/>
    <xf numFmtId="14" fontId="8" fillId="11" borderId="1" xfId="0" applyNumberFormat="1" applyFont="1" applyFill="1" applyBorder="1"/>
    <xf numFmtId="1" fontId="8" fillId="11" borderId="1" xfId="0" applyNumberFormat="1" applyFont="1" applyFill="1" applyBorder="1"/>
    <xf numFmtId="43" fontId="8" fillId="11" borderId="1" xfId="1" applyFont="1" applyFill="1" applyBorder="1"/>
    <xf numFmtId="43" fontId="8" fillId="11" borderId="1" xfId="0" applyNumberFormat="1" applyFont="1" applyFill="1" applyBorder="1"/>
    <xf numFmtId="43" fontId="8" fillId="5" borderId="1" xfId="1" applyFont="1" applyFill="1" applyBorder="1"/>
    <xf numFmtId="0" fontId="8" fillId="12" borderId="1" xfId="0" applyFont="1" applyFill="1" applyBorder="1"/>
    <xf numFmtId="14" fontId="8" fillId="12" borderId="1" xfId="0" applyNumberFormat="1" applyFont="1" applyFill="1" applyBorder="1"/>
    <xf numFmtId="1" fontId="8" fillId="12" borderId="1" xfId="0" applyNumberFormat="1" applyFont="1" applyFill="1" applyBorder="1"/>
    <xf numFmtId="43" fontId="8" fillId="12" borderId="1" xfId="1" applyFont="1" applyFill="1" applyBorder="1"/>
    <xf numFmtId="43" fontId="8" fillId="12" borderId="1" xfId="0" applyNumberFormat="1" applyFont="1" applyFill="1" applyBorder="1"/>
    <xf numFmtId="0" fontId="10" fillId="13" borderId="1" xfId="0" applyFont="1" applyFill="1" applyBorder="1"/>
    <xf numFmtId="0" fontId="8" fillId="14" borderId="1" xfId="0" applyFont="1" applyFill="1" applyBorder="1"/>
    <xf numFmtId="14" fontId="8" fillId="14" borderId="1" xfId="0" applyNumberFormat="1" applyFont="1" applyFill="1" applyBorder="1"/>
    <xf numFmtId="1" fontId="8" fillId="14" borderId="1" xfId="0" applyNumberFormat="1" applyFont="1" applyFill="1" applyBorder="1"/>
    <xf numFmtId="43" fontId="8" fillId="14" borderId="1" xfId="1" applyFont="1" applyFill="1" applyBorder="1"/>
    <xf numFmtId="43" fontId="8" fillId="14" borderId="1" xfId="0" applyNumberFormat="1" applyFont="1" applyFill="1" applyBorder="1"/>
    <xf numFmtId="0" fontId="9" fillId="15" borderId="1" xfId="0" applyFont="1" applyFill="1" applyBorder="1"/>
    <xf numFmtId="0" fontId="2" fillId="2" borderId="1" xfId="0" applyFont="1" applyFill="1" applyBorder="1"/>
    <xf numFmtId="0" fontId="4" fillId="0" borderId="1" xfId="0" applyFont="1" applyBorder="1" applyAlignment="1">
      <alignment horizontal="center"/>
    </xf>
    <xf numFmtId="2" fontId="4" fillId="0" borderId="1" xfId="1" applyNumberFormat="1" applyFont="1" applyBorder="1" applyAlignment="1">
      <alignment horizontal="center"/>
    </xf>
    <xf numFmtId="1" fontId="4" fillId="0" borderId="1" xfId="1" applyNumberFormat="1" applyFont="1" applyBorder="1" applyAlignment="1">
      <alignment horizontal="center"/>
    </xf>
    <xf numFmtId="0" fontId="5" fillId="0" borderId="1" xfId="0" applyFont="1" applyBorder="1" applyAlignment="1">
      <alignment horizontal="center"/>
    </xf>
    <xf numFmtId="3" fontId="4" fillId="0" borderId="1" xfId="0" applyNumberFormat="1" applyFont="1" applyBorder="1" applyAlignment="1">
      <alignment horizontal="center"/>
    </xf>
    <xf numFmtId="43" fontId="4" fillId="0" borderId="0" xfId="0" applyNumberFormat="1" applyFont="1"/>
    <xf numFmtId="43" fontId="4" fillId="0" borderId="0" xfId="0" applyNumberFormat="1" applyFont="1" applyAlignment="1">
      <alignment horizontal="center"/>
    </xf>
    <xf numFmtId="0" fontId="5" fillId="16" borderId="1" xfId="0" applyFont="1" applyFill="1" applyBorder="1" applyAlignment="1">
      <alignment horizontal="center"/>
    </xf>
    <xf numFmtId="0" fontId="5" fillId="7" borderId="1" xfId="0" applyFont="1" applyFill="1" applyBorder="1" applyAlignment="1">
      <alignment horizontal="center"/>
    </xf>
    <xf numFmtId="0" fontId="5" fillId="16" borderId="2" xfId="0" applyFont="1" applyFill="1" applyBorder="1" applyAlignment="1">
      <alignment horizontal="center"/>
    </xf>
    <xf numFmtId="0" fontId="4" fillId="0" borderId="2" xfId="0" applyFont="1" applyBorder="1" applyAlignment="1">
      <alignment horizontal="center"/>
    </xf>
    <xf numFmtId="3" fontId="4" fillId="0" borderId="2" xfId="0" applyNumberFormat="1" applyFont="1" applyBorder="1" applyAlignment="1">
      <alignment horizontal="center"/>
    </xf>
    <xf numFmtId="2" fontId="4" fillId="0" borderId="1" xfId="0" applyNumberFormat="1" applyFont="1" applyBorder="1" applyAlignment="1">
      <alignment horizontal="center"/>
    </xf>
    <xf numFmtId="0" fontId="4" fillId="16" borderId="3" xfId="0" applyFont="1" applyFill="1" applyBorder="1" applyAlignment="1">
      <alignment horizontal="center"/>
    </xf>
    <xf numFmtId="3" fontId="4" fillId="16" borderId="3" xfId="0" applyNumberFormat="1" applyFont="1" applyFill="1" applyBorder="1" applyAlignment="1">
      <alignment horizontal="center"/>
    </xf>
    <xf numFmtId="0" fontId="4" fillId="7" borderId="3" xfId="0" applyFont="1" applyFill="1" applyBorder="1" applyAlignment="1">
      <alignment horizontal="center"/>
    </xf>
    <xf numFmtId="3" fontId="4" fillId="7" borderId="3" xfId="0" applyNumberFormat="1" applyFont="1" applyFill="1" applyBorder="1" applyAlignment="1">
      <alignment horizontal="center"/>
    </xf>
    <xf numFmtId="0" fontId="4" fillId="17" borderId="3" xfId="0" applyFont="1" applyFill="1" applyBorder="1" applyAlignment="1">
      <alignment horizontal="center"/>
    </xf>
    <xf numFmtId="3" fontId="4" fillId="17" borderId="3" xfId="0" applyNumberFormat="1" applyFont="1" applyFill="1" applyBorder="1" applyAlignment="1">
      <alignment horizontal="center"/>
    </xf>
    <xf numFmtId="10" fontId="4" fillId="0" borderId="2" xfId="2" applyNumberFormat="1" applyFont="1" applyBorder="1" applyAlignment="1">
      <alignment horizontal="center"/>
    </xf>
    <xf numFmtId="4" fontId="4" fillId="0" borderId="1" xfId="1" applyNumberFormat="1" applyFont="1" applyBorder="1" applyAlignment="1">
      <alignment horizontal="center"/>
    </xf>
    <xf numFmtId="4" fontId="4" fillId="0" borderId="1" xfId="0" applyNumberFormat="1" applyFont="1" applyBorder="1" applyAlignment="1">
      <alignment horizontal="center"/>
    </xf>
    <xf numFmtId="4" fontId="4" fillId="3" borderId="1" xfId="1" applyNumberFormat="1" applyFont="1" applyFill="1" applyBorder="1" applyAlignment="1">
      <alignment horizontal="center"/>
    </xf>
    <xf numFmtId="4" fontId="4" fillId="3" borderId="1" xfId="0" applyNumberFormat="1" applyFont="1" applyFill="1" applyBorder="1" applyAlignment="1">
      <alignment horizontal="center"/>
    </xf>
    <xf numFmtId="4" fontId="4" fillId="5" borderId="1" xfId="1" applyNumberFormat="1" applyFont="1" applyFill="1" applyBorder="1" applyAlignment="1">
      <alignment horizontal="center"/>
    </xf>
    <xf numFmtId="4" fontId="4" fillId="5" borderId="1" xfId="0" applyNumberFormat="1" applyFont="1" applyFill="1" applyBorder="1" applyAlignment="1">
      <alignment horizontal="center"/>
    </xf>
    <xf numFmtId="4" fontId="4" fillId="2" borderId="3" xfId="1" applyNumberFormat="1" applyFont="1" applyFill="1" applyBorder="1" applyAlignment="1">
      <alignment horizontal="center"/>
    </xf>
    <xf numFmtId="4" fontId="4" fillId="2" borderId="3" xfId="0" applyNumberFormat="1" applyFont="1" applyFill="1" applyBorder="1" applyAlignment="1">
      <alignment horizontal="center"/>
    </xf>
    <xf numFmtId="0" fontId="8" fillId="3" borderId="1" xfId="0" applyFont="1" applyFill="1" applyBorder="1"/>
    <xf numFmtId="9" fontId="4" fillId="0" borderId="0" xfId="2" applyFont="1"/>
    <xf numFmtId="0" fontId="4" fillId="0" borderId="4" xfId="0" applyFont="1" applyBorder="1" applyAlignment="1">
      <alignment horizontal="center"/>
    </xf>
    <xf numFmtId="3" fontId="4" fillId="0" borderId="4" xfId="0" applyNumberFormat="1" applyFont="1" applyBorder="1" applyAlignment="1">
      <alignment horizontal="center"/>
    </xf>
    <xf numFmtId="0" fontId="8" fillId="6" borderId="1" xfId="0" applyFont="1" applyFill="1" applyBorder="1"/>
    <xf numFmtId="0" fontId="5" fillId="0" borderId="1" xfId="0" applyFont="1" applyBorder="1" applyAlignment="1">
      <alignment horizontal="center"/>
    </xf>
    <xf numFmtId="0" fontId="5" fillId="0" borderId="1" xfId="0" applyFont="1" applyBorder="1" applyAlignment="1">
      <alignment horizontal="center"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17"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16" borderId="2" xfId="0" applyFont="1" applyFill="1" applyBorder="1" applyAlignment="1">
      <alignment horizontal="center" vertical="center"/>
    </xf>
    <xf numFmtId="0" fontId="5" fillId="16"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0" fillId="5" borderId="0" xfId="0"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B235-54E2-6046-89B2-FF22335F7A4E}">
  <dimension ref="A1:R29"/>
  <sheetViews>
    <sheetView tabSelected="1" zoomScale="150" zoomScaleNormal="150" workbookViewId="0">
      <selection activeCell="I18" sqref="I18"/>
    </sheetView>
  </sheetViews>
  <sheetFormatPr baseColWidth="10" defaultRowHeight="27"/>
  <cols>
    <col min="1" max="1" width="34.5" style="1" bestFit="1" customWidth="1"/>
    <col min="2" max="2" width="13.83203125" style="1" bestFit="1" customWidth="1"/>
    <col min="3" max="11" width="15.83203125" style="2" customWidth="1"/>
    <col min="12" max="12" width="12.5" style="1" bestFit="1" customWidth="1"/>
    <col min="13" max="16384" width="10.83203125" style="1"/>
  </cols>
  <sheetData>
    <row r="1" spans="1:11">
      <c r="A1" s="123" t="s">
        <v>685</v>
      </c>
      <c r="B1" s="123"/>
      <c r="C1" s="93" t="s">
        <v>0</v>
      </c>
      <c r="D1" s="93" t="s">
        <v>1</v>
      </c>
      <c r="E1" s="93" t="s">
        <v>2</v>
      </c>
      <c r="F1" s="93" t="s">
        <v>3</v>
      </c>
      <c r="G1" s="93" t="s">
        <v>4</v>
      </c>
      <c r="H1" s="93" t="s">
        <v>5</v>
      </c>
      <c r="I1" s="93" t="s">
        <v>6</v>
      </c>
      <c r="J1" s="93" t="s">
        <v>7</v>
      </c>
      <c r="K1" s="93" t="s">
        <v>8</v>
      </c>
    </row>
    <row r="2" spans="1:11">
      <c r="A2" s="129" t="s">
        <v>9</v>
      </c>
      <c r="B2" s="99" t="s">
        <v>75</v>
      </c>
      <c r="C2" s="90">
        <v>16</v>
      </c>
      <c r="D2" s="90">
        <v>34</v>
      </c>
      <c r="E2" s="90">
        <v>56</v>
      </c>
      <c r="F2" s="90">
        <v>53</v>
      </c>
      <c r="G2" s="90">
        <v>72</v>
      </c>
      <c r="H2" s="90">
        <v>58</v>
      </c>
      <c r="I2" s="90">
        <v>66</v>
      </c>
      <c r="J2" s="90"/>
      <c r="K2" s="94">
        <f>SUM(C2:J2)</f>
        <v>355</v>
      </c>
    </row>
    <row r="3" spans="1:11">
      <c r="A3" s="130"/>
      <c r="B3" s="97" t="s">
        <v>52</v>
      </c>
      <c r="C3" s="90">
        <v>100</v>
      </c>
      <c r="D3" s="90">
        <v>130</v>
      </c>
      <c r="E3" s="90">
        <v>203</v>
      </c>
      <c r="F3" s="90">
        <v>184</v>
      </c>
      <c r="G3" s="90">
        <v>221</v>
      </c>
      <c r="H3" s="90">
        <v>208</v>
      </c>
      <c r="I3" s="90">
        <v>177</v>
      </c>
      <c r="J3" s="90"/>
      <c r="K3" s="94">
        <f t="shared" ref="K3:K12" si="0">SUM(C3:J3)</f>
        <v>1223</v>
      </c>
    </row>
    <row r="4" spans="1:11">
      <c r="A4" s="130"/>
      <c r="B4" s="97" t="s">
        <v>43</v>
      </c>
      <c r="C4" s="90">
        <v>16</v>
      </c>
      <c r="D4" s="90">
        <v>21</v>
      </c>
      <c r="E4" s="90">
        <v>46</v>
      </c>
      <c r="F4" s="90">
        <v>32</v>
      </c>
      <c r="G4" s="90">
        <v>55</v>
      </c>
      <c r="H4" s="90">
        <v>53</v>
      </c>
      <c r="I4" s="90">
        <v>47</v>
      </c>
      <c r="J4" s="90"/>
      <c r="K4" s="94">
        <f t="shared" si="0"/>
        <v>270</v>
      </c>
    </row>
    <row r="5" spans="1:11">
      <c r="A5" s="130"/>
      <c r="B5" s="97" t="s">
        <v>190</v>
      </c>
      <c r="C5" s="90">
        <v>2</v>
      </c>
      <c r="D5" s="90">
        <v>4</v>
      </c>
      <c r="E5" s="90">
        <v>4</v>
      </c>
      <c r="F5" s="90">
        <v>3</v>
      </c>
      <c r="G5" s="90">
        <v>2</v>
      </c>
      <c r="H5" s="90">
        <v>8</v>
      </c>
      <c r="I5" s="90">
        <v>6</v>
      </c>
      <c r="J5" s="90"/>
      <c r="K5" s="94">
        <f t="shared" si="0"/>
        <v>29</v>
      </c>
    </row>
    <row r="6" spans="1:11">
      <c r="A6" s="130"/>
      <c r="B6" s="97" t="s">
        <v>2176</v>
      </c>
      <c r="C6" s="120">
        <v>0</v>
      </c>
      <c r="D6" s="120">
        <v>0</v>
      </c>
      <c r="E6" s="120">
        <v>0</v>
      </c>
      <c r="F6" s="120">
        <v>0</v>
      </c>
      <c r="G6" s="120">
        <v>6</v>
      </c>
      <c r="H6" s="120">
        <v>11</v>
      </c>
      <c r="I6" s="120">
        <v>10</v>
      </c>
      <c r="J6" s="120"/>
      <c r="K6" s="121">
        <f t="shared" si="0"/>
        <v>27</v>
      </c>
    </row>
    <row r="7" spans="1:11" ht="28" thickBot="1">
      <c r="A7" s="130"/>
      <c r="B7" s="97" t="s">
        <v>1535</v>
      </c>
      <c r="C7" s="103">
        <f t="shared" ref="C7:F7" si="1">SUM(C2:C6)</f>
        <v>134</v>
      </c>
      <c r="D7" s="103">
        <f t="shared" si="1"/>
        <v>189</v>
      </c>
      <c r="E7" s="103">
        <f t="shared" si="1"/>
        <v>309</v>
      </c>
      <c r="F7" s="103">
        <f t="shared" si="1"/>
        <v>272</v>
      </c>
      <c r="G7" s="103">
        <f>SUM(G2:G6)</f>
        <v>356</v>
      </c>
      <c r="H7" s="103">
        <f t="shared" ref="H7:J7" si="2">SUM(H2:H6)</f>
        <v>338</v>
      </c>
      <c r="I7" s="103">
        <f t="shared" si="2"/>
        <v>306</v>
      </c>
      <c r="J7" s="103">
        <f t="shared" si="2"/>
        <v>0</v>
      </c>
      <c r="K7" s="104">
        <f t="shared" si="0"/>
        <v>1904</v>
      </c>
    </row>
    <row r="8" spans="1:11" ht="28" thickTop="1">
      <c r="A8" s="131" t="s">
        <v>1536</v>
      </c>
      <c r="B8" s="98" t="s">
        <v>75</v>
      </c>
      <c r="C8" s="100">
        <v>7</v>
      </c>
      <c r="D8" s="100">
        <v>4</v>
      </c>
      <c r="E8" s="100">
        <v>2</v>
      </c>
      <c r="F8" s="100">
        <v>1</v>
      </c>
      <c r="G8" s="100">
        <v>19</v>
      </c>
      <c r="H8" s="100">
        <v>4</v>
      </c>
      <c r="I8" s="100">
        <v>16</v>
      </c>
      <c r="J8" s="100"/>
      <c r="K8" s="101">
        <f t="shared" si="0"/>
        <v>53</v>
      </c>
    </row>
    <row r="9" spans="1:11">
      <c r="A9" s="132"/>
      <c r="B9" s="98" t="s">
        <v>52</v>
      </c>
      <c r="C9" s="90">
        <v>16</v>
      </c>
      <c r="D9" s="90">
        <v>20</v>
      </c>
      <c r="E9" s="90">
        <v>19</v>
      </c>
      <c r="F9" s="90">
        <v>18</v>
      </c>
      <c r="G9" s="90">
        <v>27</v>
      </c>
      <c r="H9" s="90">
        <v>23</v>
      </c>
      <c r="I9" s="90">
        <v>39</v>
      </c>
      <c r="J9" s="90"/>
      <c r="K9" s="94">
        <f t="shared" si="0"/>
        <v>162</v>
      </c>
    </row>
    <row r="10" spans="1:11">
      <c r="A10" s="132"/>
      <c r="B10" s="98" t="s">
        <v>43</v>
      </c>
      <c r="C10" s="90">
        <v>9</v>
      </c>
      <c r="D10" s="90">
        <v>6</v>
      </c>
      <c r="E10" s="90">
        <v>3</v>
      </c>
      <c r="F10" s="90">
        <v>7</v>
      </c>
      <c r="G10" s="90">
        <v>9</v>
      </c>
      <c r="H10" s="90">
        <v>9</v>
      </c>
      <c r="I10" s="90">
        <v>9</v>
      </c>
      <c r="J10" s="90"/>
      <c r="K10" s="94">
        <f t="shared" si="0"/>
        <v>52</v>
      </c>
    </row>
    <row r="11" spans="1:11">
      <c r="A11" s="132"/>
      <c r="B11" s="98" t="s">
        <v>190</v>
      </c>
      <c r="C11" s="90">
        <v>0</v>
      </c>
      <c r="D11" s="90">
        <v>1</v>
      </c>
      <c r="E11" s="90">
        <v>0</v>
      </c>
      <c r="F11" s="90">
        <v>2</v>
      </c>
      <c r="G11" s="90">
        <v>3</v>
      </c>
      <c r="H11" s="90">
        <v>2</v>
      </c>
      <c r="I11" s="90">
        <v>1</v>
      </c>
      <c r="J11" s="90"/>
      <c r="K11" s="94">
        <f t="shared" si="0"/>
        <v>9</v>
      </c>
    </row>
    <row r="12" spans="1:11">
      <c r="A12" s="132"/>
      <c r="B12" s="98" t="s">
        <v>2176</v>
      </c>
      <c r="C12" s="120">
        <v>0</v>
      </c>
      <c r="D12" s="120">
        <v>0</v>
      </c>
      <c r="E12" s="120">
        <v>0</v>
      </c>
      <c r="F12" s="120">
        <v>0</v>
      </c>
      <c r="G12" s="120">
        <v>0</v>
      </c>
      <c r="H12" s="120">
        <v>0</v>
      </c>
      <c r="I12" s="120">
        <v>4</v>
      </c>
      <c r="J12" s="120"/>
      <c r="K12" s="121">
        <f t="shared" si="0"/>
        <v>4</v>
      </c>
    </row>
    <row r="13" spans="1:11" ht="28" thickBot="1">
      <c r="A13" s="132"/>
      <c r="B13" s="98" t="s">
        <v>1535</v>
      </c>
      <c r="C13" s="105">
        <f t="shared" ref="C13:F13" si="3">SUM(C8:C12)</f>
        <v>32</v>
      </c>
      <c r="D13" s="105">
        <f t="shared" si="3"/>
        <v>31</v>
      </c>
      <c r="E13" s="105">
        <f t="shared" si="3"/>
        <v>24</v>
      </c>
      <c r="F13" s="105">
        <f t="shared" si="3"/>
        <v>28</v>
      </c>
      <c r="G13" s="105">
        <f>SUM(G8:G12)</f>
        <v>58</v>
      </c>
      <c r="H13" s="105">
        <f t="shared" ref="H13:J13" si="4">SUM(H8:H12)</f>
        <v>38</v>
      </c>
      <c r="I13" s="105">
        <f t="shared" si="4"/>
        <v>69</v>
      </c>
      <c r="J13" s="105">
        <f t="shared" si="4"/>
        <v>0</v>
      </c>
      <c r="K13" s="106">
        <f>SUM(C13:J13)</f>
        <v>280</v>
      </c>
    </row>
    <row r="14" spans="1:11" ht="28" thickTop="1">
      <c r="A14" s="124" t="s">
        <v>359</v>
      </c>
      <c r="B14" s="124"/>
      <c r="C14" s="100">
        <v>16</v>
      </c>
      <c r="D14" s="100">
        <v>19</v>
      </c>
      <c r="E14" s="100">
        <v>28</v>
      </c>
      <c r="F14" s="100">
        <v>22</v>
      </c>
      <c r="G14" s="100">
        <v>32</v>
      </c>
      <c r="H14" s="100">
        <v>28</v>
      </c>
      <c r="I14" s="100">
        <v>26</v>
      </c>
      <c r="J14" s="100"/>
      <c r="K14" s="101">
        <f t="shared" ref="K14:K15" si="5">SUM(C14:J14)</f>
        <v>171</v>
      </c>
    </row>
    <row r="15" spans="1:11" ht="28" thickBot="1">
      <c r="A15" s="127" t="s">
        <v>1567</v>
      </c>
      <c r="B15" s="127"/>
      <c r="C15" s="107">
        <f t="shared" ref="C15:F15" si="6">C14+C13+C7</f>
        <v>182</v>
      </c>
      <c r="D15" s="107">
        <f t="shared" si="6"/>
        <v>239</v>
      </c>
      <c r="E15" s="107">
        <f t="shared" si="6"/>
        <v>361</v>
      </c>
      <c r="F15" s="107">
        <f t="shared" si="6"/>
        <v>322</v>
      </c>
      <c r="G15" s="107">
        <f>G14+G13+G7</f>
        <v>446</v>
      </c>
      <c r="H15" s="107">
        <f t="shared" ref="H15:J15" si="7">H14+H13+H7</f>
        <v>404</v>
      </c>
      <c r="I15" s="107">
        <f t="shared" si="7"/>
        <v>401</v>
      </c>
      <c r="J15" s="107">
        <f t="shared" si="7"/>
        <v>0</v>
      </c>
      <c r="K15" s="108">
        <f t="shared" si="5"/>
        <v>2355</v>
      </c>
    </row>
    <row r="16" spans="1:11" ht="28" thickTop="1">
      <c r="A16" s="124" t="s">
        <v>18</v>
      </c>
      <c r="B16" s="124"/>
      <c r="C16" s="100">
        <v>8</v>
      </c>
      <c r="D16" s="100">
        <v>10</v>
      </c>
      <c r="E16" s="100">
        <v>14</v>
      </c>
      <c r="F16" s="100">
        <v>11</v>
      </c>
      <c r="G16" s="100">
        <v>16</v>
      </c>
      <c r="H16" s="100">
        <v>14</v>
      </c>
      <c r="I16" s="100">
        <v>13</v>
      </c>
      <c r="J16" s="100"/>
      <c r="K16" s="101">
        <f>SUM(C16:J16)</f>
        <v>86</v>
      </c>
    </row>
    <row r="17" spans="1:18">
      <c r="A17" s="124" t="s">
        <v>1146</v>
      </c>
      <c r="B17" s="124"/>
      <c r="C17" s="90">
        <v>20.75</v>
      </c>
      <c r="D17" s="90">
        <v>22</v>
      </c>
      <c r="E17" s="90">
        <v>23.79</v>
      </c>
      <c r="F17" s="102">
        <v>27.272727272727273</v>
      </c>
      <c r="G17" s="102">
        <v>25.875</v>
      </c>
      <c r="H17" s="102">
        <v>26.857142857142858</v>
      </c>
      <c r="I17" s="2">
        <v>28.85</v>
      </c>
      <c r="J17" s="90"/>
      <c r="K17" s="102">
        <f>AVERAGE(C17:J17)</f>
        <v>25.056410018552874</v>
      </c>
    </row>
    <row r="18" spans="1:18">
      <c r="A18" s="124" t="s">
        <v>19</v>
      </c>
      <c r="B18" s="124"/>
      <c r="C18" s="91">
        <v>4.4276315789473681</v>
      </c>
      <c r="D18" s="91">
        <v>4.5954545454545457</v>
      </c>
      <c r="E18" s="91">
        <v>4.5075075075075075</v>
      </c>
      <c r="F18" s="91">
        <v>4.6399999999999997</v>
      </c>
      <c r="G18" s="91">
        <v>4.8768115942028984</v>
      </c>
      <c r="H18" s="91">
        <v>4.4601063829787231</v>
      </c>
      <c r="I18" s="102">
        <v>4.682666666666667</v>
      </c>
      <c r="J18" s="90"/>
      <c r="K18" s="102">
        <f>AVERAGE(C18:J18)</f>
        <v>4.598596896536816</v>
      </c>
    </row>
    <row r="19" spans="1:18">
      <c r="A19" s="124" t="s">
        <v>12</v>
      </c>
      <c r="B19" s="124"/>
      <c r="C19" s="92">
        <v>15</v>
      </c>
      <c r="D19" s="92">
        <v>26</v>
      </c>
      <c r="E19" s="92">
        <v>15</v>
      </c>
      <c r="F19" s="92">
        <v>17</v>
      </c>
      <c r="G19" s="92">
        <v>34</v>
      </c>
      <c r="H19" s="92">
        <v>16</v>
      </c>
      <c r="I19" s="90">
        <v>48</v>
      </c>
      <c r="J19" s="90"/>
      <c r="K19" s="90">
        <f>SUM(C19:J19)</f>
        <v>171</v>
      </c>
      <c r="M19" s="119"/>
      <c r="N19" s="119"/>
      <c r="O19" s="119"/>
      <c r="P19" s="119"/>
      <c r="Q19" s="119"/>
      <c r="R19" s="119"/>
    </row>
    <row r="20" spans="1:18">
      <c r="A20" s="124" t="s">
        <v>13</v>
      </c>
      <c r="B20" s="124"/>
      <c r="C20" s="92">
        <v>5</v>
      </c>
      <c r="D20" s="92">
        <v>7</v>
      </c>
      <c r="E20" s="92">
        <v>9</v>
      </c>
      <c r="F20" s="92">
        <v>11</v>
      </c>
      <c r="G20" s="92">
        <v>9</v>
      </c>
      <c r="H20" s="92">
        <v>19</v>
      </c>
      <c r="I20" s="90">
        <v>25</v>
      </c>
      <c r="J20" s="90"/>
      <c r="K20" s="90">
        <f t="shared" ref="K20:K23" si="8">SUM(C20:J20)</f>
        <v>85</v>
      </c>
      <c r="M20" s="119"/>
      <c r="N20" s="119"/>
      <c r="O20" s="119"/>
      <c r="P20" s="119"/>
      <c r="Q20" s="119"/>
      <c r="R20" s="119"/>
    </row>
    <row r="21" spans="1:18">
      <c r="A21" s="124" t="s">
        <v>15</v>
      </c>
      <c r="B21" s="124"/>
      <c r="C21" s="92">
        <v>3</v>
      </c>
      <c r="D21" s="92">
        <v>0</v>
      </c>
      <c r="E21" s="92">
        <v>1</v>
      </c>
      <c r="F21" s="92">
        <v>2</v>
      </c>
      <c r="G21" s="92">
        <v>3</v>
      </c>
      <c r="H21" s="92">
        <v>3</v>
      </c>
      <c r="I21" s="90">
        <v>4</v>
      </c>
      <c r="J21" s="90"/>
      <c r="K21" s="90">
        <f t="shared" si="8"/>
        <v>16</v>
      </c>
      <c r="M21" s="119"/>
      <c r="N21" s="119"/>
      <c r="O21" s="119"/>
      <c r="P21" s="119"/>
      <c r="Q21" s="119"/>
      <c r="R21" s="119"/>
    </row>
    <row r="22" spans="1:18">
      <c r="A22" s="124" t="s">
        <v>14</v>
      </c>
      <c r="B22" s="124"/>
      <c r="C22" s="92">
        <v>3</v>
      </c>
      <c r="D22" s="92">
        <v>5</v>
      </c>
      <c r="E22" s="92">
        <v>6</v>
      </c>
      <c r="F22" s="92">
        <v>11</v>
      </c>
      <c r="G22" s="92">
        <v>3</v>
      </c>
      <c r="H22" s="92">
        <v>3</v>
      </c>
      <c r="I22" s="90">
        <v>6</v>
      </c>
      <c r="J22" s="90"/>
      <c r="K22" s="90">
        <f t="shared" si="8"/>
        <v>37</v>
      </c>
      <c r="M22" s="119"/>
      <c r="N22" s="119"/>
      <c r="O22" s="119"/>
      <c r="P22" s="119"/>
      <c r="Q22" s="119"/>
      <c r="R22" s="119"/>
    </row>
    <row r="23" spans="1:18">
      <c r="A23" s="128" t="s">
        <v>11</v>
      </c>
      <c r="B23" s="128"/>
      <c r="C23" s="112">
        <v>781333.59999999916</v>
      </c>
      <c r="D23" s="112">
        <v>981382.00000000128</v>
      </c>
      <c r="E23" s="112">
        <v>1384758.7984615355</v>
      </c>
      <c r="F23" s="112">
        <v>1099455.6363636397</v>
      </c>
      <c r="G23" s="112">
        <v>1527558.1818181837</v>
      </c>
      <c r="H23" s="112">
        <v>1342250.9090909052</v>
      </c>
      <c r="I23" s="113">
        <v>1055043.1818181863</v>
      </c>
      <c r="J23" s="113"/>
      <c r="K23" s="112">
        <f t="shared" si="8"/>
        <v>8171782.3075524513</v>
      </c>
    </row>
    <row r="24" spans="1:18">
      <c r="A24" s="126" t="s">
        <v>16</v>
      </c>
      <c r="B24" s="126"/>
      <c r="C24" s="114">
        <v>897550</v>
      </c>
      <c r="D24" s="114">
        <v>1294150</v>
      </c>
      <c r="E24" s="114">
        <v>2193300</v>
      </c>
      <c r="F24" s="114">
        <v>1866200</v>
      </c>
      <c r="G24" s="114">
        <v>2469350</v>
      </c>
      <c r="H24" s="114">
        <v>2368200</v>
      </c>
      <c r="I24" s="115">
        <v>2062100</v>
      </c>
      <c r="J24" s="115"/>
      <c r="K24" s="114">
        <f>SUM(C24:J24)</f>
        <v>13150850</v>
      </c>
      <c r="L24" s="95"/>
    </row>
    <row r="25" spans="1:18" ht="28" thickBot="1">
      <c r="A25" s="125" t="s">
        <v>17</v>
      </c>
      <c r="B25" s="125"/>
      <c r="C25" s="116">
        <v>116216.400000001</v>
      </c>
      <c r="D25" s="116">
        <v>312767.99999999872</v>
      </c>
      <c r="E25" s="116">
        <v>808541.20153846452</v>
      </c>
      <c r="F25" s="116">
        <v>766744.36363636027</v>
      </c>
      <c r="G25" s="116">
        <v>941791.81818181626</v>
      </c>
      <c r="H25" s="116">
        <v>1025949.0909090948</v>
      </c>
      <c r="I25" s="117">
        <v>1007056.8181818137</v>
      </c>
      <c r="J25" s="117"/>
      <c r="K25" s="116">
        <f>SUM(C25:J25)</f>
        <v>4979067.6924475487</v>
      </c>
    </row>
    <row r="26" spans="1:18" ht="28" thickTop="1">
      <c r="A26" s="124" t="s">
        <v>1147</v>
      </c>
      <c r="B26" s="124"/>
      <c r="C26" s="109">
        <f>C25/C24</f>
        <v>0.12948181159824076</v>
      </c>
      <c r="D26" s="109">
        <f t="shared" ref="D26" si="9">D25/D24</f>
        <v>0.24167832167832068</v>
      </c>
      <c r="E26" s="109">
        <f>E25/E24</f>
        <v>0.36864140862557082</v>
      </c>
      <c r="F26" s="109">
        <f>F25/F24</f>
        <v>0.41085862374684401</v>
      </c>
      <c r="G26" s="109">
        <f>G25/G24</f>
        <v>0.38139260055553736</v>
      </c>
      <c r="H26" s="109">
        <f>H25/H24</f>
        <v>0.43321893881812973</v>
      </c>
      <c r="I26" s="109">
        <f>I25/I24</f>
        <v>0.48836468560293567</v>
      </c>
      <c r="J26" s="109"/>
      <c r="K26" s="109">
        <f t="shared" ref="K26" si="10">K25/K24</f>
        <v>0.37861185341233067</v>
      </c>
    </row>
    <row r="27" spans="1:18">
      <c r="A27" s="124" t="s">
        <v>10</v>
      </c>
      <c r="B27" s="124"/>
      <c r="C27" s="110">
        <v>4293.041758241754</v>
      </c>
      <c r="D27" s="110">
        <v>4106.2008368200886</v>
      </c>
      <c r="E27" s="110">
        <v>3835.8969486469127</v>
      </c>
      <c r="F27" s="110">
        <v>3414.458498023726</v>
      </c>
      <c r="G27" s="110">
        <v>3425.0183448838202</v>
      </c>
      <c r="H27" s="111">
        <v>3322.4032403240226</v>
      </c>
      <c r="I27" s="111">
        <v>2631.0303785989681</v>
      </c>
      <c r="J27" s="111"/>
      <c r="K27" s="110">
        <f>AVERAGE(C27:J27)</f>
        <v>3575.4357150770416</v>
      </c>
    </row>
    <row r="28" spans="1:18">
      <c r="C28" s="96"/>
      <c r="D28" s="96"/>
      <c r="E28" s="96"/>
      <c r="F28" s="96"/>
      <c r="G28" s="96"/>
    </row>
    <row r="29" spans="1:18">
      <c r="C29" s="96"/>
      <c r="D29" s="96"/>
      <c r="E29" s="96"/>
      <c r="F29" s="96"/>
      <c r="G29" s="96"/>
    </row>
  </sheetData>
  <mergeCells count="17">
    <mergeCell ref="A27:B27"/>
    <mergeCell ref="A23:B23"/>
    <mergeCell ref="A22:B22"/>
    <mergeCell ref="A21:B21"/>
    <mergeCell ref="A2:A7"/>
    <mergeCell ref="A8:A13"/>
    <mergeCell ref="A1:B1"/>
    <mergeCell ref="A26:B26"/>
    <mergeCell ref="A25:B25"/>
    <mergeCell ref="A24:B24"/>
    <mergeCell ref="A14:B14"/>
    <mergeCell ref="A20:B20"/>
    <mergeCell ref="A19:B19"/>
    <mergeCell ref="A18:B18"/>
    <mergeCell ref="A17:B17"/>
    <mergeCell ref="A16:B16"/>
    <mergeCell ref="A15:B15"/>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9C13-243D-5647-9349-EAE46FE821AC}">
  <dimension ref="A1:S194"/>
  <sheetViews>
    <sheetView topLeftCell="B174" zoomScaleNormal="100" workbookViewId="0">
      <selection activeCell="O145" sqref="O145"/>
    </sheetView>
  </sheetViews>
  <sheetFormatPr baseColWidth="10" defaultRowHeight="16"/>
  <cols>
    <col min="1" max="1" width="4" bestFit="1" customWidth="1"/>
    <col min="2" max="2" width="11.83203125" bestFit="1" customWidth="1"/>
    <col min="3" max="3" width="31" bestFit="1" customWidth="1"/>
    <col min="4" max="4" width="31.33203125" bestFit="1" customWidth="1"/>
    <col min="5" max="5" width="27" bestFit="1" customWidth="1"/>
    <col min="8" max="8" width="13.33203125" bestFit="1" customWidth="1"/>
    <col min="9" max="9" width="10.5" bestFit="1" customWidth="1"/>
  </cols>
  <sheetData>
    <row r="1" spans="1:19">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4" t="s">
        <v>36</v>
      </c>
      <c r="R1" s="4" t="s">
        <v>37</v>
      </c>
      <c r="S1" s="3" t="s">
        <v>38</v>
      </c>
    </row>
    <row r="2" spans="1:19">
      <c r="A2" s="5">
        <v>1</v>
      </c>
      <c r="B2" s="5" t="s">
        <v>115</v>
      </c>
      <c r="C2" s="5" t="s">
        <v>116</v>
      </c>
      <c r="D2" s="5"/>
      <c r="E2" s="5"/>
      <c r="F2" s="5"/>
      <c r="G2" s="5" t="s">
        <v>52</v>
      </c>
      <c r="H2" s="5" t="s">
        <v>117</v>
      </c>
      <c r="I2" s="5">
        <v>202500023</v>
      </c>
      <c r="J2" s="6"/>
      <c r="K2" s="6"/>
      <c r="L2" s="6"/>
      <c r="M2" s="5"/>
      <c r="N2" s="5"/>
      <c r="O2" s="5"/>
      <c r="P2" s="5"/>
      <c r="Q2" s="7">
        <v>4250.8347826086956</v>
      </c>
      <c r="R2" s="7">
        <v>0</v>
      </c>
      <c r="S2" s="8">
        <f t="shared" ref="S2:S24" si="0">R2-Q2</f>
        <v>-4250.8347826086956</v>
      </c>
    </row>
    <row r="3" spans="1:19">
      <c r="A3" s="5">
        <v>2</v>
      </c>
      <c r="B3" s="5" t="s">
        <v>115</v>
      </c>
      <c r="C3" s="5" t="s">
        <v>118</v>
      </c>
      <c r="D3" s="5"/>
      <c r="E3" s="5"/>
      <c r="F3" s="5"/>
      <c r="G3" s="5" t="s">
        <v>52</v>
      </c>
      <c r="H3" s="5" t="s">
        <v>117</v>
      </c>
      <c r="I3" s="5">
        <v>202500024</v>
      </c>
      <c r="J3" s="6"/>
      <c r="K3" s="6"/>
      <c r="L3" s="6"/>
      <c r="M3" s="5"/>
      <c r="N3" s="5"/>
      <c r="O3" s="5"/>
      <c r="P3" s="5"/>
      <c r="Q3" s="7">
        <v>4250.8347826086956</v>
      </c>
      <c r="R3" s="7">
        <v>0</v>
      </c>
      <c r="S3" s="8">
        <f t="shared" si="0"/>
        <v>-4250.8347826086956</v>
      </c>
    </row>
    <row r="4" spans="1:19">
      <c r="A4" s="5">
        <v>3</v>
      </c>
      <c r="B4" s="5" t="s">
        <v>115</v>
      </c>
      <c r="C4" s="5" t="s">
        <v>119</v>
      </c>
      <c r="D4" s="5"/>
      <c r="E4" s="5"/>
      <c r="F4" s="5"/>
      <c r="G4" s="5" t="s">
        <v>52</v>
      </c>
      <c r="H4" s="5" t="s">
        <v>117</v>
      </c>
      <c r="I4" s="5">
        <v>202500025</v>
      </c>
      <c r="J4" s="6"/>
      <c r="K4" s="6"/>
      <c r="L4" s="6"/>
      <c r="M4" s="5"/>
      <c r="N4" s="5"/>
      <c r="O4" s="5"/>
      <c r="P4" s="5"/>
      <c r="Q4" s="7">
        <v>4250.8347826086956</v>
      </c>
      <c r="R4" s="7">
        <v>0</v>
      </c>
      <c r="S4" s="8">
        <f t="shared" si="0"/>
        <v>-4250.8347826086956</v>
      </c>
    </row>
    <row r="5" spans="1:19">
      <c r="A5" s="5">
        <v>4</v>
      </c>
      <c r="B5" s="5" t="s">
        <v>115</v>
      </c>
      <c r="C5" s="5" t="s">
        <v>120</v>
      </c>
      <c r="D5" s="5"/>
      <c r="E5" s="5"/>
      <c r="F5" s="5"/>
      <c r="G5" s="5" t="s">
        <v>75</v>
      </c>
      <c r="H5" s="5" t="s">
        <v>117</v>
      </c>
      <c r="I5" s="5">
        <v>202500026</v>
      </c>
      <c r="J5" s="6"/>
      <c r="K5" s="6"/>
      <c r="L5" s="6"/>
      <c r="M5" s="5"/>
      <c r="N5" s="5"/>
      <c r="O5" s="5"/>
      <c r="P5" s="5"/>
      <c r="Q5" s="7">
        <v>4250.8347826086956</v>
      </c>
      <c r="R5" s="7">
        <v>0</v>
      </c>
      <c r="S5" s="8">
        <f t="shared" si="0"/>
        <v>-4250.8347826086956</v>
      </c>
    </row>
    <row r="6" spans="1:19">
      <c r="A6" s="5">
        <v>5</v>
      </c>
      <c r="B6" s="5" t="s">
        <v>115</v>
      </c>
      <c r="C6" s="5" t="s">
        <v>121</v>
      </c>
      <c r="D6" s="5"/>
      <c r="E6" s="5"/>
      <c r="F6" s="5"/>
      <c r="G6" s="5" t="s">
        <v>75</v>
      </c>
      <c r="H6" s="5" t="s">
        <v>117</v>
      </c>
      <c r="I6" s="5">
        <v>202500027</v>
      </c>
      <c r="J6" s="6"/>
      <c r="K6" s="6"/>
      <c r="L6" s="6"/>
      <c r="M6" s="5"/>
      <c r="N6" s="5"/>
      <c r="O6" s="5"/>
      <c r="P6" s="5"/>
      <c r="Q6" s="7">
        <v>4250.8347826086956</v>
      </c>
      <c r="R6" s="7">
        <v>0</v>
      </c>
      <c r="S6" s="8">
        <f t="shared" si="0"/>
        <v>-4250.8347826086956</v>
      </c>
    </row>
    <row r="7" spans="1:19">
      <c r="A7" s="5">
        <v>6</v>
      </c>
      <c r="B7" s="5" t="s">
        <v>115</v>
      </c>
      <c r="C7" s="5" t="s">
        <v>122</v>
      </c>
      <c r="D7" s="5"/>
      <c r="E7" s="5"/>
      <c r="F7" s="5"/>
      <c r="G7" s="5" t="s">
        <v>75</v>
      </c>
      <c r="H7" s="5" t="s">
        <v>117</v>
      </c>
      <c r="I7" s="5">
        <v>202500028</v>
      </c>
      <c r="J7" s="6"/>
      <c r="K7" s="6"/>
      <c r="L7" s="6"/>
      <c r="M7" s="5"/>
      <c r="N7" s="5"/>
      <c r="O7" s="5"/>
      <c r="P7" s="5"/>
      <c r="Q7" s="7">
        <v>4250.8347826086956</v>
      </c>
      <c r="R7" s="7">
        <v>0</v>
      </c>
      <c r="S7" s="8">
        <f t="shared" si="0"/>
        <v>-4250.8347826086956</v>
      </c>
    </row>
    <row r="8" spans="1:19">
      <c r="A8" s="5">
        <v>7</v>
      </c>
      <c r="B8" s="5" t="s">
        <v>115</v>
      </c>
      <c r="C8" s="5" t="s">
        <v>123</v>
      </c>
      <c r="D8" s="5"/>
      <c r="E8" s="5"/>
      <c r="F8" s="5"/>
      <c r="G8" s="5" t="s">
        <v>75</v>
      </c>
      <c r="H8" s="5" t="s">
        <v>117</v>
      </c>
      <c r="I8" s="5">
        <v>202500029</v>
      </c>
      <c r="J8" s="6"/>
      <c r="K8" s="6"/>
      <c r="L8" s="6"/>
      <c r="M8" s="5"/>
      <c r="N8" s="5"/>
      <c r="O8" s="5"/>
      <c r="P8" s="5"/>
      <c r="Q8" s="7">
        <v>4250.8347826086956</v>
      </c>
      <c r="R8" s="7">
        <v>0</v>
      </c>
      <c r="S8" s="8">
        <f t="shared" si="0"/>
        <v>-4250.8347826086956</v>
      </c>
    </row>
    <row r="9" spans="1:19">
      <c r="A9" s="5">
        <v>8</v>
      </c>
      <c r="B9" s="5" t="s">
        <v>115</v>
      </c>
      <c r="C9" s="5" t="s">
        <v>124</v>
      </c>
      <c r="D9" s="5"/>
      <c r="E9" s="5"/>
      <c r="F9" s="5"/>
      <c r="G9" s="5" t="s">
        <v>75</v>
      </c>
      <c r="H9" s="5" t="s">
        <v>117</v>
      </c>
      <c r="I9" s="5">
        <v>202500030</v>
      </c>
      <c r="J9" s="6"/>
      <c r="K9" s="6"/>
      <c r="L9" s="6"/>
      <c r="M9" s="5"/>
      <c r="N9" s="5"/>
      <c r="O9" s="5"/>
      <c r="P9" s="5"/>
      <c r="Q9" s="7">
        <v>4250.8347826086956</v>
      </c>
      <c r="R9" s="7">
        <v>0</v>
      </c>
      <c r="S9" s="8">
        <f t="shared" si="0"/>
        <v>-4250.8347826086956</v>
      </c>
    </row>
    <row r="10" spans="1:19">
      <c r="A10" s="5">
        <v>9</v>
      </c>
      <c r="B10" s="5" t="s">
        <v>115</v>
      </c>
      <c r="C10" s="5" t="s">
        <v>125</v>
      </c>
      <c r="D10" s="5"/>
      <c r="E10" s="5"/>
      <c r="F10" s="5"/>
      <c r="G10" s="5" t="s">
        <v>52</v>
      </c>
      <c r="H10" s="5" t="s">
        <v>117</v>
      </c>
      <c r="I10" s="5">
        <v>202500031</v>
      </c>
      <c r="J10" s="6"/>
      <c r="K10" s="6"/>
      <c r="L10" s="6"/>
      <c r="M10" s="5"/>
      <c r="N10" s="5"/>
      <c r="O10" s="5"/>
      <c r="P10" s="5"/>
      <c r="Q10" s="7">
        <v>4250.8347826086956</v>
      </c>
      <c r="R10" s="7">
        <v>0</v>
      </c>
      <c r="S10" s="8">
        <f t="shared" si="0"/>
        <v>-4250.8347826086956</v>
      </c>
    </row>
    <row r="11" spans="1:19">
      <c r="A11" s="5">
        <v>10</v>
      </c>
      <c r="B11" s="5" t="s">
        <v>115</v>
      </c>
      <c r="C11" s="5" t="s">
        <v>126</v>
      </c>
      <c r="D11" s="5"/>
      <c r="E11" s="5"/>
      <c r="F11" s="5"/>
      <c r="G11" s="5" t="s">
        <v>52</v>
      </c>
      <c r="H11" s="5" t="s">
        <v>117</v>
      </c>
      <c r="I11" s="5">
        <v>202500032</v>
      </c>
      <c r="J11" s="6"/>
      <c r="K11" s="6"/>
      <c r="L11" s="6"/>
      <c r="M11" s="5"/>
      <c r="N11" s="5"/>
      <c r="O11" s="5"/>
      <c r="P11" s="5"/>
      <c r="Q11" s="7">
        <v>4250.8347826086956</v>
      </c>
      <c r="R11" s="7">
        <v>0</v>
      </c>
      <c r="S11" s="8">
        <f t="shared" si="0"/>
        <v>-4250.8347826086956</v>
      </c>
    </row>
    <row r="12" spans="1:19">
      <c r="A12" s="5">
        <v>11</v>
      </c>
      <c r="B12" s="5" t="s">
        <v>115</v>
      </c>
      <c r="C12" s="5" t="s">
        <v>127</v>
      </c>
      <c r="D12" s="5"/>
      <c r="E12" s="5"/>
      <c r="F12" s="5"/>
      <c r="G12" s="5" t="s">
        <v>43</v>
      </c>
      <c r="H12" s="5" t="s">
        <v>117</v>
      </c>
      <c r="I12" s="5">
        <v>202500033</v>
      </c>
      <c r="J12" s="6"/>
      <c r="K12" s="6"/>
      <c r="L12" s="6"/>
      <c r="M12" s="5"/>
      <c r="N12" s="5"/>
      <c r="O12" s="5"/>
      <c r="P12" s="5"/>
      <c r="Q12" s="7">
        <v>4250.8347826086956</v>
      </c>
      <c r="R12" s="7">
        <v>0</v>
      </c>
      <c r="S12" s="8">
        <f t="shared" si="0"/>
        <v>-4250.8347826086956</v>
      </c>
    </row>
    <row r="13" spans="1:19">
      <c r="A13" s="5">
        <v>12</v>
      </c>
      <c r="B13" s="5" t="s">
        <v>115</v>
      </c>
      <c r="C13" s="5" t="s">
        <v>124</v>
      </c>
      <c r="D13" s="5"/>
      <c r="E13" s="5"/>
      <c r="F13" s="5"/>
      <c r="G13" s="5" t="s">
        <v>75</v>
      </c>
      <c r="H13" s="5" t="s">
        <v>117</v>
      </c>
      <c r="I13" s="5">
        <v>202500034</v>
      </c>
      <c r="J13" s="6"/>
      <c r="K13" s="6"/>
      <c r="L13" s="6"/>
      <c r="M13" s="5"/>
      <c r="N13" s="5"/>
      <c r="O13" s="5"/>
      <c r="P13" s="5"/>
      <c r="Q13" s="7">
        <v>4250.8347826086956</v>
      </c>
      <c r="R13" s="7">
        <v>0</v>
      </c>
      <c r="S13" s="8">
        <f t="shared" si="0"/>
        <v>-4250.8347826086956</v>
      </c>
    </row>
    <row r="14" spans="1:19">
      <c r="A14" s="5">
        <v>13</v>
      </c>
      <c r="B14" s="5" t="s">
        <v>115</v>
      </c>
      <c r="C14" s="5" t="s">
        <v>128</v>
      </c>
      <c r="D14" s="5"/>
      <c r="E14" s="5"/>
      <c r="F14" s="5"/>
      <c r="G14" s="5" t="s">
        <v>43</v>
      </c>
      <c r="H14" s="5" t="s">
        <v>117</v>
      </c>
      <c r="I14" s="5">
        <v>202500035</v>
      </c>
      <c r="J14" s="6"/>
      <c r="K14" s="6"/>
      <c r="L14" s="6"/>
      <c r="M14" s="5"/>
      <c r="N14" s="5"/>
      <c r="O14" s="5"/>
      <c r="P14" s="5"/>
      <c r="Q14" s="7">
        <v>4250.8347826086956</v>
      </c>
      <c r="R14" s="7">
        <v>0</v>
      </c>
      <c r="S14" s="8">
        <f t="shared" si="0"/>
        <v>-4250.8347826086956</v>
      </c>
    </row>
    <row r="15" spans="1:19">
      <c r="A15" s="5">
        <v>14</v>
      </c>
      <c r="B15" s="5" t="s">
        <v>115</v>
      </c>
      <c r="C15" s="5" t="s">
        <v>119</v>
      </c>
      <c r="D15" s="5"/>
      <c r="E15" s="5"/>
      <c r="F15" s="5"/>
      <c r="G15" s="5" t="s">
        <v>52</v>
      </c>
      <c r="H15" s="5" t="s">
        <v>117</v>
      </c>
      <c r="I15" s="5">
        <v>202500036</v>
      </c>
      <c r="J15" s="6"/>
      <c r="K15" s="6"/>
      <c r="L15" s="6"/>
      <c r="M15" s="5"/>
      <c r="N15" s="5"/>
      <c r="O15" s="5"/>
      <c r="P15" s="5"/>
      <c r="Q15" s="7">
        <v>4250.8347826086956</v>
      </c>
      <c r="R15" s="7">
        <v>0</v>
      </c>
      <c r="S15" s="8">
        <f t="shared" si="0"/>
        <v>-4250.8347826086956</v>
      </c>
    </row>
    <row r="16" spans="1:19">
      <c r="A16" s="5">
        <v>15</v>
      </c>
      <c r="B16" s="9">
        <v>2504300552</v>
      </c>
      <c r="C16" s="9" t="s">
        <v>39</v>
      </c>
      <c r="D16" s="9" t="s">
        <v>40</v>
      </c>
      <c r="E16" s="9" t="s">
        <v>41</v>
      </c>
      <c r="F16" s="9" t="s">
        <v>42</v>
      </c>
      <c r="G16" s="9" t="s">
        <v>43</v>
      </c>
      <c r="H16" s="9" t="s">
        <v>117</v>
      </c>
      <c r="I16" s="9">
        <v>202500037</v>
      </c>
      <c r="J16" s="10">
        <v>45777</v>
      </c>
      <c r="K16" s="10">
        <v>45777</v>
      </c>
      <c r="L16" s="10">
        <v>45783</v>
      </c>
      <c r="M16" s="9" t="s">
        <v>45</v>
      </c>
      <c r="N16" s="9" t="s">
        <v>94</v>
      </c>
      <c r="O16" s="9" t="s">
        <v>129</v>
      </c>
      <c r="P16" s="9">
        <f t="shared" ref="P16:P22" si="1">L16-K16</f>
        <v>6</v>
      </c>
      <c r="Q16" s="11">
        <v>4250.8347826086956</v>
      </c>
      <c r="R16" s="11">
        <f>14500*0.8</f>
        <v>11600</v>
      </c>
      <c r="S16" s="12">
        <f t="shared" si="0"/>
        <v>7349.1652173913044</v>
      </c>
    </row>
    <row r="17" spans="1:19">
      <c r="A17" s="5">
        <v>16</v>
      </c>
      <c r="B17" s="9">
        <v>2505013022</v>
      </c>
      <c r="C17" s="9" t="s">
        <v>48</v>
      </c>
      <c r="D17" s="9" t="s">
        <v>49</v>
      </c>
      <c r="E17" s="9" t="s">
        <v>50</v>
      </c>
      <c r="F17" s="9" t="s">
        <v>51</v>
      </c>
      <c r="G17" s="9" t="s">
        <v>52</v>
      </c>
      <c r="H17" s="9" t="s">
        <v>117</v>
      </c>
      <c r="I17" s="9">
        <v>202500038</v>
      </c>
      <c r="J17" s="10">
        <v>45777</v>
      </c>
      <c r="K17" s="10">
        <v>45778</v>
      </c>
      <c r="L17" s="10">
        <v>45783</v>
      </c>
      <c r="M17" s="9" t="s">
        <v>53</v>
      </c>
      <c r="N17" s="9" t="s">
        <v>94</v>
      </c>
      <c r="O17" s="9" t="s">
        <v>41</v>
      </c>
      <c r="P17" s="9">
        <f t="shared" si="1"/>
        <v>5</v>
      </c>
      <c r="Q17" s="11">
        <v>4250.8347826086956</v>
      </c>
      <c r="R17" s="11">
        <v>5500</v>
      </c>
      <c r="S17" s="12">
        <f t="shared" si="0"/>
        <v>1249.1652173913044</v>
      </c>
    </row>
    <row r="18" spans="1:19">
      <c r="A18" s="5">
        <v>17</v>
      </c>
      <c r="B18" s="9">
        <v>2505020358</v>
      </c>
      <c r="C18" s="9" t="s">
        <v>55</v>
      </c>
      <c r="D18" s="9" t="s">
        <v>56</v>
      </c>
      <c r="E18" s="9" t="s">
        <v>57</v>
      </c>
      <c r="F18" s="9" t="s">
        <v>58</v>
      </c>
      <c r="G18" s="9" t="s">
        <v>52</v>
      </c>
      <c r="H18" s="9" t="s">
        <v>117</v>
      </c>
      <c r="I18" s="9">
        <v>202500039</v>
      </c>
      <c r="J18" s="10">
        <v>45777</v>
      </c>
      <c r="K18" s="10">
        <v>45779</v>
      </c>
      <c r="L18" s="10">
        <v>45783</v>
      </c>
      <c r="M18" s="9" t="s">
        <v>53</v>
      </c>
      <c r="N18" s="9" t="s">
        <v>94</v>
      </c>
      <c r="O18" s="9" t="s">
        <v>41</v>
      </c>
      <c r="P18" s="9">
        <f t="shared" si="1"/>
        <v>4</v>
      </c>
      <c r="Q18" s="11">
        <v>4250.8347826086956</v>
      </c>
      <c r="R18" s="11">
        <v>8500</v>
      </c>
      <c r="S18" s="12">
        <f t="shared" si="0"/>
        <v>4249.1652173913044</v>
      </c>
    </row>
    <row r="19" spans="1:19">
      <c r="A19" s="5">
        <v>18</v>
      </c>
      <c r="B19" s="9">
        <v>2505021002</v>
      </c>
      <c r="C19" s="9" t="s">
        <v>59</v>
      </c>
      <c r="D19" s="9" t="s">
        <v>60</v>
      </c>
      <c r="E19" s="9" t="s">
        <v>61</v>
      </c>
      <c r="F19" s="9" t="s">
        <v>62</v>
      </c>
      <c r="G19" s="9" t="s">
        <v>52</v>
      </c>
      <c r="H19" s="9" t="s">
        <v>117</v>
      </c>
      <c r="I19" s="9">
        <v>202500040</v>
      </c>
      <c r="J19" s="10">
        <v>45776</v>
      </c>
      <c r="K19" s="10">
        <v>45779</v>
      </c>
      <c r="L19" s="10">
        <v>45783</v>
      </c>
      <c r="M19" s="9" t="s">
        <v>53</v>
      </c>
      <c r="N19" s="9" t="s">
        <v>94</v>
      </c>
      <c r="O19" s="9" t="s">
        <v>41</v>
      </c>
      <c r="P19" s="9">
        <f t="shared" si="1"/>
        <v>4</v>
      </c>
      <c r="Q19" s="11">
        <v>4250.8347826086956</v>
      </c>
      <c r="R19" s="11">
        <v>6000</v>
      </c>
      <c r="S19" s="12">
        <f t="shared" si="0"/>
        <v>1749.1652173913044</v>
      </c>
    </row>
    <row r="20" spans="1:19">
      <c r="A20" s="5">
        <v>19</v>
      </c>
      <c r="B20" s="9">
        <v>2505031547</v>
      </c>
      <c r="C20" s="9" t="s">
        <v>63</v>
      </c>
      <c r="D20" s="9" t="s">
        <v>64</v>
      </c>
      <c r="E20" s="9" t="s">
        <v>65</v>
      </c>
      <c r="F20" s="9" t="s">
        <v>66</v>
      </c>
      <c r="G20" s="9" t="s">
        <v>52</v>
      </c>
      <c r="H20" s="9" t="s">
        <v>117</v>
      </c>
      <c r="I20" s="9">
        <v>202500041</v>
      </c>
      <c r="J20" s="10">
        <v>45778</v>
      </c>
      <c r="K20" s="10">
        <v>45780</v>
      </c>
      <c r="L20" s="10">
        <v>45783</v>
      </c>
      <c r="M20" s="9" t="s">
        <v>53</v>
      </c>
      <c r="N20" s="9" t="s">
        <v>94</v>
      </c>
      <c r="O20" s="9" t="s">
        <v>67</v>
      </c>
      <c r="P20" s="9">
        <f t="shared" si="1"/>
        <v>3</v>
      </c>
      <c r="Q20" s="11">
        <v>4250.8347826086956</v>
      </c>
      <c r="R20" s="11">
        <v>5500</v>
      </c>
      <c r="S20" s="12">
        <f t="shared" si="0"/>
        <v>1249.1652173913044</v>
      </c>
    </row>
    <row r="21" spans="1:19">
      <c r="A21" s="5">
        <v>20</v>
      </c>
      <c r="B21" s="9">
        <v>2505032174</v>
      </c>
      <c r="C21" s="9" t="s">
        <v>68</v>
      </c>
      <c r="D21" s="9" t="s">
        <v>69</v>
      </c>
      <c r="E21" s="9" t="s">
        <v>70</v>
      </c>
      <c r="F21" s="9" t="s">
        <v>71</v>
      </c>
      <c r="G21" s="9" t="s">
        <v>43</v>
      </c>
      <c r="H21" s="9" t="s">
        <v>117</v>
      </c>
      <c r="I21" s="9">
        <v>202500042</v>
      </c>
      <c r="J21" s="10">
        <v>45780</v>
      </c>
      <c r="K21" s="10">
        <v>45780</v>
      </c>
      <c r="L21" s="10">
        <v>45783</v>
      </c>
      <c r="M21" s="9" t="s">
        <v>53</v>
      </c>
      <c r="N21" s="9" t="s">
        <v>94</v>
      </c>
      <c r="O21" s="9" t="s">
        <v>41</v>
      </c>
      <c r="P21" s="9">
        <f t="shared" si="1"/>
        <v>3</v>
      </c>
      <c r="Q21" s="11">
        <v>4250.8347826086956</v>
      </c>
      <c r="R21" s="11">
        <v>12000</v>
      </c>
      <c r="S21" s="12">
        <f t="shared" si="0"/>
        <v>7749.1652173913044</v>
      </c>
    </row>
    <row r="22" spans="1:19">
      <c r="A22" s="5">
        <v>21</v>
      </c>
      <c r="B22" s="9">
        <v>2505032178</v>
      </c>
      <c r="C22" s="9" t="s">
        <v>72</v>
      </c>
      <c r="D22" s="9" t="s">
        <v>73</v>
      </c>
      <c r="E22" s="9" t="s">
        <v>74</v>
      </c>
      <c r="F22" s="9" t="s">
        <v>71</v>
      </c>
      <c r="G22" s="9" t="s">
        <v>75</v>
      </c>
      <c r="H22" s="9" t="s">
        <v>117</v>
      </c>
      <c r="I22" s="9">
        <v>202500043</v>
      </c>
      <c r="J22" s="10">
        <v>45779</v>
      </c>
      <c r="K22" s="10">
        <v>45780</v>
      </c>
      <c r="L22" s="10">
        <v>45783</v>
      </c>
      <c r="M22" s="9" t="s">
        <v>53</v>
      </c>
      <c r="N22" s="9" t="s">
        <v>94</v>
      </c>
      <c r="O22" s="9" t="s">
        <v>41</v>
      </c>
      <c r="P22" s="9">
        <f t="shared" si="1"/>
        <v>3</v>
      </c>
      <c r="Q22" s="11">
        <v>4250.8347826086956</v>
      </c>
      <c r="R22" s="11">
        <v>4900</v>
      </c>
      <c r="S22" s="12">
        <f t="shared" si="0"/>
        <v>649.1652173913044</v>
      </c>
    </row>
    <row r="23" spans="1:19">
      <c r="A23" s="5">
        <v>22</v>
      </c>
      <c r="B23" s="5" t="s">
        <v>130</v>
      </c>
      <c r="C23" s="5"/>
      <c r="D23" s="5"/>
      <c r="E23" s="5"/>
      <c r="F23" s="5"/>
      <c r="G23" s="5" t="s">
        <v>52</v>
      </c>
      <c r="H23" s="5" t="s">
        <v>117</v>
      </c>
      <c r="I23" s="5"/>
      <c r="J23" s="6"/>
      <c r="K23" s="6"/>
      <c r="L23" s="6"/>
      <c r="M23" s="5"/>
      <c r="N23" s="5"/>
      <c r="O23" s="5"/>
      <c r="P23" s="5"/>
      <c r="Q23" s="7">
        <v>4250.8347826086956</v>
      </c>
      <c r="R23" s="7">
        <v>0</v>
      </c>
      <c r="S23" s="8">
        <f t="shared" si="0"/>
        <v>-4250.8347826086956</v>
      </c>
    </row>
    <row r="24" spans="1:19">
      <c r="A24" s="5">
        <v>23</v>
      </c>
      <c r="B24" s="5" t="s">
        <v>131</v>
      </c>
      <c r="C24" s="5"/>
      <c r="D24" s="5"/>
      <c r="E24" s="5"/>
      <c r="F24" s="5"/>
      <c r="G24" s="5" t="s">
        <v>52</v>
      </c>
      <c r="H24" s="5" t="s">
        <v>117</v>
      </c>
      <c r="I24" s="5"/>
      <c r="J24" s="6"/>
      <c r="K24" s="6"/>
      <c r="L24" s="6"/>
      <c r="M24" s="5"/>
      <c r="N24" s="5"/>
      <c r="O24" s="5"/>
      <c r="P24" s="5"/>
      <c r="Q24" s="7">
        <v>4250.8347826086956</v>
      </c>
      <c r="R24" s="7">
        <v>0</v>
      </c>
      <c r="S24" s="8">
        <f t="shared" si="0"/>
        <v>-4250.8347826086956</v>
      </c>
    </row>
    <row r="25" spans="1:19">
      <c r="A25" s="5">
        <v>24</v>
      </c>
      <c r="B25" s="13">
        <v>2504300552</v>
      </c>
      <c r="C25" s="13" t="s">
        <v>39</v>
      </c>
      <c r="D25" s="13" t="s">
        <v>40</v>
      </c>
      <c r="E25" s="13" t="s">
        <v>41</v>
      </c>
      <c r="F25" s="13" t="s">
        <v>42</v>
      </c>
      <c r="G25" s="13" t="s">
        <v>43</v>
      </c>
      <c r="H25" s="13" t="s">
        <v>44</v>
      </c>
      <c r="I25" s="13">
        <v>202500044</v>
      </c>
      <c r="J25" s="14">
        <v>45777</v>
      </c>
      <c r="K25" s="14">
        <v>45777</v>
      </c>
      <c r="L25" s="14">
        <v>45786</v>
      </c>
      <c r="M25" s="13" t="s">
        <v>45</v>
      </c>
      <c r="N25" s="13" t="s">
        <v>46</v>
      </c>
      <c r="O25" s="13" t="s">
        <v>47</v>
      </c>
      <c r="P25" s="13">
        <v>9</v>
      </c>
      <c r="Q25" s="15">
        <v>3943.5679999999998</v>
      </c>
      <c r="R25" s="15">
        <v>0</v>
      </c>
      <c r="S25" s="16">
        <f>R25-Q25</f>
        <v>-3943.5679999999998</v>
      </c>
    </row>
    <row r="26" spans="1:19">
      <c r="A26" s="5">
        <v>25</v>
      </c>
      <c r="B26" s="5">
        <v>2505013022</v>
      </c>
      <c r="C26" s="5" t="s">
        <v>48</v>
      </c>
      <c r="D26" s="5" t="s">
        <v>49</v>
      </c>
      <c r="E26" s="5" t="s">
        <v>50</v>
      </c>
      <c r="F26" s="5" t="s">
        <v>51</v>
      </c>
      <c r="G26" s="5" t="s">
        <v>52</v>
      </c>
      <c r="H26" s="5" t="s">
        <v>44</v>
      </c>
      <c r="I26" s="5">
        <v>202500045</v>
      </c>
      <c r="J26" s="6">
        <v>45777</v>
      </c>
      <c r="K26" s="6">
        <v>45778</v>
      </c>
      <c r="L26" s="6">
        <v>45786</v>
      </c>
      <c r="M26" s="5" t="s">
        <v>53</v>
      </c>
      <c r="N26" s="5" t="s">
        <v>54</v>
      </c>
      <c r="O26" s="5" t="s">
        <v>41</v>
      </c>
      <c r="P26" s="5">
        <v>8</v>
      </c>
      <c r="Q26" s="7">
        <v>3943.5679999999998</v>
      </c>
      <c r="R26" s="7">
        <v>0</v>
      </c>
      <c r="S26" s="8">
        <f t="shared" ref="S26:S47" si="2">R26-Q26</f>
        <v>-3943.5679999999998</v>
      </c>
    </row>
    <row r="27" spans="1:19">
      <c r="A27" s="5">
        <v>26</v>
      </c>
      <c r="B27" s="5">
        <v>2505020358</v>
      </c>
      <c r="C27" s="5" t="s">
        <v>55</v>
      </c>
      <c r="D27" s="5" t="s">
        <v>56</v>
      </c>
      <c r="E27" s="5" t="s">
        <v>57</v>
      </c>
      <c r="F27" s="5" t="s">
        <v>58</v>
      </c>
      <c r="G27" s="5" t="s">
        <v>52</v>
      </c>
      <c r="H27" s="5" t="s">
        <v>44</v>
      </c>
      <c r="I27" s="5">
        <v>202500046</v>
      </c>
      <c r="J27" s="6">
        <v>45777</v>
      </c>
      <c r="K27" s="6">
        <v>45779</v>
      </c>
      <c r="L27" s="6">
        <v>45786</v>
      </c>
      <c r="M27" s="5" t="s">
        <v>53</v>
      </c>
      <c r="N27" s="5" t="s">
        <v>54</v>
      </c>
      <c r="O27" s="5" t="s">
        <v>41</v>
      </c>
      <c r="P27" s="5">
        <v>7</v>
      </c>
      <c r="Q27" s="7">
        <v>3943.5679999999998</v>
      </c>
      <c r="R27" s="7">
        <v>0</v>
      </c>
      <c r="S27" s="8">
        <f t="shared" si="2"/>
        <v>-3943.5679999999998</v>
      </c>
    </row>
    <row r="28" spans="1:19">
      <c r="A28" s="5">
        <v>27</v>
      </c>
      <c r="B28" s="5">
        <v>2505021002</v>
      </c>
      <c r="C28" s="5" t="s">
        <v>59</v>
      </c>
      <c r="D28" s="5" t="s">
        <v>60</v>
      </c>
      <c r="E28" s="5" t="s">
        <v>61</v>
      </c>
      <c r="F28" s="5" t="s">
        <v>62</v>
      </c>
      <c r="G28" s="5" t="s">
        <v>52</v>
      </c>
      <c r="H28" s="5" t="s">
        <v>44</v>
      </c>
      <c r="I28" s="5">
        <v>202500047</v>
      </c>
      <c r="J28" s="6">
        <v>45776</v>
      </c>
      <c r="K28" s="6">
        <v>45779</v>
      </c>
      <c r="L28" s="6">
        <v>45786</v>
      </c>
      <c r="M28" s="5" t="s">
        <v>53</v>
      </c>
      <c r="N28" s="5" t="s">
        <v>54</v>
      </c>
      <c r="O28" s="5" t="s">
        <v>41</v>
      </c>
      <c r="P28" s="5">
        <v>7</v>
      </c>
      <c r="Q28" s="7">
        <v>3943.5679999999998</v>
      </c>
      <c r="R28" s="7">
        <v>0</v>
      </c>
      <c r="S28" s="8">
        <f t="shared" si="2"/>
        <v>-3943.5679999999998</v>
      </c>
    </row>
    <row r="29" spans="1:19">
      <c r="A29" s="5">
        <v>28</v>
      </c>
      <c r="B29" s="17">
        <v>2505031547</v>
      </c>
      <c r="C29" s="17" t="s">
        <v>63</v>
      </c>
      <c r="D29" s="17" t="s">
        <v>64</v>
      </c>
      <c r="E29" s="17" t="s">
        <v>65</v>
      </c>
      <c r="F29" s="17" t="s">
        <v>66</v>
      </c>
      <c r="G29" s="17" t="s">
        <v>52</v>
      </c>
      <c r="H29" s="17" t="s">
        <v>44</v>
      </c>
      <c r="I29" s="17">
        <v>202500048</v>
      </c>
      <c r="J29" s="18">
        <v>45778</v>
      </c>
      <c r="K29" s="18">
        <v>45780</v>
      </c>
      <c r="L29" s="18">
        <v>45786</v>
      </c>
      <c r="M29" s="17" t="s">
        <v>53</v>
      </c>
      <c r="N29" s="17" t="s">
        <v>198</v>
      </c>
      <c r="O29" s="17" t="s">
        <v>67</v>
      </c>
      <c r="P29" s="17">
        <v>6</v>
      </c>
      <c r="Q29" s="19">
        <v>3943.5679999999998</v>
      </c>
      <c r="R29" s="19">
        <v>0</v>
      </c>
      <c r="S29" s="20">
        <f t="shared" si="2"/>
        <v>-3943.5679999999998</v>
      </c>
    </row>
    <row r="30" spans="1:19">
      <c r="A30" s="5">
        <v>29</v>
      </c>
      <c r="B30" s="5">
        <v>2505032174</v>
      </c>
      <c r="C30" s="5" t="s">
        <v>68</v>
      </c>
      <c r="D30" s="5" t="s">
        <v>69</v>
      </c>
      <c r="E30" s="5" t="s">
        <v>70</v>
      </c>
      <c r="F30" s="5" t="s">
        <v>71</v>
      </c>
      <c r="G30" s="5" t="s">
        <v>43</v>
      </c>
      <c r="H30" s="5" t="s">
        <v>44</v>
      </c>
      <c r="I30" s="5">
        <v>202500049</v>
      </c>
      <c r="J30" s="6">
        <v>45780</v>
      </c>
      <c r="K30" s="6">
        <v>45780</v>
      </c>
      <c r="L30" s="6">
        <v>45786</v>
      </c>
      <c r="M30" s="5" t="s">
        <v>53</v>
      </c>
      <c r="N30" s="5" t="s">
        <v>54</v>
      </c>
      <c r="O30" s="5" t="s">
        <v>41</v>
      </c>
      <c r="P30" s="5">
        <v>6</v>
      </c>
      <c r="Q30" s="7">
        <v>3943.5679999999998</v>
      </c>
      <c r="R30" s="7">
        <v>0</v>
      </c>
      <c r="S30" s="8">
        <f t="shared" si="2"/>
        <v>-3943.5679999999998</v>
      </c>
    </row>
    <row r="31" spans="1:19">
      <c r="A31" s="5">
        <v>30</v>
      </c>
      <c r="B31" s="5">
        <v>2505032178</v>
      </c>
      <c r="C31" s="5" t="s">
        <v>72</v>
      </c>
      <c r="D31" s="5" t="s">
        <v>73</v>
      </c>
      <c r="E31" s="5" t="s">
        <v>74</v>
      </c>
      <c r="F31" s="5" t="s">
        <v>71</v>
      </c>
      <c r="G31" s="5" t="s">
        <v>75</v>
      </c>
      <c r="H31" s="5" t="s">
        <v>44</v>
      </c>
      <c r="I31" s="5">
        <v>202500050</v>
      </c>
      <c r="J31" s="6">
        <v>45779</v>
      </c>
      <c r="K31" s="6">
        <v>45780</v>
      </c>
      <c r="L31" s="6">
        <v>45786</v>
      </c>
      <c r="M31" s="5" t="s">
        <v>53</v>
      </c>
      <c r="N31" s="5" t="s">
        <v>54</v>
      </c>
      <c r="O31" s="5" t="s">
        <v>41</v>
      </c>
      <c r="P31" s="5">
        <v>6</v>
      </c>
      <c r="Q31" s="7">
        <v>3943.5679999999998</v>
      </c>
      <c r="R31" s="7">
        <v>0</v>
      </c>
      <c r="S31" s="8">
        <f t="shared" si="2"/>
        <v>-3943.5679999999998</v>
      </c>
    </row>
    <row r="32" spans="1:19">
      <c r="A32" s="5">
        <v>31</v>
      </c>
      <c r="B32" s="5">
        <v>2505041284</v>
      </c>
      <c r="C32" s="5" t="s">
        <v>76</v>
      </c>
      <c r="D32" s="5" t="s">
        <v>77</v>
      </c>
      <c r="E32" s="5" t="s">
        <v>78</v>
      </c>
      <c r="F32" s="5" t="s">
        <v>79</v>
      </c>
      <c r="G32" s="5" t="s">
        <v>52</v>
      </c>
      <c r="H32" s="5" t="s">
        <v>44</v>
      </c>
      <c r="I32" s="5">
        <v>202500051</v>
      </c>
      <c r="J32" s="6">
        <v>45779</v>
      </c>
      <c r="K32" s="6">
        <v>45781</v>
      </c>
      <c r="L32" s="6">
        <v>45786</v>
      </c>
      <c r="M32" s="5" t="s">
        <v>53</v>
      </c>
      <c r="N32" s="5" t="s">
        <v>54</v>
      </c>
      <c r="O32" s="5" t="s">
        <v>41</v>
      </c>
      <c r="P32" s="5">
        <v>5</v>
      </c>
      <c r="Q32" s="7">
        <v>3943.5679999999998</v>
      </c>
      <c r="R32" s="7">
        <v>5500</v>
      </c>
      <c r="S32" s="8">
        <f t="shared" si="2"/>
        <v>1556.4320000000002</v>
      </c>
    </row>
    <row r="33" spans="1:19">
      <c r="A33" s="5">
        <v>32</v>
      </c>
      <c r="B33" s="5">
        <v>2505041285</v>
      </c>
      <c r="C33" s="5" t="s">
        <v>80</v>
      </c>
      <c r="D33" s="5" t="s">
        <v>77</v>
      </c>
      <c r="E33" s="5" t="s">
        <v>78</v>
      </c>
      <c r="F33" s="5" t="s">
        <v>79</v>
      </c>
      <c r="G33" s="5" t="s">
        <v>52</v>
      </c>
      <c r="H33" s="5" t="s">
        <v>44</v>
      </c>
      <c r="I33" s="5">
        <v>202500052</v>
      </c>
      <c r="J33" s="6">
        <v>45779</v>
      </c>
      <c r="K33" s="6">
        <v>45781</v>
      </c>
      <c r="L33" s="6">
        <v>45786</v>
      </c>
      <c r="M33" s="5" t="s">
        <v>53</v>
      </c>
      <c r="N33" s="5" t="s">
        <v>54</v>
      </c>
      <c r="O33" s="5" t="s">
        <v>41</v>
      </c>
      <c r="P33" s="5">
        <v>5</v>
      </c>
      <c r="Q33" s="7">
        <v>3943.5679999999998</v>
      </c>
      <c r="R33" s="7">
        <v>5500</v>
      </c>
      <c r="S33" s="8">
        <f t="shared" si="2"/>
        <v>1556.4320000000002</v>
      </c>
    </row>
    <row r="34" spans="1:19">
      <c r="A34" s="5">
        <v>33</v>
      </c>
      <c r="B34" s="5">
        <v>2505050703</v>
      </c>
      <c r="C34" s="5" t="s">
        <v>81</v>
      </c>
      <c r="D34" s="5" t="s">
        <v>40</v>
      </c>
      <c r="E34" s="5" t="s">
        <v>41</v>
      </c>
      <c r="F34" s="5" t="s">
        <v>42</v>
      </c>
      <c r="G34" s="5" t="s">
        <v>52</v>
      </c>
      <c r="H34" s="5" t="s">
        <v>44</v>
      </c>
      <c r="I34" s="5">
        <v>202500053</v>
      </c>
      <c r="J34" s="6">
        <v>45782</v>
      </c>
      <c r="K34" s="6">
        <v>45782</v>
      </c>
      <c r="L34" s="6">
        <v>45786</v>
      </c>
      <c r="M34" s="5" t="s">
        <v>53</v>
      </c>
      <c r="N34" s="5" t="s">
        <v>54</v>
      </c>
      <c r="O34" s="5" t="s">
        <v>41</v>
      </c>
      <c r="P34" s="5">
        <v>4</v>
      </c>
      <c r="Q34" s="7">
        <v>3943.5679999999998</v>
      </c>
      <c r="R34" s="7">
        <v>5000</v>
      </c>
      <c r="S34" s="8">
        <f t="shared" si="2"/>
        <v>1056.4320000000002</v>
      </c>
    </row>
    <row r="35" spans="1:19">
      <c r="A35" s="5">
        <v>34</v>
      </c>
      <c r="B35" s="5">
        <v>2505051624</v>
      </c>
      <c r="C35" s="5" t="s">
        <v>82</v>
      </c>
      <c r="D35" s="5" t="s">
        <v>83</v>
      </c>
      <c r="E35" s="5" t="s">
        <v>84</v>
      </c>
      <c r="F35" s="5" t="s">
        <v>62</v>
      </c>
      <c r="G35" s="5" t="s">
        <v>52</v>
      </c>
      <c r="H35" s="5" t="s">
        <v>44</v>
      </c>
      <c r="I35" s="5">
        <v>202500054</v>
      </c>
      <c r="J35" s="6">
        <v>45779</v>
      </c>
      <c r="K35" s="6">
        <v>45782</v>
      </c>
      <c r="L35" s="6">
        <v>45786</v>
      </c>
      <c r="M35" s="5" t="s">
        <v>53</v>
      </c>
      <c r="N35" s="5" t="s">
        <v>54</v>
      </c>
      <c r="O35" s="5" t="s">
        <v>41</v>
      </c>
      <c r="P35" s="5">
        <v>4</v>
      </c>
      <c r="Q35" s="7">
        <v>3943.5679999999998</v>
      </c>
      <c r="R35" s="7">
        <v>6000</v>
      </c>
      <c r="S35" s="8">
        <f t="shared" si="2"/>
        <v>2056.4320000000002</v>
      </c>
    </row>
    <row r="36" spans="1:19">
      <c r="A36" s="5">
        <v>35</v>
      </c>
      <c r="B36" s="5">
        <v>2505051626</v>
      </c>
      <c r="C36" s="5" t="s">
        <v>85</v>
      </c>
      <c r="D36" s="5" t="s">
        <v>86</v>
      </c>
      <c r="E36" s="5" t="s">
        <v>41</v>
      </c>
      <c r="F36" s="5" t="s">
        <v>87</v>
      </c>
      <c r="G36" s="5" t="s">
        <v>43</v>
      </c>
      <c r="H36" s="5" t="s">
        <v>44</v>
      </c>
      <c r="I36" s="5">
        <v>202500055</v>
      </c>
      <c r="J36" s="6">
        <v>45781</v>
      </c>
      <c r="K36" s="6">
        <v>45782</v>
      </c>
      <c r="L36" s="6">
        <v>45786</v>
      </c>
      <c r="M36" s="5" t="s">
        <v>53</v>
      </c>
      <c r="N36" s="5" t="s">
        <v>54</v>
      </c>
      <c r="O36" s="5" t="s">
        <v>41</v>
      </c>
      <c r="P36" s="5">
        <v>4</v>
      </c>
      <c r="Q36" s="7">
        <v>3943.5679999999998</v>
      </c>
      <c r="R36" s="7">
        <v>11000</v>
      </c>
      <c r="S36" s="8">
        <f t="shared" si="2"/>
        <v>7056.4320000000007</v>
      </c>
    </row>
    <row r="37" spans="1:19">
      <c r="A37" s="5">
        <v>36</v>
      </c>
      <c r="B37" s="5">
        <v>2505051629</v>
      </c>
      <c r="C37" s="5" t="s">
        <v>88</v>
      </c>
      <c r="D37" s="5" t="s">
        <v>89</v>
      </c>
      <c r="E37" s="5" t="s">
        <v>90</v>
      </c>
      <c r="F37" s="5" t="s">
        <v>79</v>
      </c>
      <c r="G37" s="5" t="s">
        <v>52</v>
      </c>
      <c r="H37" s="5" t="s">
        <v>44</v>
      </c>
      <c r="I37" s="5">
        <v>202500056</v>
      </c>
      <c r="J37" s="6">
        <v>45781</v>
      </c>
      <c r="K37" s="6">
        <v>45782</v>
      </c>
      <c r="L37" s="6">
        <v>45786</v>
      </c>
      <c r="M37" s="5" t="s">
        <v>53</v>
      </c>
      <c r="N37" s="5" t="s">
        <v>54</v>
      </c>
      <c r="O37" s="5" t="s">
        <v>41</v>
      </c>
      <c r="P37" s="5">
        <v>4</v>
      </c>
      <c r="Q37" s="7">
        <v>3943.5679999999998</v>
      </c>
      <c r="R37" s="7">
        <v>5500</v>
      </c>
      <c r="S37" s="8">
        <f t="shared" si="2"/>
        <v>1556.4320000000002</v>
      </c>
    </row>
    <row r="38" spans="1:19">
      <c r="A38" s="5">
        <v>37</v>
      </c>
      <c r="B38" s="9">
        <v>2505061054</v>
      </c>
      <c r="C38" s="9" t="s">
        <v>91</v>
      </c>
      <c r="D38" s="9" t="s">
        <v>92</v>
      </c>
      <c r="E38" s="9" t="s">
        <v>93</v>
      </c>
      <c r="F38" s="9" t="s">
        <v>71</v>
      </c>
      <c r="G38" s="9" t="s">
        <v>52</v>
      </c>
      <c r="H38" s="9" t="s">
        <v>44</v>
      </c>
      <c r="I38" s="9">
        <v>202500057</v>
      </c>
      <c r="J38" s="10">
        <v>45782</v>
      </c>
      <c r="K38" s="10">
        <v>45783</v>
      </c>
      <c r="L38" s="10">
        <v>45786</v>
      </c>
      <c r="M38" s="9" t="s">
        <v>53</v>
      </c>
      <c r="N38" s="9" t="s">
        <v>94</v>
      </c>
      <c r="O38" s="9" t="s">
        <v>95</v>
      </c>
      <c r="P38" s="9">
        <v>3</v>
      </c>
      <c r="Q38" s="11">
        <v>3943.5679999999998</v>
      </c>
      <c r="R38" s="11">
        <v>7500</v>
      </c>
      <c r="S38" s="12">
        <f t="shared" si="2"/>
        <v>3556.4320000000002</v>
      </c>
    </row>
    <row r="39" spans="1:19">
      <c r="A39" s="5">
        <v>38</v>
      </c>
      <c r="B39" s="5">
        <v>2505062657</v>
      </c>
      <c r="C39" s="5" t="s">
        <v>96</v>
      </c>
      <c r="D39" s="5" t="s">
        <v>97</v>
      </c>
      <c r="E39" s="5" t="s">
        <v>98</v>
      </c>
      <c r="F39" s="5" t="s">
        <v>71</v>
      </c>
      <c r="G39" s="5" t="s">
        <v>75</v>
      </c>
      <c r="H39" s="5" t="s">
        <v>44</v>
      </c>
      <c r="I39" s="5">
        <v>202500058</v>
      </c>
      <c r="J39" s="6">
        <v>45782</v>
      </c>
      <c r="K39" s="6">
        <v>45783</v>
      </c>
      <c r="L39" s="6">
        <v>45786</v>
      </c>
      <c r="M39" s="5" t="s">
        <v>53</v>
      </c>
      <c r="N39" s="5" t="s">
        <v>54</v>
      </c>
      <c r="O39" s="5" t="s">
        <v>41</v>
      </c>
      <c r="P39" s="5">
        <v>3</v>
      </c>
      <c r="Q39" s="7">
        <v>3943.5679999999998</v>
      </c>
      <c r="R39" s="7">
        <v>4900</v>
      </c>
      <c r="S39" s="8">
        <f t="shared" si="2"/>
        <v>956.43200000000024</v>
      </c>
    </row>
    <row r="40" spans="1:19">
      <c r="A40" s="5">
        <v>39</v>
      </c>
      <c r="B40" s="5">
        <v>2505062658</v>
      </c>
      <c r="C40" s="5" t="s">
        <v>99</v>
      </c>
      <c r="D40" s="5" t="s">
        <v>97</v>
      </c>
      <c r="E40" s="5" t="s">
        <v>98</v>
      </c>
      <c r="F40" s="5" t="s">
        <v>71</v>
      </c>
      <c r="G40" s="5" t="s">
        <v>75</v>
      </c>
      <c r="H40" s="5" t="s">
        <v>44</v>
      </c>
      <c r="I40" s="5">
        <v>202500059</v>
      </c>
      <c r="J40" s="6">
        <v>45782</v>
      </c>
      <c r="K40" s="6">
        <v>45783</v>
      </c>
      <c r="L40" s="6">
        <v>45786</v>
      </c>
      <c r="M40" s="5" t="s">
        <v>53</v>
      </c>
      <c r="N40" s="5" t="s">
        <v>54</v>
      </c>
      <c r="O40" s="5" t="s">
        <v>41</v>
      </c>
      <c r="P40" s="5">
        <v>3</v>
      </c>
      <c r="Q40" s="7">
        <v>3943.5679999999998</v>
      </c>
      <c r="R40" s="7">
        <v>4900</v>
      </c>
      <c r="S40" s="8">
        <f t="shared" si="2"/>
        <v>956.43200000000024</v>
      </c>
    </row>
    <row r="41" spans="1:19">
      <c r="A41" s="5">
        <v>40</v>
      </c>
      <c r="B41" s="9">
        <v>2505060758</v>
      </c>
      <c r="C41" s="9" t="s">
        <v>100</v>
      </c>
      <c r="D41" s="9" t="s">
        <v>40</v>
      </c>
      <c r="E41" s="9" t="s">
        <v>41</v>
      </c>
      <c r="F41" s="9" t="s">
        <v>42</v>
      </c>
      <c r="G41" s="9" t="s">
        <v>52</v>
      </c>
      <c r="H41" s="9" t="s">
        <v>44</v>
      </c>
      <c r="I41" s="9">
        <v>202500060</v>
      </c>
      <c r="J41" s="10">
        <v>45783</v>
      </c>
      <c r="K41" s="10">
        <v>45783</v>
      </c>
      <c r="L41" s="10">
        <v>45786</v>
      </c>
      <c r="M41" s="9" t="s">
        <v>53</v>
      </c>
      <c r="N41" s="9" t="s">
        <v>94</v>
      </c>
      <c r="O41" s="9" t="s">
        <v>101</v>
      </c>
      <c r="P41" s="9">
        <v>3</v>
      </c>
      <c r="Q41" s="11">
        <v>3943.5679999999998</v>
      </c>
      <c r="R41" s="11">
        <v>9500</v>
      </c>
      <c r="S41" s="12">
        <f t="shared" si="2"/>
        <v>5556.4320000000007</v>
      </c>
    </row>
    <row r="42" spans="1:19">
      <c r="A42" s="5">
        <v>41</v>
      </c>
      <c r="B42" s="5">
        <v>2505062659</v>
      </c>
      <c r="C42" s="5" t="s">
        <v>102</v>
      </c>
      <c r="D42" s="5" t="s">
        <v>103</v>
      </c>
      <c r="E42" s="5" t="s">
        <v>104</v>
      </c>
      <c r="F42" s="5" t="s">
        <v>51</v>
      </c>
      <c r="G42" s="5" t="s">
        <v>52</v>
      </c>
      <c r="H42" s="5" t="s">
        <v>44</v>
      </c>
      <c r="I42" s="5">
        <v>202500061</v>
      </c>
      <c r="J42" s="6">
        <v>45782</v>
      </c>
      <c r="K42" s="6">
        <v>45783</v>
      </c>
      <c r="L42" s="6">
        <v>45786</v>
      </c>
      <c r="M42" s="5" t="s">
        <v>53</v>
      </c>
      <c r="N42" s="5" t="s">
        <v>54</v>
      </c>
      <c r="O42" s="5" t="s">
        <v>41</v>
      </c>
      <c r="P42" s="5">
        <v>3</v>
      </c>
      <c r="Q42" s="7">
        <v>3943.5679999999998</v>
      </c>
      <c r="R42" s="7">
        <v>8500</v>
      </c>
      <c r="S42" s="8">
        <f t="shared" si="2"/>
        <v>4556.4320000000007</v>
      </c>
    </row>
    <row r="43" spans="1:19">
      <c r="A43" s="5">
        <v>42</v>
      </c>
      <c r="B43" s="5">
        <v>2505062660</v>
      </c>
      <c r="C43" s="5" t="s">
        <v>105</v>
      </c>
      <c r="D43" s="5" t="s">
        <v>103</v>
      </c>
      <c r="E43" s="5" t="s">
        <v>104</v>
      </c>
      <c r="F43" s="5" t="s">
        <v>51</v>
      </c>
      <c r="G43" s="5" t="s">
        <v>52</v>
      </c>
      <c r="H43" s="5" t="s">
        <v>44</v>
      </c>
      <c r="I43" s="5">
        <v>202500062</v>
      </c>
      <c r="J43" s="6">
        <v>45782</v>
      </c>
      <c r="K43" s="6">
        <v>45783</v>
      </c>
      <c r="L43" s="6">
        <v>45786</v>
      </c>
      <c r="M43" s="5" t="s">
        <v>53</v>
      </c>
      <c r="N43" s="5" t="s">
        <v>54</v>
      </c>
      <c r="O43" s="5" t="s">
        <v>41</v>
      </c>
      <c r="P43" s="5">
        <v>3</v>
      </c>
      <c r="Q43" s="7">
        <v>3943.5679999999998</v>
      </c>
      <c r="R43" s="7">
        <v>8500</v>
      </c>
      <c r="S43" s="8">
        <f t="shared" si="2"/>
        <v>4556.4320000000007</v>
      </c>
    </row>
    <row r="44" spans="1:19">
      <c r="A44" s="5">
        <v>43</v>
      </c>
      <c r="B44" s="5">
        <v>2505062661</v>
      </c>
      <c r="C44" s="5" t="s">
        <v>106</v>
      </c>
      <c r="D44" s="5" t="s">
        <v>107</v>
      </c>
      <c r="E44" s="5" t="s">
        <v>108</v>
      </c>
      <c r="F44" s="5" t="s">
        <v>109</v>
      </c>
      <c r="G44" s="5" t="s">
        <v>52</v>
      </c>
      <c r="H44" s="5" t="s">
        <v>44</v>
      </c>
      <c r="I44" s="5">
        <v>202500063</v>
      </c>
      <c r="J44" s="6">
        <v>45782</v>
      </c>
      <c r="K44" s="6">
        <v>45783</v>
      </c>
      <c r="L44" s="6">
        <v>45786</v>
      </c>
      <c r="M44" s="5" t="s">
        <v>53</v>
      </c>
      <c r="N44" s="5" t="s">
        <v>54</v>
      </c>
      <c r="O44" s="5" t="s">
        <v>41</v>
      </c>
      <c r="P44" s="5">
        <v>3</v>
      </c>
      <c r="Q44" s="7">
        <v>3943.5679999999998</v>
      </c>
      <c r="R44" s="7">
        <v>5500</v>
      </c>
      <c r="S44" s="8">
        <f t="shared" si="2"/>
        <v>1556.4320000000002</v>
      </c>
    </row>
    <row r="45" spans="1:19">
      <c r="A45" s="5">
        <v>44</v>
      </c>
      <c r="B45" s="5">
        <v>2505070255</v>
      </c>
      <c r="C45" s="5" t="s">
        <v>110</v>
      </c>
      <c r="D45" s="5" t="s">
        <v>64</v>
      </c>
      <c r="E45" s="5" t="s">
        <v>65</v>
      </c>
      <c r="F45" s="5" t="s">
        <v>66</v>
      </c>
      <c r="G45" s="5" t="s">
        <v>52</v>
      </c>
      <c r="H45" s="5" t="s">
        <v>44</v>
      </c>
      <c r="I45" s="5">
        <v>202500064</v>
      </c>
      <c r="J45" s="6">
        <v>45782</v>
      </c>
      <c r="K45" s="6">
        <v>45784</v>
      </c>
      <c r="L45" s="6">
        <v>45786</v>
      </c>
      <c r="M45" s="5" t="s">
        <v>53</v>
      </c>
      <c r="N45" s="5" t="s">
        <v>54</v>
      </c>
      <c r="O45" s="5" t="s">
        <v>41</v>
      </c>
      <c r="P45" s="5">
        <v>2</v>
      </c>
      <c r="Q45" s="7">
        <v>3943.5679999999998</v>
      </c>
      <c r="R45" s="7">
        <v>5500</v>
      </c>
      <c r="S45" s="8">
        <f t="shared" si="2"/>
        <v>1556.4320000000002</v>
      </c>
    </row>
    <row r="46" spans="1:19">
      <c r="A46" s="5">
        <v>45</v>
      </c>
      <c r="B46" s="5">
        <v>2505070265</v>
      </c>
      <c r="C46" s="5" t="s">
        <v>111</v>
      </c>
      <c r="D46" s="5" t="s">
        <v>64</v>
      </c>
      <c r="E46" s="5" t="s">
        <v>65</v>
      </c>
      <c r="F46" s="5" t="s">
        <v>66</v>
      </c>
      <c r="G46" s="5" t="s">
        <v>52</v>
      </c>
      <c r="H46" s="5" t="s">
        <v>44</v>
      </c>
      <c r="I46" s="5">
        <v>202500065</v>
      </c>
      <c r="J46" s="6">
        <v>45782</v>
      </c>
      <c r="K46" s="6">
        <v>45784</v>
      </c>
      <c r="L46" s="6">
        <v>45786</v>
      </c>
      <c r="M46" s="5" t="s">
        <v>53</v>
      </c>
      <c r="N46" s="5" t="s">
        <v>54</v>
      </c>
      <c r="O46" s="5" t="s">
        <v>41</v>
      </c>
      <c r="P46" s="5">
        <v>2</v>
      </c>
      <c r="Q46" s="7">
        <v>3943.5679999999998</v>
      </c>
      <c r="R46" s="7">
        <v>5500</v>
      </c>
      <c r="S46" s="8">
        <f t="shared" si="2"/>
        <v>1556.4320000000002</v>
      </c>
    </row>
    <row r="47" spans="1:19">
      <c r="A47" s="5">
        <v>46</v>
      </c>
      <c r="B47" s="5">
        <v>2505070274</v>
      </c>
      <c r="C47" s="5" t="s">
        <v>112</v>
      </c>
      <c r="D47" s="5" t="s">
        <v>64</v>
      </c>
      <c r="E47" s="5" t="s">
        <v>65</v>
      </c>
      <c r="F47" s="5" t="s">
        <v>66</v>
      </c>
      <c r="G47" s="5" t="s">
        <v>52</v>
      </c>
      <c r="H47" s="5" t="s">
        <v>44</v>
      </c>
      <c r="I47" s="5">
        <v>202500066</v>
      </c>
      <c r="J47" s="6">
        <v>45782</v>
      </c>
      <c r="K47" s="6">
        <v>45784</v>
      </c>
      <c r="L47" s="6">
        <v>45786</v>
      </c>
      <c r="M47" s="5" t="s">
        <v>53</v>
      </c>
      <c r="N47" s="5" t="s">
        <v>54</v>
      </c>
      <c r="O47" s="5" t="s">
        <v>41</v>
      </c>
      <c r="P47" s="5">
        <v>2</v>
      </c>
      <c r="Q47" s="7">
        <v>3943.5679999999998</v>
      </c>
      <c r="R47" s="7">
        <v>5500</v>
      </c>
      <c r="S47" s="8">
        <f t="shared" si="2"/>
        <v>1556.4320000000002</v>
      </c>
    </row>
    <row r="48" spans="1:19">
      <c r="A48" s="5">
        <v>47</v>
      </c>
      <c r="B48" s="5" t="s">
        <v>113</v>
      </c>
      <c r="C48" s="5"/>
      <c r="D48" s="5"/>
      <c r="E48" s="5"/>
      <c r="F48" s="5"/>
      <c r="G48" s="5" t="s">
        <v>52</v>
      </c>
      <c r="H48" s="5" t="s">
        <v>44</v>
      </c>
      <c r="I48" s="5"/>
      <c r="J48" s="5"/>
      <c r="K48" s="5"/>
      <c r="L48" s="5"/>
      <c r="M48" s="5"/>
      <c r="N48" s="5"/>
      <c r="O48" s="5"/>
      <c r="P48" s="5"/>
      <c r="Q48" s="7">
        <v>3943.5679999999998</v>
      </c>
      <c r="R48" s="7">
        <v>0</v>
      </c>
      <c r="S48" s="8">
        <f t="shared" ref="S48:S49" si="3">R48-Q48</f>
        <v>-3943.5679999999998</v>
      </c>
    </row>
    <row r="49" spans="1:19">
      <c r="A49" s="5">
        <v>48</v>
      </c>
      <c r="B49" s="5" t="s">
        <v>114</v>
      </c>
      <c r="C49" s="5"/>
      <c r="D49" s="5"/>
      <c r="E49" s="5"/>
      <c r="F49" s="5"/>
      <c r="G49" s="5" t="s">
        <v>52</v>
      </c>
      <c r="H49" s="5" t="s">
        <v>44</v>
      </c>
      <c r="I49" s="5"/>
      <c r="J49" s="5"/>
      <c r="K49" s="5"/>
      <c r="L49" s="5"/>
      <c r="M49" s="5"/>
      <c r="N49" s="5"/>
      <c r="O49" s="5"/>
      <c r="P49" s="5"/>
      <c r="Q49" s="7">
        <v>3943.5679999999998</v>
      </c>
      <c r="R49" s="7">
        <v>0</v>
      </c>
      <c r="S49" s="8">
        <f t="shared" si="3"/>
        <v>-3943.5679999999998</v>
      </c>
    </row>
    <row r="50" spans="1:19">
      <c r="A50" s="5">
        <v>49</v>
      </c>
      <c r="B50" s="22">
        <v>2505061054</v>
      </c>
      <c r="C50" s="22" t="s">
        <v>91</v>
      </c>
      <c r="D50" s="22" t="s">
        <v>92</v>
      </c>
      <c r="E50" s="22" t="s">
        <v>93</v>
      </c>
      <c r="F50" s="22" t="s">
        <v>71</v>
      </c>
      <c r="G50" s="22" t="s">
        <v>52</v>
      </c>
      <c r="H50" s="22" t="s">
        <v>132</v>
      </c>
      <c r="I50" s="22">
        <v>202500067</v>
      </c>
      <c r="J50" s="23">
        <v>45782</v>
      </c>
      <c r="K50" s="23">
        <v>45783</v>
      </c>
      <c r="L50" s="23">
        <v>45791</v>
      </c>
      <c r="M50" s="22" t="s">
        <v>53</v>
      </c>
      <c r="N50" s="22" t="s">
        <v>54</v>
      </c>
      <c r="O50" s="22" t="s">
        <v>133</v>
      </c>
      <c r="P50" s="22">
        <v>8</v>
      </c>
      <c r="Q50" s="24">
        <v>3943.5679999999998</v>
      </c>
      <c r="R50" s="24">
        <v>0</v>
      </c>
      <c r="S50" s="25">
        <v>-3620</v>
      </c>
    </row>
    <row r="51" spans="1:19">
      <c r="A51" s="5">
        <v>50</v>
      </c>
      <c r="B51" s="22">
        <v>2505060758</v>
      </c>
      <c r="C51" s="22" t="s">
        <v>100</v>
      </c>
      <c r="D51" s="22" t="s">
        <v>40</v>
      </c>
      <c r="E51" s="22" t="s">
        <v>41</v>
      </c>
      <c r="F51" s="22" t="s">
        <v>42</v>
      </c>
      <c r="G51" s="22" t="s">
        <v>52</v>
      </c>
      <c r="H51" s="22" t="s">
        <v>132</v>
      </c>
      <c r="I51" s="22">
        <v>202500068</v>
      </c>
      <c r="J51" s="23">
        <v>45783</v>
      </c>
      <c r="K51" s="23">
        <v>45783</v>
      </c>
      <c r="L51" s="23">
        <v>45791</v>
      </c>
      <c r="M51" s="22" t="s">
        <v>53</v>
      </c>
      <c r="N51" s="22" t="s">
        <v>54</v>
      </c>
      <c r="O51" s="22" t="s">
        <v>133</v>
      </c>
      <c r="P51" s="22">
        <v>8</v>
      </c>
      <c r="Q51" s="24">
        <v>3943.5679999999998</v>
      </c>
      <c r="R51" s="24">
        <v>0</v>
      </c>
      <c r="S51" s="25">
        <v>-3620</v>
      </c>
    </row>
    <row r="52" spans="1:19">
      <c r="A52" s="5">
        <v>51</v>
      </c>
      <c r="B52" s="5">
        <v>2505071009</v>
      </c>
      <c r="C52" s="5" t="s">
        <v>134</v>
      </c>
      <c r="D52" s="5" t="s">
        <v>77</v>
      </c>
      <c r="E52" s="5" t="s">
        <v>78</v>
      </c>
      <c r="F52" s="5" t="s">
        <v>79</v>
      </c>
      <c r="G52" s="5" t="s">
        <v>52</v>
      </c>
      <c r="H52" s="5" t="s">
        <v>132</v>
      </c>
      <c r="I52" s="5">
        <v>202500069</v>
      </c>
      <c r="J52" s="6">
        <v>45782</v>
      </c>
      <c r="K52" s="6">
        <v>45784</v>
      </c>
      <c r="L52" s="6">
        <v>45791</v>
      </c>
      <c r="M52" s="5" t="s">
        <v>53</v>
      </c>
      <c r="N52" s="5" t="s">
        <v>54</v>
      </c>
      <c r="O52" s="5" t="s">
        <v>41</v>
      </c>
      <c r="P52" s="5">
        <v>7</v>
      </c>
      <c r="Q52" s="7">
        <v>3943.5679999999998</v>
      </c>
      <c r="R52" s="7">
        <v>5500</v>
      </c>
      <c r="S52" s="8">
        <f>R52-Q52</f>
        <v>1556.4320000000002</v>
      </c>
    </row>
    <row r="53" spans="1:19">
      <c r="A53" s="5">
        <v>52</v>
      </c>
      <c r="B53" s="5">
        <v>2505080895</v>
      </c>
      <c r="C53" s="5" t="s">
        <v>135</v>
      </c>
      <c r="D53" s="5" t="s">
        <v>136</v>
      </c>
      <c r="E53" s="5" t="s">
        <v>137</v>
      </c>
      <c r="F53" s="5" t="s">
        <v>87</v>
      </c>
      <c r="G53" s="5" t="s">
        <v>52</v>
      </c>
      <c r="H53" s="5" t="s">
        <v>132</v>
      </c>
      <c r="I53" s="5">
        <v>202500070</v>
      </c>
      <c r="J53" s="6">
        <v>45783</v>
      </c>
      <c r="K53" s="6">
        <v>45785</v>
      </c>
      <c r="L53" s="6">
        <v>45791</v>
      </c>
      <c r="M53" s="5" t="s">
        <v>53</v>
      </c>
      <c r="N53" s="5" t="s">
        <v>54</v>
      </c>
      <c r="O53" s="5" t="s">
        <v>41</v>
      </c>
      <c r="P53" s="5">
        <v>6</v>
      </c>
      <c r="Q53" s="7">
        <v>3943.5679999999998</v>
      </c>
      <c r="R53" s="7">
        <v>6000</v>
      </c>
      <c r="S53" s="8">
        <f t="shared" ref="S53:S116" si="4">R53-Q53</f>
        <v>2056.4320000000002</v>
      </c>
    </row>
    <row r="54" spans="1:19">
      <c r="A54" s="5">
        <v>53</v>
      </c>
      <c r="B54" s="5">
        <v>2505081796</v>
      </c>
      <c r="C54" s="5" t="s">
        <v>138</v>
      </c>
      <c r="D54" s="5" t="s">
        <v>139</v>
      </c>
      <c r="E54" s="5" t="s">
        <v>140</v>
      </c>
      <c r="F54" s="5" t="s">
        <v>141</v>
      </c>
      <c r="G54" s="5" t="s">
        <v>52</v>
      </c>
      <c r="H54" s="5" t="s">
        <v>132</v>
      </c>
      <c r="I54" s="5">
        <v>202500071</v>
      </c>
      <c r="J54" s="6">
        <v>45784</v>
      </c>
      <c r="K54" s="6">
        <v>45785</v>
      </c>
      <c r="L54" s="6">
        <v>45791</v>
      </c>
      <c r="M54" s="5" t="s">
        <v>53</v>
      </c>
      <c r="N54" s="5" t="s">
        <v>54</v>
      </c>
      <c r="O54" s="5" t="s">
        <v>41</v>
      </c>
      <c r="P54" s="5">
        <v>6</v>
      </c>
      <c r="Q54" s="7">
        <v>3943.5679999999998</v>
      </c>
      <c r="R54" s="7">
        <v>6000</v>
      </c>
      <c r="S54" s="8">
        <f t="shared" si="4"/>
        <v>2056.4320000000002</v>
      </c>
    </row>
    <row r="55" spans="1:19">
      <c r="A55" s="5">
        <v>54</v>
      </c>
      <c r="B55" s="9">
        <v>2505083603</v>
      </c>
      <c r="C55" s="9" t="s">
        <v>142</v>
      </c>
      <c r="D55" s="9" t="s">
        <v>86</v>
      </c>
      <c r="E55" s="9" t="s">
        <v>41</v>
      </c>
      <c r="F55" s="9" t="s">
        <v>87</v>
      </c>
      <c r="G55" s="9" t="s">
        <v>43</v>
      </c>
      <c r="H55" s="9" t="s">
        <v>132</v>
      </c>
      <c r="I55" s="9">
        <v>202500072</v>
      </c>
      <c r="J55" s="10">
        <v>45785</v>
      </c>
      <c r="K55" s="10">
        <v>45785</v>
      </c>
      <c r="L55" s="10">
        <v>45791</v>
      </c>
      <c r="M55" s="9" t="s">
        <v>45</v>
      </c>
      <c r="N55" s="9" t="s">
        <v>94</v>
      </c>
      <c r="O55" s="9" t="s">
        <v>143</v>
      </c>
      <c r="P55" s="9">
        <v>6</v>
      </c>
      <c r="Q55" s="11">
        <v>3943.5679999999998</v>
      </c>
      <c r="R55" s="11">
        <v>11000</v>
      </c>
      <c r="S55" s="12">
        <f t="shared" si="4"/>
        <v>7056.4320000000007</v>
      </c>
    </row>
    <row r="56" spans="1:19">
      <c r="A56" s="5">
        <v>55</v>
      </c>
      <c r="B56" s="5">
        <v>2505090265</v>
      </c>
      <c r="C56" s="5" t="s">
        <v>144</v>
      </c>
      <c r="D56" s="5" t="s">
        <v>49</v>
      </c>
      <c r="E56" s="5" t="s">
        <v>50</v>
      </c>
      <c r="F56" s="5" t="s">
        <v>51</v>
      </c>
      <c r="G56" s="5" t="s">
        <v>75</v>
      </c>
      <c r="H56" s="5" t="s">
        <v>132</v>
      </c>
      <c r="I56" s="5">
        <v>202500073</v>
      </c>
      <c r="J56" s="6">
        <v>45784</v>
      </c>
      <c r="K56" s="6">
        <v>45786</v>
      </c>
      <c r="L56" s="6">
        <v>45791</v>
      </c>
      <c r="M56" s="5" t="s">
        <v>53</v>
      </c>
      <c r="N56" s="5" t="s">
        <v>54</v>
      </c>
      <c r="O56" s="5" t="s">
        <v>41</v>
      </c>
      <c r="P56" s="5">
        <v>5</v>
      </c>
      <c r="Q56" s="7">
        <v>3943.5679999999998</v>
      </c>
      <c r="R56" s="7">
        <v>4500</v>
      </c>
      <c r="S56" s="8">
        <f t="shared" si="4"/>
        <v>556.43200000000024</v>
      </c>
    </row>
    <row r="57" spans="1:19">
      <c r="A57" s="5">
        <v>56</v>
      </c>
      <c r="B57" s="5">
        <v>2505090272</v>
      </c>
      <c r="C57" s="5" t="s">
        <v>145</v>
      </c>
      <c r="D57" s="5" t="s">
        <v>64</v>
      </c>
      <c r="E57" s="5" t="s">
        <v>65</v>
      </c>
      <c r="F57" s="5" t="s">
        <v>66</v>
      </c>
      <c r="G57" s="5" t="s">
        <v>52</v>
      </c>
      <c r="H57" s="5" t="s">
        <v>132</v>
      </c>
      <c r="I57" s="5">
        <v>202500074</v>
      </c>
      <c r="J57" s="6">
        <v>45784</v>
      </c>
      <c r="K57" s="6">
        <v>45786</v>
      </c>
      <c r="L57" s="6">
        <v>45791</v>
      </c>
      <c r="M57" s="5" t="s">
        <v>53</v>
      </c>
      <c r="N57" s="5" t="s">
        <v>54</v>
      </c>
      <c r="O57" s="5" t="s">
        <v>41</v>
      </c>
      <c r="P57" s="5">
        <v>5</v>
      </c>
      <c r="Q57" s="7">
        <v>3943.5679999999998</v>
      </c>
      <c r="R57" s="7">
        <v>5500</v>
      </c>
      <c r="S57" s="8">
        <f t="shared" si="4"/>
        <v>1556.4320000000002</v>
      </c>
    </row>
    <row r="58" spans="1:19">
      <c r="A58" s="5">
        <v>57</v>
      </c>
      <c r="B58" s="5">
        <v>2505090767</v>
      </c>
      <c r="C58" s="5" t="s">
        <v>146</v>
      </c>
      <c r="D58" s="5" t="s">
        <v>147</v>
      </c>
      <c r="E58" s="5" t="s">
        <v>148</v>
      </c>
      <c r="F58" s="5" t="s">
        <v>141</v>
      </c>
      <c r="G58" s="5" t="s">
        <v>52</v>
      </c>
      <c r="H58" s="5" t="s">
        <v>132</v>
      </c>
      <c r="I58" s="5">
        <v>202500075</v>
      </c>
      <c r="J58" s="6">
        <v>45784</v>
      </c>
      <c r="K58" s="6">
        <v>45786</v>
      </c>
      <c r="L58" s="6">
        <v>45791</v>
      </c>
      <c r="M58" s="5" t="s">
        <v>53</v>
      </c>
      <c r="N58" s="5" t="s">
        <v>54</v>
      </c>
      <c r="O58" s="5" t="s">
        <v>41</v>
      </c>
      <c r="P58" s="5">
        <v>5</v>
      </c>
      <c r="Q58" s="7">
        <v>3943.5679999999998</v>
      </c>
      <c r="R58" s="7">
        <v>6000</v>
      </c>
      <c r="S58" s="8">
        <f t="shared" si="4"/>
        <v>2056.4320000000002</v>
      </c>
    </row>
    <row r="59" spans="1:19">
      <c r="A59" s="5">
        <v>58</v>
      </c>
      <c r="B59" s="5">
        <v>2505092779</v>
      </c>
      <c r="C59" s="5" t="s">
        <v>149</v>
      </c>
      <c r="D59" s="5" t="s">
        <v>97</v>
      </c>
      <c r="E59" s="5" t="s">
        <v>150</v>
      </c>
      <c r="F59" s="5" t="s">
        <v>71</v>
      </c>
      <c r="G59" s="5" t="s">
        <v>75</v>
      </c>
      <c r="H59" s="5" t="s">
        <v>132</v>
      </c>
      <c r="I59" s="5">
        <v>202500076</v>
      </c>
      <c r="J59" s="6">
        <v>45785</v>
      </c>
      <c r="K59" s="6">
        <v>45786</v>
      </c>
      <c r="L59" s="21">
        <v>45791</v>
      </c>
      <c r="M59" s="5" t="s">
        <v>53</v>
      </c>
      <c r="N59" s="5" t="s">
        <v>54</v>
      </c>
      <c r="O59" s="5" t="s">
        <v>41</v>
      </c>
      <c r="P59" s="5">
        <v>5</v>
      </c>
      <c r="Q59" s="7">
        <v>3943.5679999999998</v>
      </c>
      <c r="R59" s="7">
        <v>4900</v>
      </c>
      <c r="S59" s="8">
        <f t="shared" si="4"/>
        <v>956.43200000000024</v>
      </c>
    </row>
    <row r="60" spans="1:19">
      <c r="A60" s="5">
        <v>59</v>
      </c>
      <c r="B60" s="5">
        <v>2505092782</v>
      </c>
      <c r="C60" s="5" t="s">
        <v>151</v>
      </c>
      <c r="D60" s="5" t="s">
        <v>69</v>
      </c>
      <c r="E60" s="5" t="s">
        <v>70</v>
      </c>
      <c r="F60" s="5" t="s">
        <v>71</v>
      </c>
      <c r="G60" s="5" t="s">
        <v>43</v>
      </c>
      <c r="H60" s="5" t="s">
        <v>132</v>
      </c>
      <c r="I60" s="5">
        <v>202500077</v>
      </c>
      <c r="J60" s="6">
        <v>45785</v>
      </c>
      <c r="K60" s="6">
        <v>45786</v>
      </c>
      <c r="L60" s="6">
        <v>45791</v>
      </c>
      <c r="M60" s="5" t="s">
        <v>53</v>
      </c>
      <c r="N60" s="5" t="s">
        <v>54</v>
      </c>
      <c r="O60" s="5" t="s">
        <v>41</v>
      </c>
      <c r="P60" s="5">
        <v>5</v>
      </c>
      <c r="Q60" s="7">
        <v>3943.5679999999998</v>
      </c>
      <c r="R60" s="7">
        <v>12000</v>
      </c>
      <c r="S60" s="8">
        <f t="shared" si="4"/>
        <v>8056.4320000000007</v>
      </c>
    </row>
    <row r="61" spans="1:19">
      <c r="A61" s="5">
        <v>60</v>
      </c>
      <c r="B61" s="5">
        <v>2505092786</v>
      </c>
      <c r="C61" s="5" t="s">
        <v>152</v>
      </c>
      <c r="D61" s="5" t="s">
        <v>153</v>
      </c>
      <c r="E61" s="5" t="s">
        <v>154</v>
      </c>
      <c r="F61" s="5" t="s">
        <v>141</v>
      </c>
      <c r="G61" s="5" t="s">
        <v>52</v>
      </c>
      <c r="H61" s="5" t="s">
        <v>132</v>
      </c>
      <c r="I61" s="5">
        <v>202500078</v>
      </c>
      <c r="J61" s="6">
        <v>45785</v>
      </c>
      <c r="K61" s="6">
        <v>45786</v>
      </c>
      <c r="L61" s="6">
        <v>45791</v>
      </c>
      <c r="M61" s="5" t="s">
        <v>53</v>
      </c>
      <c r="N61" s="5" t="s">
        <v>54</v>
      </c>
      <c r="O61" s="5" t="s">
        <v>41</v>
      </c>
      <c r="P61" s="5">
        <v>5</v>
      </c>
      <c r="Q61" s="7">
        <v>3943.5679999999998</v>
      </c>
      <c r="R61" s="7">
        <v>5500</v>
      </c>
      <c r="S61" s="8">
        <f t="shared" si="4"/>
        <v>1556.4320000000002</v>
      </c>
    </row>
    <row r="62" spans="1:19">
      <c r="A62" s="5">
        <v>61</v>
      </c>
      <c r="B62" s="5">
        <v>2505092789</v>
      </c>
      <c r="C62" s="5" t="s">
        <v>155</v>
      </c>
      <c r="D62" s="5" t="s">
        <v>153</v>
      </c>
      <c r="E62" s="5" t="s">
        <v>154</v>
      </c>
      <c r="F62" s="5" t="s">
        <v>141</v>
      </c>
      <c r="G62" s="5" t="s">
        <v>52</v>
      </c>
      <c r="H62" s="5" t="s">
        <v>132</v>
      </c>
      <c r="I62" s="5">
        <v>202500079</v>
      </c>
      <c r="J62" s="6">
        <v>45785</v>
      </c>
      <c r="K62" s="6">
        <v>45786</v>
      </c>
      <c r="L62" s="6">
        <v>45791</v>
      </c>
      <c r="M62" s="5" t="s">
        <v>53</v>
      </c>
      <c r="N62" s="5" t="s">
        <v>54</v>
      </c>
      <c r="O62" s="5" t="s">
        <v>41</v>
      </c>
      <c r="P62" s="5">
        <v>5</v>
      </c>
      <c r="Q62" s="7">
        <v>3943.5679999999998</v>
      </c>
      <c r="R62" s="7">
        <v>5500</v>
      </c>
      <c r="S62" s="8">
        <f t="shared" si="4"/>
        <v>1556.4320000000002</v>
      </c>
    </row>
    <row r="63" spans="1:19">
      <c r="A63" s="5">
        <v>62</v>
      </c>
      <c r="B63" s="5">
        <v>2505092791</v>
      </c>
      <c r="C63" s="5" t="s">
        <v>156</v>
      </c>
      <c r="D63" s="5" t="s">
        <v>89</v>
      </c>
      <c r="E63" s="5" t="s">
        <v>90</v>
      </c>
      <c r="F63" s="5" t="s">
        <v>79</v>
      </c>
      <c r="G63" s="5" t="s">
        <v>52</v>
      </c>
      <c r="H63" s="5" t="s">
        <v>132</v>
      </c>
      <c r="I63" s="5">
        <v>202500080</v>
      </c>
      <c r="J63" s="6">
        <v>45785</v>
      </c>
      <c r="K63" s="6">
        <v>45786</v>
      </c>
      <c r="L63" s="6">
        <v>45791</v>
      </c>
      <c r="M63" s="5" t="s">
        <v>53</v>
      </c>
      <c r="N63" s="5" t="s">
        <v>54</v>
      </c>
      <c r="O63" s="5" t="s">
        <v>41</v>
      </c>
      <c r="P63" s="5">
        <v>5</v>
      </c>
      <c r="Q63" s="7">
        <v>3943.5679999999998</v>
      </c>
      <c r="R63" s="7">
        <v>5500</v>
      </c>
      <c r="S63" s="8">
        <f t="shared" si="4"/>
        <v>1556.4320000000002</v>
      </c>
    </row>
    <row r="64" spans="1:19">
      <c r="A64" s="5">
        <v>63</v>
      </c>
      <c r="B64" s="5">
        <v>2505092795</v>
      </c>
      <c r="C64" s="5" t="s">
        <v>157</v>
      </c>
      <c r="D64" s="5" t="s">
        <v>107</v>
      </c>
      <c r="E64" s="5" t="s">
        <v>108</v>
      </c>
      <c r="F64" s="5" t="s">
        <v>109</v>
      </c>
      <c r="G64" s="5" t="s">
        <v>52</v>
      </c>
      <c r="H64" s="5" t="s">
        <v>132</v>
      </c>
      <c r="I64" s="5">
        <v>202500081</v>
      </c>
      <c r="J64" s="6">
        <v>45785</v>
      </c>
      <c r="K64" s="6">
        <v>45786</v>
      </c>
      <c r="L64" s="6">
        <v>45791</v>
      </c>
      <c r="M64" s="5" t="s">
        <v>53</v>
      </c>
      <c r="N64" s="5" t="s">
        <v>54</v>
      </c>
      <c r="O64" s="5" t="s">
        <v>41</v>
      </c>
      <c r="P64" s="5">
        <v>5</v>
      </c>
      <c r="Q64" s="7">
        <v>3943.5679999999998</v>
      </c>
      <c r="R64" s="7">
        <v>5500</v>
      </c>
      <c r="S64" s="8">
        <f t="shared" si="4"/>
        <v>1556.4320000000002</v>
      </c>
    </row>
    <row r="65" spans="1:19">
      <c r="A65" s="5">
        <v>64</v>
      </c>
      <c r="B65" s="5">
        <v>2505092797</v>
      </c>
      <c r="C65" s="5" t="s">
        <v>158</v>
      </c>
      <c r="D65" s="5" t="s">
        <v>159</v>
      </c>
      <c r="E65" s="5" t="s">
        <v>41</v>
      </c>
      <c r="F65" s="5" t="s">
        <v>41</v>
      </c>
      <c r="G65" s="5" t="s">
        <v>52</v>
      </c>
      <c r="H65" s="5" t="s">
        <v>132</v>
      </c>
      <c r="I65" s="5">
        <v>202500082</v>
      </c>
      <c r="J65" s="6">
        <v>45785</v>
      </c>
      <c r="K65" s="6">
        <v>45786</v>
      </c>
      <c r="L65" s="6">
        <v>45791</v>
      </c>
      <c r="M65" s="5" t="s">
        <v>53</v>
      </c>
      <c r="N65" s="5" t="s">
        <v>54</v>
      </c>
      <c r="O65" s="5" t="s">
        <v>41</v>
      </c>
      <c r="P65" s="5">
        <v>5</v>
      </c>
      <c r="Q65" s="7">
        <v>3943.5679999999998</v>
      </c>
      <c r="R65" s="7">
        <v>7000</v>
      </c>
      <c r="S65" s="8">
        <f t="shared" si="4"/>
        <v>3056.4320000000002</v>
      </c>
    </row>
    <row r="66" spans="1:19">
      <c r="A66" s="5">
        <v>65</v>
      </c>
      <c r="B66" s="5">
        <v>2505110586</v>
      </c>
      <c r="C66" s="5" t="s">
        <v>160</v>
      </c>
      <c r="D66" s="5" t="s">
        <v>161</v>
      </c>
      <c r="E66" s="5" t="s">
        <v>162</v>
      </c>
      <c r="F66" s="5" t="s">
        <v>51</v>
      </c>
      <c r="G66" s="5" t="s">
        <v>52</v>
      </c>
      <c r="H66" s="5" t="s">
        <v>132</v>
      </c>
      <c r="I66" s="5">
        <v>202500083</v>
      </c>
      <c r="J66" s="6">
        <v>45787</v>
      </c>
      <c r="K66" s="6">
        <v>45788</v>
      </c>
      <c r="L66" s="6">
        <v>45791</v>
      </c>
      <c r="M66" s="5" t="s">
        <v>53</v>
      </c>
      <c r="N66" s="5" t="s">
        <v>54</v>
      </c>
      <c r="O66" s="5" t="s">
        <v>41</v>
      </c>
      <c r="P66" s="5">
        <v>3</v>
      </c>
      <c r="Q66" s="7">
        <v>3943.5679999999998</v>
      </c>
      <c r="R66" s="7">
        <v>7000</v>
      </c>
      <c r="S66" s="8">
        <f t="shared" si="4"/>
        <v>3056.4320000000002</v>
      </c>
    </row>
    <row r="67" spans="1:19">
      <c r="A67" s="5">
        <v>66</v>
      </c>
      <c r="B67" s="26">
        <v>2504300552</v>
      </c>
      <c r="C67" s="26" t="s">
        <v>39</v>
      </c>
      <c r="D67" s="26" t="s">
        <v>40</v>
      </c>
      <c r="E67" s="26" t="s">
        <v>41</v>
      </c>
      <c r="F67" s="26" t="s">
        <v>42</v>
      </c>
      <c r="G67" s="26" t="s">
        <v>43</v>
      </c>
      <c r="H67" s="26" t="s">
        <v>132</v>
      </c>
      <c r="I67" s="26">
        <v>202500084</v>
      </c>
      <c r="J67" s="27">
        <v>45788</v>
      </c>
      <c r="K67" s="27">
        <v>45788</v>
      </c>
      <c r="L67" s="27">
        <v>45791</v>
      </c>
      <c r="M67" s="26" t="s">
        <v>45</v>
      </c>
      <c r="N67" s="26" t="s">
        <v>163</v>
      </c>
      <c r="O67" s="26" t="s">
        <v>164</v>
      </c>
      <c r="P67" s="26">
        <v>3</v>
      </c>
      <c r="Q67" s="28">
        <v>3943.5679999999998</v>
      </c>
      <c r="R67" s="28">
        <v>0</v>
      </c>
      <c r="S67" s="29">
        <f t="shared" si="4"/>
        <v>-3943.5679999999998</v>
      </c>
    </row>
    <row r="68" spans="1:19">
      <c r="A68" s="5">
        <v>67</v>
      </c>
      <c r="B68" s="5">
        <v>2505120095</v>
      </c>
      <c r="C68" s="5" t="s">
        <v>165</v>
      </c>
      <c r="D68" s="5" t="s">
        <v>89</v>
      </c>
      <c r="E68" s="5" t="s">
        <v>90</v>
      </c>
      <c r="F68" s="5" t="s">
        <v>79</v>
      </c>
      <c r="G68" s="5" t="s">
        <v>52</v>
      </c>
      <c r="H68" s="5" t="s">
        <v>132</v>
      </c>
      <c r="I68" s="5">
        <v>202500085</v>
      </c>
      <c r="J68" s="6">
        <v>45787</v>
      </c>
      <c r="K68" s="6">
        <v>45789</v>
      </c>
      <c r="L68" s="6">
        <v>45791</v>
      </c>
      <c r="M68" s="5" t="s">
        <v>53</v>
      </c>
      <c r="N68" s="5" t="s">
        <v>54</v>
      </c>
      <c r="O68" s="5" t="s">
        <v>41</v>
      </c>
      <c r="P68" s="5">
        <v>2</v>
      </c>
      <c r="Q68" s="7">
        <v>3943.5679999999998</v>
      </c>
      <c r="R68" s="7">
        <v>5500</v>
      </c>
      <c r="S68" s="8">
        <f t="shared" si="4"/>
        <v>1556.4320000000002</v>
      </c>
    </row>
    <row r="69" spans="1:19">
      <c r="A69" s="5">
        <v>68</v>
      </c>
      <c r="B69" s="5">
        <v>2505120274</v>
      </c>
      <c r="C69" s="5" t="s">
        <v>166</v>
      </c>
      <c r="D69" s="5" t="s">
        <v>167</v>
      </c>
      <c r="E69" s="5" t="s">
        <v>168</v>
      </c>
      <c r="F69" s="5" t="s">
        <v>169</v>
      </c>
      <c r="G69" s="5" t="s">
        <v>43</v>
      </c>
      <c r="H69" s="5" t="s">
        <v>132</v>
      </c>
      <c r="I69" s="5">
        <v>202500086</v>
      </c>
      <c r="J69" s="6">
        <v>45787</v>
      </c>
      <c r="K69" s="6">
        <v>45789</v>
      </c>
      <c r="L69" s="6">
        <v>45791</v>
      </c>
      <c r="M69" s="5" t="s">
        <v>53</v>
      </c>
      <c r="N69" s="5" t="s">
        <v>54</v>
      </c>
      <c r="O69" s="5" t="s">
        <v>41</v>
      </c>
      <c r="P69" s="5">
        <v>2</v>
      </c>
      <c r="Q69" s="7">
        <v>3943.5679999999998</v>
      </c>
      <c r="R69" s="7">
        <v>11000</v>
      </c>
      <c r="S69" s="8">
        <f t="shared" si="4"/>
        <v>7056.4320000000007</v>
      </c>
    </row>
    <row r="70" spans="1:19">
      <c r="A70" s="5">
        <v>69</v>
      </c>
      <c r="B70" s="5">
        <v>2505120282</v>
      </c>
      <c r="C70" s="5" t="s">
        <v>170</v>
      </c>
      <c r="D70" s="5" t="s">
        <v>64</v>
      </c>
      <c r="E70" s="5" t="s">
        <v>65</v>
      </c>
      <c r="F70" s="5" t="s">
        <v>66</v>
      </c>
      <c r="G70" s="5" t="s">
        <v>52</v>
      </c>
      <c r="H70" s="5" t="s">
        <v>132</v>
      </c>
      <c r="I70" s="5">
        <v>202500087</v>
      </c>
      <c r="J70" s="6">
        <v>45786</v>
      </c>
      <c r="K70" s="6">
        <v>45789</v>
      </c>
      <c r="L70" s="6">
        <v>45791</v>
      </c>
      <c r="M70" s="5" t="s">
        <v>53</v>
      </c>
      <c r="N70" s="5" t="s">
        <v>54</v>
      </c>
      <c r="O70" s="5" t="s">
        <v>41</v>
      </c>
      <c r="P70" s="5">
        <v>2</v>
      </c>
      <c r="Q70" s="7">
        <v>3943.5679999999998</v>
      </c>
      <c r="R70" s="7">
        <v>5500</v>
      </c>
      <c r="S70" s="8">
        <f t="shared" si="4"/>
        <v>1556.4320000000002</v>
      </c>
    </row>
    <row r="71" spans="1:19">
      <c r="A71" s="5">
        <v>70</v>
      </c>
      <c r="B71" s="5">
        <v>2505120289</v>
      </c>
      <c r="C71" s="5" t="s">
        <v>171</v>
      </c>
      <c r="D71" s="5" t="s">
        <v>64</v>
      </c>
      <c r="E71" s="5" t="s">
        <v>65</v>
      </c>
      <c r="F71" s="5" t="s">
        <v>66</v>
      </c>
      <c r="G71" s="5" t="s">
        <v>52</v>
      </c>
      <c r="H71" s="5" t="s">
        <v>132</v>
      </c>
      <c r="I71" s="5">
        <v>202500088</v>
      </c>
      <c r="J71" s="6">
        <v>45786</v>
      </c>
      <c r="K71" s="6">
        <v>45789</v>
      </c>
      <c r="L71" s="6">
        <v>45791</v>
      </c>
      <c r="M71" s="5" t="s">
        <v>53</v>
      </c>
      <c r="N71" s="5" t="s">
        <v>54</v>
      </c>
      <c r="O71" s="5" t="s">
        <v>41</v>
      </c>
      <c r="P71" s="5">
        <v>2</v>
      </c>
      <c r="Q71" s="7">
        <v>3943.5679999999998</v>
      </c>
      <c r="R71" s="7">
        <v>5500</v>
      </c>
      <c r="S71" s="8">
        <f t="shared" si="4"/>
        <v>1556.4320000000002</v>
      </c>
    </row>
    <row r="72" spans="1:19">
      <c r="A72" s="5">
        <v>71</v>
      </c>
      <c r="B72" s="5">
        <v>2505120303</v>
      </c>
      <c r="C72" s="5" t="s">
        <v>172</v>
      </c>
      <c r="D72" s="5" t="s">
        <v>64</v>
      </c>
      <c r="E72" s="5" t="s">
        <v>65</v>
      </c>
      <c r="F72" s="5" t="s">
        <v>66</v>
      </c>
      <c r="G72" s="5" t="s">
        <v>52</v>
      </c>
      <c r="H72" s="5" t="s">
        <v>132</v>
      </c>
      <c r="I72" s="5">
        <v>202500089</v>
      </c>
      <c r="J72" s="6">
        <v>45786</v>
      </c>
      <c r="K72" s="6">
        <v>45789</v>
      </c>
      <c r="L72" s="6">
        <v>45791</v>
      </c>
      <c r="M72" s="5" t="s">
        <v>53</v>
      </c>
      <c r="N72" s="5" t="s">
        <v>54</v>
      </c>
      <c r="O72" s="5" t="s">
        <v>41</v>
      </c>
      <c r="P72" s="5">
        <v>2</v>
      </c>
      <c r="Q72" s="7">
        <v>3943.5679999999998</v>
      </c>
      <c r="R72" s="7">
        <v>5500</v>
      </c>
      <c r="S72" s="8">
        <f t="shared" si="4"/>
        <v>1556.4320000000002</v>
      </c>
    </row>
    <row r="73" spans="1:19">
      <c r="A73" s="5">
        <v>72</v>
      </c>
      <c r="B73" s="5" t="s">
        <v>173</v>
      </c>
      <c r="C73" s="5"/>
      <c r="D73" s="5"/>
      <c r="E73" s="5"/>
      <c r="F73" s="5"/>
      <c r="G73" s="5" t="s">
        <v>52</v>
      </c>
      <c r="H73" s="5" t="s">
        <v>132</v>
      </c>
      <c r="I73" s="5"/>
      <c r="J73" s="5"/>
      <c r="K73" s="5"/>
      <c r="L73" s="5"/>
      <c r="M73" s="5"/>
      <c r="N73" s="5"/>
      <c r="O73" s="5"/>
      <c r="P73" s="5"/>
      <c r="Q73" s="7">
        <v>3943.5679999999998</v>
      </c>
      <c r="R73" s="7">
        <v>0</v>
      </c>
      <c r="S73" s="8">
        <f t="shared" si="4"/>
        <v>-3943.5679999999998</v>
      </c>
    </row>
    <row r="74" spans="1:19">
      <c r="A74" s="5">
        <v>73</v>
      </c>
      <c r="B74" s="5" t="s">
        <v>174</v>
      </c>
      <c r="C74" s="5"/>
      <c r="D74" s="5"/>
      <c r="E74" s="5"/>
      <c r="F74" s="5"/>
      <c r="G74" s="5" t="s">
        <v>52</v>
      </c>
      <c r="H74" s="5" t="s">
        <v>132</v>
      </c>
      <c r="I74" s="5"/>
      <c r="J74" s="5"/>
      <c r="K74" s="5"/>
      <c r="L74" s="5"/>
      <c r="M74" s="5"/>
      <c r="N74" s="5"/>
      <c r="O74" s="5"/>
      <c r="P74" s="5"/>
      <c r="Q74" s="7">
        <v>3943.5679999999998</v>
      </c>
      <c r="R74" s="7">
        <v>0</v>
      </c>
      <c r="S74" s="8">
        <f t="shared" si="4"/>
        <v>-3943.5679999999998</v>
      </c>
    </row>
    <row r="75" spans="1:19">
      <c r="A75" s="5">
        <v>74</v>
      </c>
      <c r="B75" s="5">
        <v>2505121200</v>
      </c>
      <c r="C75" s="5" t="s">
        <v>176</v>
      </c>
      <c r="D75" s="5" t="s">
        <v>177</v>
      </c>
      <c r="E75" s="5" t="s">
        <v>98</v>
      </c>
      <c r="F75" s="5" t="s">
        <v>71</v>
      </c>
      <c r="G75" s="5" t="s">
        <v>75</v>
      </c>
      <c r="H75" s="5" t="s">
        <v>175</v>
      </c>
      <c r="I75" s="5">
        <v>202500092</v>
      </c>
      <c r="J75" s="6">
        <v>45789</v>
      </c>
      <c r="K75" s="6">
        <v>45789</v>
      </c>
      <c r="L75" s="6">
        <v>45793</v>
      </c>
      <c r="M75" s="5" t="s">
        <v>53</v>
      </c>
      <c r="N75" s="5" t="s">
        <v>54</v>
      </c>
      <c r="O75" s="5" t="s">
        <v>41</v>
      </c>
      <c r="P75" s="5">
        <v>4</v>
      </c>
      <c r="Q75" s="7">
        <v>7205.3230769230768</v>
      </c>
      <c r="R75" s="7">
        <v>4900</v>
      </c>
      <c r="S75" s="8">
        <f t="shared" si="4"/>
        <v>-2305.3230769230768</v>
      </c>
    </row>
    <row r="76" spans="1:19">
      <c r="A76" s="5">
        <v>75</v>
      </c>
      <c r="B76" s="5">
        <v>2505130049</v>
      </c>
      <c r="C76" s="5" t="s">
        <v>178</v>
      </c>
      <c r="D76" s="5" t="s">
        <v>179</v>
      </c>
      <c r="E76" s="5" t="s">
        <v>180</v>
      </c>
      <c r="F76" s="5" t="s">
        <v>109</v>
      </c>
      <c r="G76" s="5" t="s">
        <v>52</v>
      </c>
      <c r="H76" s="5" t="s">
        <v>175</v>
      </c>
      <c r="I76" s="5">
        <v>202500093</v>
      </c>
      <c r="J76" s="6">
        <v>45789</v>
      </c>
      <c r="K76" s="6">
        <v>45790</v>
      </c>
      <c r="L76" s="6">
        <v>45793</v>
      </c>
      <c r="M76" s="5" t="s">
        <v>53</v>
      </c>
      <c r="N76" s="5" t="s">
        <v>54</v>
      </c>
      <c r="O76" s="5" t="s">
        <v>41</v>
      </c>
      <c r="P76" s="5">
        <v>3</v>
      </c>
      <c r="Q76" s="7">
        <v>7205.3230769230768</v>
      </c>
      <c r="R76" s="7">
        <v>6000</v>
      </c>
      <c r="S76" s="8">
        <f t="shared" si="4"/>
        <v>-1205.3230769230768</v>
      </c>
    </row>
    <row r="77" spans="1:19">
      <c r="A77" s="5">
        <v>76</v>
      </c>
      <c r="B77" s="5">
        <v>2505130050</v>
      </c>
      <c r="C77" s="5" t="s">
        <v>181</v>
      </c>
      <c r="D77" s="5" t="s">
        <v>153</v>
      </c>
      <c r="E77" s="5" t="s">
        <v>154</v>
      </c>
      <c r="F77" s="5" t="s">
        <v>141</v>
      </c>
      <c r="G77" s="5" t="s">
        <v>52</v>
      </c>
      <c r="H77" s="5" t="s">
        <v>175</v>
      </c>
      <c r="I77" s="5">
        <v>202500094</v>
      </c>
      <c r="J77" s="6">
        <v>45788</v>
      </c>
      <c r="K77" s="6">
        <v>45790</v>
      </c>
      <c r="L77" s="6">
        <v>45793</v>
      </c>
      <c r="M77" s="5" t="s">
        <v>53</v>
      </c>
      <c r="N77" s="5" t="s">
        <v>54</v>
      </c>
      <c r="O77" s="5" t="s">
        <v>41</v>
      </c>
      <c r="P77" s="5">
        <v>3</v>
      </c>
      <c r="Q77" s="7">
        <v>7205.3230769230768</v>
      </c>
      <c r="R77" s="7">
        <v>5500</v>
      </c>
      <c r="S77" s="8">
        <f t="shared" si="4"/>
        <v>-1705.3230769230768</v>
      </c>
    </row>
    <row r="78" spans="1:19">
      <c r="A78" s="5">
        <v>77</v>
      </c>
      <c r="B78" s="9">
        <v>2505130055</v>
      </c>
      <c r="C78" s="9" t="s">
        <v>182</v>
      </c>
      <c r="D78" s="9" t="s">
        <v>183</v>
      </c>
      <c r="E78" s="9" t="s">
        <v>184</v>
      </c>
      <c r="F78" s="9" t="s">
        <v>169</v>
      </c>
      <c r="G78" s="9" t="s">
        <v>52</v>
      </c>
      <c r="H78" s="9" t="s">
        <v>175</v>
      </c>
      <c r="I78" s="9">
        <v>202500095</v>
      </c>
      <c r="J78" s="10">
        <v>45788</v>
      </c>
      <c r="K78" s="10">
        <v>45790</v>
      </c>
      <c r="L78" s="10">
        <v>45793</v>
      </c>
      <c r="M78" s="9" t="s">
        <v>53</v>
      </c>
      <c r="N78" s="9" t="s">
        <v>94</v>
      </c>
      <c r="O78" s="9" t="s">
        <v>185</v>
      </c>
      <c r="P78" s="9">
        <v>3</v>
      </c>
      <c r="Q78" s="11">
        <v>7205.3230769230768</v>
      </c>
      <c r="R78" s="11">
        <v>6000</v>
      </c>
      <c r="S78" s="12">
        <f t="shared" si="4"/>
        <v>-1205.3230769230768</v>
      </c>
    </row>
    <row r="79" spans="1:19">
      <c r="A79" s="5">
        <v>78</v>
      </c>
      <c r="B79" s="5">
        <v>2505130056</v>
      </c>
      <c r="C79" s="5" t="s">
        <v>186</v>
      </c>
      <c r="D79" s="5" t="s">
        <v>153</v>
      </c>
      <c r="E79" s="5" t="s">
        <v>154</v>
      </c>
      <c r="F79" s="5" t="s">
        <v>141</v>
      </c>
      <c r="G79" s="5" t="s">
        <v>52</v>
      </c>
      <c r="H79" s="5" t="s">
        <v>175</v>
      </c>
      <c r="I79" s="5">
        <v>202500096</v>
      </c>
      <c r="J79" s="6">
        <v>45788</v>
      </c>
      <c r="K79" s="6">
        <v>45790</v>
      </c>
      <c r="L79" s="6">
        <v>45793</v>
      </c>
      <c r="M79" s="5" t="s">
        <v>53</v>
      </c>
      <c r="N79" s="5" t="s">
        <v>54</v>
      </c>
      <c r="O79" s="5" t="s">
        <v>41</v>
      </c>
      <c r="P79" s="5">
        <v>3</v>
      </c>
      <c r="Q79" s="7">
        <v>7205.3230769230768</v>
      </c>
      <c r="R79" s="7">
        <v>5500</v>
      </c>
      <c r="S79" s="8">
        <f t="shared" si="4"/>
        <v>-1705.3230769230768</v>
      </c>
    </row>
    <row r="80" spans="1:19">
      <c r="A80" s="5">
        <v>79</v>
      </c>
      <c r="B80" s="5">
        <v>2505132492</v>
      </c>
      <c r="C80" s="5" t="s">
        <v>187</v>
      </c>
      <c r="D80" s="5" t="s">
        <v>107</v>
      </c>
      <c r="E80" s="5" t="s">
        <v>108</v>
      </c>
      <c r="F80" s="5" t="s">
        <v>109</v>
      </c>
      <c r="G80" s="5" t="s">
        <v>52</v>
      </c>
      <c r="H80" s="5" t="s">
        <v>175</v>
      </c>
      <c r="I80" s="5">
        <v>202500097</v>
      </c>
      <c r="J80" s="6">
        <v>45789</v>
      </c>
      <c r="K80" s="6">
        <v>45790</v>
      </c>
      <c r="L80" s="6">
        <v>45793</v>
      </c>
      <c r="M80" s="5" t="s">
        <v>53</v>
      </c>
      <c r="N80" s="5" t="s">
        <v>54</v>
      </c>
      <c r="O80" s="5" t="s">
        <v>41</v>
      </c>
      <c r="P80" s="5">
        <v>3</v>
      </c>
      <c r="Q80" s="7">
        <v>7205.3230769230768</v>
      </c>
      <c r="R80" s="7">
        <v>5500</v>
      </c>
      <c r="S80" s="8">
        <f t="shared" si="4"/>
        <v>-1705.3230769230768</v>
      </c>
    </row>
    <row r="81" spans="1:19">
      <c r="A81" s="5">
        <v>80</v>
      </c>
      <c r="B81" s="13">
        <v>2505140059</v>
      </c>
      <c r="C81" s="13" t="s">
        <v>188</v>
      </c>
      <c r="D81" s="13" t="s">
        <v>189</v>
      </c>
      <c r="E81" s="13" t="s">
        <v>41</v>
      </c>
      <c r="F81" s="13" t="s">
        <v>79</v>
      </c>
      <c r="G81" s="13" t="s">
        <v>190</v>
      </c>
      <c r="H81" s="13" t="s">
        <v>175</v>
      </c>
      <c r="I81" s="13">
        <v>202500098</v>
      </c>
      <c r="J81" s="14">
        <v>45789</v>
      </c>
      <c r="K81" s="14">
        <v>45791</v>
      </c>
      <c r="L81" s="14">
        <v>45793</v>
      </c>
      <c r="M81" s="13" t="s">
        <v>45</v>
      </c>
      <c r="N81" s="13" t="s">
        <v>46</v>
      </c>
      <c r="O81" s="13" t="s">
        <v>191</v>
      </c>
      <c r="P81" s="13">
        <v>2</v>
      </c>
      <c r="Q81" s="15">
        <v>7205.3230769230768</v>
      </c>
      <c r="R81" s="15">
        <v>11000</v>
      </c>
      <c r="S81" s="16">
        <f t="shared" si="4"/>
        <v>3794.6769230769232</v>
      </c>
    </row>
    <row r="82" spans="1:19">
      <c r="A82" s="5">
        <v>81</v>
      </c>
      <c r="B82" s="5">
        <v>2505140630</v>
      </c>
      <c r="C82" s="5" t="s">
        <v>192</v>
      </c>
      <c r="D82" s="5" t="s">
        <v>64</v>
      </c>
      <c r="E82" s="5" t="s">
        <v>65</v>
      </c>
      <c r="F82" s="5" t="s">
        <v>66</v>
      </c>
      <c r="G82" s="5" t="s">
        <v>52</v>
      </c>
      <c r="H82" s="5" t="s">
        <v>175</v>
      </c>
      <c r="I82" s="5">
        <v>202500099</v>
      </c>
      <c r="J82" s="6">
        <v>45789</v>
      </c>
      <c r="K82" s="6">
        <v>45791</v>
      </c>
      <c r="L82" s="6">
        <v>45793</v>
      </c>
      <c r="M82" s="5" t="s">
        <v>53</v>
      </c>
      <c r="N82" s="5" t="s">
        <v>54</v>
      </c>
      <c r="O82" s="5" t="s">
        <v>41</v>
      </c>
      <c r="P82" s="5">
        <v>2</v>
      </c>
      <c r="Q82" s="7">
        <v>7205.3230769230768</v>
      </c>
      <c r="R82" s="7">
        <v>5500</v>
      </c>
      <c r="S82" s="8">
        <f t="shared" si="4"/>
        <v>-1705.3230769230768</v>
      </c>
    </row>
    <row r="83" spans="1:19">
      <c r="A83" s="5">
        <v>82</v>
      </c>
      <c r="B83" s="5">
        <v>2505140638</v>
      </c>
      <c r="C83" s="5" t="s">
        <v>193</v>
      </c>
      <c r="D83" s="5" t="s">
        <v>139</v>
      </c>
      <c r="E83" s="5" t="s">
        <v>140</v>
      </c>
      <c r="F83" s="5" t="s">
        <v>141</v>
      </c>
      <c r="G83" s="5" t="s">
        <v>52</v>
      </c>
      <c r="H83" s="5" t="s">
        <v>175</v>
      </c>
      <c r="I83" s="5">
        <v>202500100</v>
      </c>
      <c r="J83" s="6">
        <v>45789</v>
      </c>
      <c r="K83" s="6">
        <v>45791</v>
      </c>
      <c r="L83" s="6">
        <v>45793</v>
      </c>
      <c r="M83" s="5" t="s">
        <v>53</v>
      </c>
      <c r="N83" s="5" t="s">
        <v>54</v>
      </c>
      <c r="O83" s="5" t="s">
        <v>41</v>
      </c>
      <c r="P83" s="5">
        <v>2</v>
      </c>
      <c r="Q83" s="7">
        <v>7205.3230769230768</v>
      </c>
      <c r="R83" s="7">
        <v>6000</v>
      </c>
      <c r="S83" s="8">
        <f t="shared" si="4"/>
        <v>-1205.3230769230768</v>
      </c>
    </row>
    <row r="84" spans="1:19">
      <c r="A84" s="5">
        <v>83</v>
      </c>
      <c r="B84" s="5">
        <v>2505140230</v>
      </c>
      <c r="C84" s="5" t="s">
        <v>194</v>
      </c>
      <c r="D84" s="5" t="s">
        <v>40</v>
      </c>
      <c r="E84" s="5" t="s">
        <v>41</v>
      </c>
      <c r="F84" s="5" t="s">
        <v>42</v>
      </c>
      <c r="G84" s="5" t="s">
        <v>43</v>
      </c>
      <c r="H84" s="5" t="s">
        <v>175</v>
      </c>
      <c r="I84" s="5">
        <v>202500101</v>
      </c>
      <c r="J84" s="6">
        <v>45791</v>
      </c>
      <c r="K84" s="6">
        <v>45791</v>
      </c>
      <c r="L84" s="6">
        <v>45793</v>
      </c>
      <c r="M84" s="5" t="s">
        <v>53</v>
      </c>
      <c r="N84" s="5" t="s">
        <v>54</v>
      </c>
      <c r="O84" s="5" t="s">
        <v>41</v>
      </c>
      <c r="P84" s="5">
        <v>2</v>
      </c>
      <c r="Q84" s="7">
        <v>7205.3230769230768</v>
      </c>
      <c r="R84" s="7">
        <v>14500</v>
      </c>
      <c r="S84" s="8">
        <f t="shared" si="4"/>
        <v>7294.6769230769232</v>
      </c>
    </row>
    <row r="85" spans="1:19">
      <c r="A85" s="5">
        <v>84</v>
      </c>
      <c r="B85" s="13">
        <v>2505083603</v>
      </c>
      <c r="C85" s="13" t="s">
        <v>142</v>
      </c>
      <c r="D85" s="13" t="s">
        <v>86</v>
      </c>
      <c r="E85" s="13" t="s">
        <v>41</v>
      </c>
      <c r="F85" s="13" t="s">
        <v>87</v>
      </c>
      <c r="G85" s="13" t="s">
        <v>43</v>
      </c>
      <c r="H85" s="13" t="s">
        <v>175</v>
      </c>
      <c r="I85" s="13">
        <v>202500102</v>
      </c>
      <c r="J85" s="14">
        <v>45785</v>
      </c>
      <c r="K85" s="14">
        <v>45785</v>
      </c>
      <c r="L85" s="14">
        <v>45793</v>
      </c>
      <c r="M85" s="13" t="s">
        <v>45</v>
      </c>
      <c r="N85" s="13" t="s">
        <v>46</v>
      </c>
      <c r="O85" s="13" t="s">
        <v>195</v>
      </c>
      <c r="P85" s="13">
        <v>6</v>
      </c>
      <c r="Q85" s="15">
        <v>7205.3230769230768</v>
      </c>
      <c r="R85" s="15">
        <v>0</v>
      </c>
      <c r="S85" s="16">
        <f t="shared" si="4"/>
        <v>-7205.3230769230768</v>
      </c>
    </row>
    <row r="86" spans="1:19">
      <c r="A86" s="5">
        <v>85</v>
      </c>
      <c r="B86" s="5" t="s">
        <v>196</v>
      </c>
      <c r="C86" s="5"/>
      <c r="D86" s="5"/>
      <c r="E86" s="5"/>
      <c r="F86" s="5"/>
      <c r="G86" s="5" t="s">
        <v>52</v>
      </c>
      <c r="H86" s="5" t="s">
        <v>175</v>
      </c>
      <c r="I86" s="5"/>
      <c r="J86" s="5"/>
      <c r="K86" s="5"/>
      <c r="L86" s="5"/>
      <c r="M86" s="5"/>
      <c r="N86" s="5"/>
      <c r="O86" s="5"/>
      <c r="P86" s="5"/>
      <c r="Q86" s="7">
        <v>7205.3230769230768</v>
      </c>
      <c r="R86" s="7">
        <v>0</v>
      </c>
      <c r="S86" s="8">
        <f t="shared" si="4"/>
        <v>-7205.3230769230768</v>
      </c>
    </row>
    <row r="87" spans="1:19">
      <c r="A87" s="5">
        <v>86</v>
      </c>
      <c r="B87" s="5" t="s">
        <v>197</v>
      </c>
      <c r="C87" s="5"/>
      <c r="D87" s="5"/>
      <c r="E87" s="5"/>
      <c r="F87" s="5"/>
      <c r="G87" s="5" t="s">
        <v>52</v>
      </c>
      <c r="H87" s="5" t="s">
        <v>175</v>
      </c>
      <c r="I87" s="5"/>
      <c r="J87" s="5"/>
      <c r="K87" s="5"/>
      <c r="L87" s="5"/>
      <c r="M87" s="5"/>
      <c r="N87" s="5"/>
      <c r="O87" s="5"/>
      <c r="P87" s="5"/>
      <c r="Q87" s="7">
        <v>7205.3230769230768</v>
      </c>
      <c r="R87" s="7">
        <v>0</v>
      </c>
      <c r="S87" s="8">
        <f t="shared" si="4"/>
        <v>-7205.3230769230768</v>
      </c>
    </row>
    <row r="88" spans="1:19">
      <c r="A88" s="5">
        <v>87</v>
      </c>
      <c r="B88" s="5">
        <v>2505143209</v>
      </c>
      <c r="C88" s="5" t="s">
        <v>199</v>
      </c>
      <c r="D88" s="5" t="s">
        <v>200</v>
      </c>
      <c r="E88" s="5" t="s">
        <v>201</v>
      </c>
      <c r="F88" s="5" t="s">
        <v>202</v>
      </c>
      <c r="G88" s="5" t="s">
        <v>43</v>
      </c>
      <c r="H88" s="5" t="s">
        <v>203</v>
      </c>
      <c r="I88" s="5">
        <v>202500103</v>
      </c>
      <c r="J88" s="6">
        <v>45791</v>
      </c>
      <c r="K88" s="6">
        <v>45791</v>
      </c>
      <c r="L88" s="6">
        <v>45797</v>
      </c>
      <c r="M88" s="5" t="s">
        <v>53</v>
      </c>
      <c r="N88" s="5" t="s">
        <v>54</v>
      </c>
      <c r="O88" s="5" t="s">
        <v>41</v>
      </c>
      <c r="P88" s="30">
        <v>6</v>
      </c>
      <c r="Q88" s="7">
        <v>3807.6615384615384</v>
      </c>
      <c r="R88" s="7">
        <v>13500</v>
      </c>
      <c r="S88" s="8">
        <f t="shared" si="4"/>
        <v>9692.3384615384621</v>
      </c>
    </row>
    <row r="89" spans="1:19">
      <c r="A89" s="5">
        <v>88</v>
      </c>
      <c r="B89" s="5">
        <v>2505143218</v>
      </c>
      <c r="C89" s="5" t="s">
        <v>204</v>
      </c>
      <c r="D89" s="5" t="s">
        <v>107</v>
      </c>
      <c r="E89" s="5" t="s">
        <v>205</v>
      </c>
      <c r="F89" s="5" t="s">
        <v>109</v>
      </c>
      <c r="G89" s="5" t="s">
        <v>52</v>
      </c>
      <c r="H89" s="5" t="s">
        <v>203</v>
      </c>
      <c r="I89" s="5">
        <v>202500104</v>
      </c>
      <c r="J89" s="6">
        <v>45790</v>
      </c>
      <c r="K89" s="6">
        <v>45791</v>
      </c>
      <c r="L89" s="6">
        <v>45797</v>
      </c>
      <c r="M89" s="5" t="s">
        <v>53</v>
      </c>
      <c r="N89" s="5" t="s">
        <v>54</v>
      </c>
      <c r="O89" s="5" t="s">
        <v>41</v>
      </c>
      <c r="P89" s="30">
        <v>6</v>
      </c>
      <c r="Q89" s="7">
        <v>3807.6615384615384</v>
      </c>
      <c r="R89" s="7">
        <v>5500</v>
      </c>
      <c r="S89" s="8">
        <f t="shared" si="4"/>
        <v>1692.3384615384616</v>
      </c>
    </row>
    <row r="90" spans="1:19">
      <c r="A90" s="5">
        <v>89</v>
      </c>
      <c r="B90" s="17">
        <v>2505150086</v>
      </c>
      <c r="C90" s="17" t="s">
        <v>206</v>
      </c>
      <c r="D90" s="17" t="s">
        <v>64</v>
      </c>
      <c r="E90" s="17" t="s">
        <v>65</v>
      </c>
      <c r="F90" s="17" t="s">
        <v>66</v>
      </c>
      <c r="G90" s="17" t="s">
        <v>52</v>
      </c>
      <c r="H90" s="17" t="s">
        <v>203</v>
      </c>
      <c r="I90" s="17">
        <v>202500105</v>
      </c>
      <c r="J90" s="18">
        <v>45790</v>
      </c>
      <c r="K90" s="18">
        <v>45792</v>
      </c>
      <c r="L90" s="18">
        <v>45797</v>
      </c>
      <c r="M90" s="17" t="s">
        <v>53</v>
      </c>
      <c r="N90" s="17" t="s">
        <v>198</v>
      </c>
      <c r="O90" s="17" t="s">
        <v>207</v>
      </c>
      <c r="P90" s="31">
        <v>5</v>
      </c>
      <c r="Q90" s="19">
        <v>3807.6615384615384</v>
      </c>
      <c r="R90" s="19">
        <v>5500</v>
      </c>
      <c r="S90" s="20">
        <f t="shared" si="4"/>
        <v>1692.3384615384616</v>
      </c>
    </row>
    <row r="91" spans="1:19">
      <c r="A91" s="5">
        <v>90</v>
      </c>
      <c r="B91" s="5">
        <v>2505150091</v>
      </c>
      <c r="C91" s="5" t="s">
        <v>208</v>
      </c>
      <c r="D91" s="5" t="s">
        <v>64</v>
      </c>
      <c r="E91" s="5" t="s">
        <v>65</v>
      </c>
      <c r="F91" s="5" t="s">
        <v>66</v>
      </c>
      <c r="G91" s="5" t="s">
        <v>52</v>
      </c>
      <c r="H91" s="5" t="s">
        <v>203</v>
      </c>
      <c r="I91" s="5">
        <v>202500106</v>
      </c>
      <c r="J91" s="6">
        <v>45790</v>
      </c>
      <c r="K91" s="6">
        <v>45792</v>
      </c>
      <c r="L91" s="6">
        <v>45797</v>
      </c>
      <c r="M91" s="5" t="s">
        <v>53</v>
      </c>
      <c r="N91" s="5" t="s">
        <v>54</v>
      </c>
      <c r="O91" s="5" t="s">
        <v>41</v>
      </c>
      <c r="P91" s="30">
        <v>5</v>
      </c>
      <c r="Q91" s="7">
        <v>3807.6615384615384</v>
      </c>
      <c r="R91" s="7">
        <v>5500</v>
      </c>
      <c r="S91" s="8">
        <f t="shared" si="4"/>
        <v>1692.3384615384616</v>
      </c>
    </row>
    <row r="92" spans="1:19">
      <c r="A92" s="5">
        <v>91</v>
      </c>
      <c r="B92" s="5">
        <v>2505150096</v>
      </c>
      <c r="C92" s="5" t="s">
        <v>209</v>
      </c>
      <c r="D92" s="5" t="s">
        <v>64</v>
      </c>
      <c r="E92" s="5" t="s">
        <v>65</v>
      </c>
      <c r="F92" s="5" t="s">
        <v>66</v>
      </c>
      <c r="G92" s="5" t="s">
        <v>52</v>
      </c>
      <c r="H92" s="5" t="s">
        <v>203</v>
      </c>
      <c r="I92" s="5">
        <v>202500107</v>
      </c>
      <c r="J92" s="6">
        <v>45791</v>
      </c>
      <c r="K92" s="6">
        <v>45792</v>
      </c>
      <c r="L92" s="6">
        <v>45797</v>
      </c>
      <c r="M92" s="5" t="s">
        <v>53</v>
      </c>
      <c r="N92" s="5" t="s">
        <v>54</v>
      </c>
      <c r="O92" s="5" t="s">
        <v>41</v>
      </c>
      <c r="P92" s="30">
        <v>5</v>
      </c>
      <c r="Q92" s="7">
        <v>3807.6615384615384</v>
      </c>
      <c r="R92" s="7">
        <v>5500</v>
      </c>
      <c r="S92" s="8">
        <f t="shared" si="4"/>
        <v>1692.3384615384616</v>
      </c>
    </row>
    <row r="93" spans="1:19">
      <c r="A93" s="5">
        <v>92</v>
      </c>
      <c r="B93" s="5">
        <v>2505150098</v>
      </c>
      <c r="C93" s="5" t="s">
        <v>210</v>
      </c>
      <c r="D93" s="5" t="s">
        <v>64</v>
      </c>
      <c r="E93" s="5" t="s">
        <v>65</v>
      </c>
      <c r="F93" s="5" t="s">
        <v>66</v>
      </c>
      <c r="G93" s="5" t="s">
        <v>52</v>
      </c>
      <c r="H93" s="5" t="s">
        <v>203</v>
      </c>
      <c r="I93" s="5">
        <v>202500108</v>
      </c>
      <c r="J93" s="6">
        <v>45790</v>
      </c>
      <c r="K93" s="6">
        <v>45792</v>
      </c>
      <c r="L93" s="6">
        <v>45797</v>
      </c>
      <c r="M93" s="5" t="s">
        <v>53</v>
      </c>
      <c r="N93" s="5" t="s">
        <v>54</v>
      </c>
      <c r="O93" s="5" t="s">
        <v>41</v>
      </c>
      <c r="P93" s="30">
        <v>5</v>
      </c>
      <c r="Q93" s="7">
        <v>3807.6615384615384</v>
      </c>
      <c r="R93" s="7">
        <v>5500</v>
      </c>
      <c r="S93" s="8">
        <f t="shared" si="4"/>
        <v>1692.3384615384616</v>
      </c>
    </row>
    <row r="94" spans="1:19">
      <c r="A94" s="5">
        <v>93</v>
      </c>
      <c r="B94" s="5">
        <v>2505150779</v>
      </c>
      <c r="C94" s="5" t="s">
        <v>211</v>
      </c>
      <c r="D94" s="5" t="s">
        <v>77</v>
      </c>
      <c r="E94" s="5" t="s">
        <v>78</v>
      </c>
      <c r="F94" s="5" t="s">
        <v>79</v>
      </c>
      <c r="G94" s="5" t="s">
        <v>52</v>
      </c>
      <c r="H94" s="5" t="s">
        <v>203</v>
      </c>
      <c r="I94" s="5">
        <v>202500109</v>
      </c>
      <c r="J94" s="6">
        <v>45790</v>
      </c>
      <c r="K94" s="6">
        <v>45792</v>
      </c>
      <c r="L94" s="6">
        <v>45797</v>
      </c>
      <c r="M94" s="5" t="s">
        <v>53</v>
      </c>
      <c r="N94" s="5" t="s">
        <v>54</v>
      </c>
      <c r="O94" s="5" t="s">
        <v>41</v>
      </c>
      <c r="P94" s="30">
        <v>5</v>
      </c>
      <c r="Q94" s="7">
        <v>3807.6615384615384</v>
      </c>
      <c r="R94" s="7">
        <v>5500</v>
      </c>
      <c r="S94" s="8">
        <f t="shared" si="4"/>
        <v>1692.3384615384616</v>
      </c>
    </row>
    <row r="95" spans="1:19">
      <c r="A95" s="5">
        <v>94</v>
      </c>
      <c r="B95" s="5">
        <v>2505153180</v>
      </c>
      <c r="C95" s="5" t="s">
        <v>212</v>
      </c>
      <c r="D95" s="5" t="s">
        <v>49</v>
      </c>
      <c r="E95" s="5" t="s">
        <v>50</v>
      </c>
      <c r="F95" s="5" t="s">
        <v>51</v>
      </c>
      <c r="G95" s="5" t="s">
        <v>75</v>
      </c>
      <c r="H95" s="5" t="s">
        <v>203</v>
      </c>
      <c r="I95" s="5">
        <v>202500110</v>
      </c>
      <c r="J95" s="6">
        <v>45790</v>
      </c>
      <c r="K95" s="6">
        <v>45792</v>
      </c>
      <c r="L95" s="6">
        <v>45797</v>
      </c>
      <c r="M95" s="5" t="s">
        <v>53</v>
      </c>
      <c r="N95" s="5" t="s">
        <v>54</v>
      </c>
      <c r="O95" s="5" t="s">
        <v>213</v>
      </c>
      <c r="P95" s="30">
        <v>5</v>
      </c>
      <c r="Q95" s="7">
        <v>3807.6615384615384</v>
      </c>
      <c r="R95" s="7">
        <v>4500</v>
      </c>
      <c r="S95" s="8">
        <f t="shared" si="4"/>
        <v>692.33846153846162</v>
      </c>
    </row>
    <row r="96" spans="1:19">
      <c r="A96" s="5">
        <v>95</v>
      </c>
      <c r="B96" s="5">
        <v>2505160322</v>
      </c>
      <c r="C96" s="5" t="s">
        <v>214</v>
      </c>
      <c r="D96" s="5" t="s">
        <v>215</v>
      </c>
      <c r="E96" s="5" t="s">
        <v>216</v>
      </c>
      <c r="F96" s="5" t="s">
        <v>109</v>
      </c>
      <c r="G96" s="5" t="s">
        <v>52</v>
      </c>
      <c r="H96" s="5" t="s">
        <v>203</v>
      </c>
      <c r="I96" s="5">
        <v>202500111</v>
      </c>
      <c r="J96" s="6">
        <v>45792</v>
      </c>
      <c r="K96" s="6">
        <v>45793</v>
      </c>
      <c r="L96" s="6">
        <v>45797</v>
      </c>
      <c r="M96" s="5" t="s">
        <v>53</v>
      </c>
      <c r="N96" s="5" t="s">
        <v>54</v>
      </c>
      <c r="O96" s="5" t="s">
        <v>41</v>
      </c>
      <c r="P96" s="30">
        <v>4</v>
      </c>
      <c r="Q96" s="7">
        <v>3807.6615384615384</v>
      </c>
      <c r="R96" s="7">
        <v>6000</v>
      </c>
      <c r="S96" s="8">
        <f t="shared" si="4"/>
        <v>2192.3384615384616</v>
      </c>
    </row>
    <row r="97" spans="1:19">
      <c r="A97" s="5">
        <v>96</v>
      </c>
      <c r="B97" s="5">
        <v>2505160329</v>
      </c>
      <c r="C97" s="5" t="s">
        <v>217</v>
      </c>
      <c r="D97" s="5" t="s">
        <v>218</v>
      </c>
      <c r="E97" s="5" t="s">
        <v>219</v>
      </c>
      <c r="F97" s="5" t="s">
        <v>51</v>
      </c>
      <c r="G97" s="5" t="s">
        <v>52</v>
      </c>
      <c r="H97" s="5" t="s">
        <v>203</v>
      </c>
      <c r="I97" s="5">
        <v>202500112</v>
      </c>
      <c r="J97" s="6">
        <v>45790</v>
      </c>
      <c r="K97" s="6">
        <v>45793</v>
      </c>
      <c r="L97" s="6">
        <v>45797</v>
      </c>
      <c r="M97" s="5" t="s">
        <v>53</v>
      </c>
      <c r="N97" s="5" t="s">
        <v>54</v>
      </c>
      <c r="O97" s="5" t="s">
        <v>41</v>
      </c>
      <c r="P97" s="30">
        <v>4</v>
      </c>
      <c r="Q97" s="7">
        <v>3807.6615384615384</v>
      </c>
      <c r="R97" s="7">
        <v>5500</v>
      </c>
      <c r="S97" s="8">
        <f t="shared" si="4"/>
        <v>1692.3384615384616</v>
      </c>
    </row>
    <row r="98" spans="1:19">
      <c r="A98" s="5">
        <v>97</v>
      </c>
      <c r="B98" s="5">
        <v>2505160858</v>
      </c>
      <c r="C98" s="5" t="s">
        <v>220</v>
      </c>
      <c r="D98" s="5" t="s">
        <v>64</v>
      </c>
      <c r="E98" s="5" t="s">
        <v>65</v>
      </c>
      <c r="F98" s="5" t="s">
        <v>66</v>
      </c>
      <c r="G98" s="5" t="s">
        <v>52</v>
      </c>
      <c r="H98" s="5" t="s">
        <v>203</v>
      </c>
      <c r="I98" s="5">
        <v>202500113</v>
      </c>
      <c r="J98" s="6">
        <v>45791</v>
      </c>
      <c r="K98" s="6">
        <v>45793</v>
      </c>
      <c r="L98" s="6">
        <v>45797</v>
      </c>
      <c r="M98" s="5" t="s">
        <v>53</v>
      </c>
      <c r="N98" s="5" t="s">
        <v>54</v>
      </c>
      <c r="O98" s="5" t="s">
        <v>41</v>
      </c>
      <c r="P98" s="30">
        <v>4</v>
      </c>
      <c r="Q98" s="7">
        <v>3807.6615384615384</v>
      </c>
      <c r="R98" s="7">
        <v>5500</v>
      </c>
      <c r="S98" s="8">
        <f t="shared" si="4"/>
        <v>1692.3384615384616</v>
      </c>
    </row>
    <row r="99" spans="1:19">
      <c r="A99" s="5">
        <v>98</v>
      </c>
      <c r="B99" s="5">
        <v>2505160808</v>
      </c>
      <c r="C99" s="5" t="s">
        <v>221</v>
      </c>
      <c r="D99" s="5" t="s">
        <v>222</v>
      </c>
      <c r="E99" s="5" t="s">
        <v>41</v>
      </c>
      <c r="F99" s="5" t="s">
        <v>42</v>
      </c>
      <c r="G99" s="5" t="s">
        <v>75</v>
      </c>
      <c r="H99" s="5" t="s">
        <v>203</v>
      </c>
      <c r="I99" s="5">
        <v>202500114</v>
      </c>
      <c r="J99" s="6">
        <v>45793</v>
      </c>
      <c r="K99" s="6">
        <v>45793</v>
      </c>
      <c r="L99" s="6">
        <v>45797</v>
      </c>
      <c r="M99" s="5" t="s">
        <v>53</v>
      </c>
      <c r="N99" s="5" t="s">
        <v>54</v>
      </c>
      <c r="O99" s="5" t="s">
        <v>41</v>
      </c>
      <c r="P99" s="30">
        <v>4</v>
      </c>
      <c r="Q99" s="7">
        <v>3807.6615384615384</v>
      </c>
      <c r="R99" s="7">
        <v>6500</v>
      </c>
      <c r="S99" s="8">
        <f t="shared" si="4"/>
        <v>2692.3384615384616</v>
      </c>
    </row>
    <row r="100" spans="1:19">
      <c r="A100" s="5">
        <v>99</v>
      </c>
      <c r="B100" s="5">
        <v>2505160817</v>
      </c>
      <c r="C100" s="5" t="s">
        <v>223</v>
      </c>
      <c r="D100" s="5" t="s">
        <v>222</v>
      </c>
      <c r="E100" s="5" t="s">
        <v>41</v>
      </c>
      <c r="F100" s="5" t="s">
        <v>42</v>
      </c>
      <c r="G100" s="5" t="s">
        <v>75</v>
      </c>
      <c r="H100" s="5" t="s">
        <v>203</v>
      </c>
      <c r="I100" s="5">
        <v>202500115</v>
      </c>
      <c r="J100" s="6">
        <v>45793</v>
      </c>
      <c r="K100" s="6">
        <v>45793</v>
      </c>
      <c r="L100" s="6">
        <v>45797</v>
      </c>
      <c r="M100" s="5" t="s">
        <v>53</v>
      </c>
      <c r="N100" s="5" t="s">
        <v>54</v>
      </c>
      <c r="O100" s="5" t="s">
        <v>41</v>
      </c>
      <c r="P100" s="30">
        <v>4</v>
      </c>
      <c r="Q100" s="7">
        <v>3807.6615384615384</v>
      </c>
      <c r="R100" s="7">
        <v>6500</v>
      </c>
      <c r="S100" s="8">
        <f t="shared" si="4"/>
        <v>2692.3384615384616</v>
      </c>
    </row>
    <row r="101" spans="1:19">
      <c r="A101" s="5">
        <v>100</v>
      </c>
      <c r="B101" s="5">
        <v>2505160776</v>
      </c>
      <c r="C101" s="5" t="s">
        <v>224</v>
      </c>
      <c r="D101" s="5" t="s">
        <v>222</v>
      </c>
      <c r="E101" s="5" t="s">
        <v>41</v>
      </c>
      <c r="F101" s="5" t="s">
        <v>42</v>
      </c>
      <c r="G101" s="5" t="s">
        <v>75</v>
      </c>
      <c r="H101" s="5" t="s">
        <v>203</v>
      </c>
      <c r="I101" s="5">
        <v>202500116</v>
      </c>
      <c r="J101" s="6">
        <v>45793</v>
      </c>
      <c r="K101" s="6">
        <v>45793</v>
      </c>
      <c r="L101" s="6">
        <v>45797</v>
      </c>
      <c r="M101" s="5" t="s">
        <v>53</v>
      </c>
      <c r="N101" s="5" t="s">
        <v>54</v>
      </c>
      <c r="O101" s="5" t="s">
        <v>41</v>
      </c>
      <c r="P101" s="30">
        <v>4</v>
      </c>
      <c r="Q101" s="7">
        <v>3807.6615384615384</v>
      </c>
      <c r="R101" s="7">
        <v>6500</v>
      </c>
      <c r="S101" s="8">
        <f t="shared" si="4"/>
        <v>2692.3384615384616</v>
      </c>
    </row>
    <row r="102" spans="1:19">
      <c r="A102" s="5">
        <v>101</v>
      </c>
      <c r="B102" s="5">
        <v>2505160795</v>
      </c>
      <c r="C102" s="5" t="s">
        <v>225</v>
      </c>
      <c r="D102" s="5" t="s">
        <v>222</v>
      </c>
      <c r="E102" s="5" t="s">
        <v>41</v>
      </c>
      <c r="F102" s="5" t="s">
        <v>42</v>
      </c>
      <c r="G102" s="5" t="s">
        <v>75</v>
      </c>
      <c r="H102" s="5" t="s">
        <v>203</v>
      </c>
      <c r="I102" s="5">
        <v>202500117</v>
      </c>
      <c r="J102" s="6">
        <v>45793</v>
      </c>
      <c r="K102" s="6">
        <v>45793</v>
      </c>
      <c r="L102" s="6">
        <v>45797</v>
      </c>
      <c r="M102" s="5" t="s">
        <v>53</v>
      </c>
      <c r="N102" s="5" t="s">
        <v>54</v>
      </c>
      <c r="O102" s="5" t="s">
        <v>41</v>
      </c>
      <c r="P102" s="30">
        <v>4</v>
      </c>
      <c r="Q102" s="7">
        <v>3807.6615384615384</v>
      </c>
      <c r="R102" s="7">
        <v>6500</v>
      </c>
      <c r="S102" s="8">
        <f t="shared" si="4"/>
        <v>2692.3384615384616</v>
      </c>
    </row>
    <row r="103" spans="1:19">
      <c r="A103" s="5">
        <v>102</v>
      </c>
      <c r="B103" s="5">
        <v>2505163107</v>
      </c>
      <c r="C103" s="5" t="s">
        <v>226</v>
      </c>
      <c r="D103" s="5" t="s">
        <v>153</v>
      </c>
      <c r="E103" s="5" t="s">
        <v>154</v>
      </c>
      <c r="F103" s="5" t="s">
        <v>141</v>
      </c>
      <c r="G103" s="5" t="s">
        <v>52</v>
      </c>
      <c r="H103" s="5" t="s">
        <v>203</v>
      </c>
      <c r="I103" s="5">
        <v>202500118</v>
      </c>
      <c r="J103" s="6">
        <v>45792</v>
      </c>
      <c r="K103" s="6">
        <v>45793</v>
      </c>
      <c r="L103" s="6">
        <v>45797</v>
      </c>
      <c r="M103" s="5" t="s">
        <v>53</v>
      </c>
      <c r="N103" s="5" t="s">
        <v>54</v>
      </c>
      <c r="O103" s="5" t="s">
        <v>41</v>
      </c>
      <c r="P103" s="30">
        <v>4</v>
      </c>
      <c r="Q103" s="7">
        <v>3807.6615384615384</v>
      </c>
      <c r="R103" s="7">
        <v>5500</v>
      </c>
      <c r="S103" s="8">
        <f t="shared" si="4"/>
        <v>1692.3384615384616</v>
      </c>
    </row>
    <row r="104" spans="1:19">
      <c r="A104" s="5">
        <v>103</v>
      </c>
      <c r="B104" s="5">
        <v>2505163114</v>
      </c>
      <c r="C104" s="5" t="s">
        <v>227</v>
      </c>
      <c r="D104" s="5" t="s">
        <v>228</v>
      </c>
      <c r="E104" s="5" t="s">
        <v>229</v>
      </c>
      <c r="F104" s="5" t="s">
        <v>169</v>
      </c>
      <c r="G104" s="5" t="s">
        <v>52</v>
      </c>
      <c r="H104" s="5" t="s">
        <v>203</v>
      </c>
      <c r="I104" s="5">
        <v>202500119</v>
      </c>
      <c r="J104" s="6">
        <v>45792</v>
      </c>
      <c r="K104" s="6">
        <v>45793</v>
      </c>
      <c r="L104" s="6">
        <v>45797</v>
      </c>
      <c r="M104" s="5" t="s">
        <v>53</v>
      </c>
      <c r="N104" s="5" t="s">
        <v>54</v>
      </c>
      <c r="O104" s="5" t="s">
        <v>41</v>
      </c>
      <c r="P104" s="30">
        <v>4</v>
      </c>
      <c r="Q104" s="7">
        <v>3807.6615384615384</v>
      </c>
      <c r="R104" s="7">
        <v>6000</v>
      </c>
      <c r="S104" s="8">
        <f t="shared" si="4"/>
        <v>2192.3384615384616</v>
      </c>
    </row>
    <row r="105" spans="1:19">
      <c r="A105" s="5">
        <v>104</v>
      </c>
      <c r="B105" s="5">
        <v>2505163119</v>
      </c>
      <c r="C105" s="5" t="s">
        <v>230</v>
      </c>
      <c r="D105" s="5" t="s">
        <v>228</v>
      </c>
      <c r="E105" s="5" t="s">
        <v>229</v>
      </c>
      <c r="F105" s="5" t="s">
        <v>169</v>
      </c>
      <c r="G105" s="5" t="s">
        <v>52</v>
      </c>
      <c r="H105" s="5" t="s">
        <v>203</v>
      </c>
      <c r="I105" s="5">
        <v>202500120</v>
      </c>
      <c r="J105" s="6">
        <v>45792</v>
      </c>
      <c r="K105" s="6">
        <v>45793</v>
      </c>
      <c r="L105" s="6">
        <v>45797</v>
      </c>
      <c r="M105" s="5" t="s">
        <v>53</v>
      </c>
      <c r="N105" s="5" t="s">
        <v>54</v>
      </c>
      <c r="O105" s="5" t="s">
        <v>41</v>
      </c>
      <c r="P105" s="30">
        <v>4</v>
      </c>
      <c r="Q105" s="7">
        <v>3807.6615384615384</v>
      </c>
      <c r="R105" s="7">
        <v>6000</v>
      </c>
      <c r="S105" s="8">
        <f t="shared" si="4"/>
        <v>2192.3384615384616</v>
      </c>
    </row>
    <row r="106" spans="1:19">
      <c r="A106" s="5">
        <v>105</v>
      </c>
      <c r="B106" s="5">
        <v>2505170233</v>
      </c>
      <c r="C106" s="5" t="s">
        <v>231</v>
      </c>
      <c r="D106" s="5" t="s">
        <v>73</v>
      </c>
      <c r="E106" s="5" t="s">
        <v>232</v>
      </c>
      <c r="F106" s="5" t="s">
        <v>71</v>
      </c>
      <c r="G106" s="5" t="s">
        <v>52</v>
      </c>
      <c r="H106" s="5" t="s">
        <v>203</v>
      </c>
      <c r="I106" s="5">
        <v>202500121</v>
      </c>
      <c r="J106" s="6">
        <v>45793</v>
      </c>
      <c r="K106" s="6">
        <v>45794</v>
      </c>
      <c r="L106" s="6">
        <v>45797</v>
      </c>
      <c r="M106" s="5" t="s">
        <v>53</v>
      </c>
      <c r="N106" s="5" t="s">
        <v>54</v>
      </c>
      <c r="O106" s="5" t="s">
        <v>41</v>
      </c>
      <c r="P106" s="30">
        <v>3</v>
      </c>
      <c r="Q106" s="7">
        <v>3807.6615384615384</v>
      </c>
      <c r="R106" s="7">
        <v>8000</v>
      </c>
      <c r="S106" s="8">
        <f t="shared" si="4"/>
        <v>4192.3384615384621</v>
      </c>
    </row>
    <row r="107" spans="1:19">
      <c r="A107" s="5">
        <v>106</v>
      </c>
      <c r="B107" s="5">
        <v>2505170240</v>
      </c>
      <c r="C107" s="5" t="s">
        <v>233</v>
      </c>
      <c r="D107" s="5" t="s">
        <v>107</v>
      </c>
      <c r="E107" s="5" t="s">
        <v>108</v>
      </c>
      <c r="F107" s="5" t="s">
        <v>109</v>
      </c>
      <c r="G107" s="5" t="s">
        <v>52</v>
      </c>
      <c r="H107" s="5" t="s">
        <v>203</v>
      </c>
      <c r="I107" s="5">
        <v>202500122</v>
      </c>
      <c r="J107" s="6">
        <v>45792</v>
      </c>
      <c r="K107" s="6">
        <v>45794</v>
      </c>
      <c r="L107" s="6">
        <v>45797</v>
      </c>
      <c r="M107" s="5" t="s">
        <v>53</v>
      </c>
      <c r="N107" s="5" t="s">
        <v>54</v>
      </c>
      <c r="O107" s="5" t="s">
        <v>41</v>
      </c>
      <c r="P107" s="30">
        <v>3</v>
      </c>
      <c r="Q107" s="7">
        <v>3807.6615384615384</v>
      </c>
      <c r="R107" s="7">
        <v>5500</v>
      </c>
      <c r="S107" s="8">
        <f t="shared" si="4"/>
        <v>1692.3384615384616</v>
      </c>
    </row>
    <row r="108" spans="1:19">
      <c r="A108" s="5">
        <v>107</v>
      </c>
      <c r="B108" s="9">
        <v>2505170031</v>
      </c>
      <c r="C108" s="9" t="s">
        <v>234</v>
      </c>
      <c r="D108" s="9" t="s">
        <v>222</v>
      </c>
      <c r="E108" s="9" t="s">
        <v>41</v>
      </c>
      <c r="F108" s="9" t="s">
        <v>42</v>
      </c>
      <c r="G108" s="9" t="s">
        <v>43</v>
      </c>
      <c r="H108" s="9" t="s">
        <v>203</v>
      </c>
      <c r="I108" s="9">
        <v>202500123</v>
      </c>
      <c r="J108" s="10">
        <v>45794</v>
      </c>
      <c r="K108" s="10">
        <v>45794</v>
      </c>
      <c r="L108" s="10">
        <v>45797</v>
      </c>
      <c r="M108" s="9" t="s">
        <v>45</v>
      </c>
      <c r="N108" s="9" t="s">
        <v>94</v>
      </c>
      <c r="O108" s="9" t="s">
        <v>235</v>
      </c>
      <c r="P108" s="32">
        <v>3</v>
      </c>
      <c r="Q108" s="11">
        <v>3807.6615384615384</v>
      </c>
      <c r="R108" s="11">
        <v>11600</v>
      </c>
      <c r="S108" s="12">
        <f t="shared" si="4"/>
        <v>7792.3384615384621</v>
      </c>
    </row>
    <row r="109" spans="1:19">
      <c r="A109" s="5">
        <v>108</v>
      </c>
      <c r="B109" s="5">
        <v>2505172414</v>
      </c>
      <c r="C109" s="5" t="s">
        <v>236</v>
      </c>
      <c r="D109" s="5" t="s">
        <v>73</v>
      </c>
      <c r="E109" s="5" t="s">
        <v>237</v>
      </c>
      <c r="F109" s="5" t="s">
        <v>71</v>
      </c>
      <c r="G109" s="5" t="s">
        <v>43</v>
      </c>
      <c r="H109" s="5" t="s">
        <v>203</v>
      </c>
      <c r="I109" s="5">
        <v>202500124</v>
      </c>
      <c r="J109" s="6">
        <v>45794</v>
      </c>
      <c r="K109" s="6">
        <v>45794</v>
      </c>
      <c r="L109" s="6">
        <v>45797</v>
      </c>
      <c r="M109" s="5" t="s">
        <v>53</v>
      </c>
      <c r="N109" s="5" t="s">
        <v>54</v>
      </c>
      <c r="O109" s="5" t="s">
        <v>41</v>
      </c>
      <c r="P109" s="30">
        <v>3</v>
      </c>
      <c r="Q109" s="7">
        <v>3807.6615384615384</v>
      </c>
      <c r="R109" s="7">
        <v>12000</v>
      </c>
      <c r="S109" s="8">
        <f t="shared" si="4"/>
        <v>8192.3384615384621</v>
      </c>
    </row>
    <row r="110" spans="1:19">
      <c r="A110" s="5">
        <v>109</v>
      </c>
      <c r="B110" s="26">
        <v>2505083603</v>
      </c>
      <c r="C110" s="26" t="s">
        <v>142</v>
      </c>
      <c r="D110" s="26" t="s">
        <v>86</v>
      </c>
      <c r="E110" s="26" t="s">
        <v>41</v>
      </c>
      <c r="F110" s="26" t="s">
        <v>87</v>
      </c>
      <c r="G110" s="26" t="s">
        <v>43</v>
      </c>
      <c r="H110" s="26" t="s">
        <v>203</v>
      </c>
      <c r="I110" s="26">
        <v>202500125</v>
      </c>
      <c r="J110" s="27">
        <v>45794</v>
      </c>
      <c r="K110" s="27">
        <v>45794</v>
      </c>
      <c r="L110" s="27">
        <v>45797</v>
      </c>
      <c r="M110" s="26" t="s">
        <v>45</v>
      </c>
      <c r="N110" s="26" t="s">
        <v>163</v>
      </c>
      <c r="O110" s="26" t="s">
        <v>238</v>
      </c>
      <c r="P110" s="33">
        <v>3</v>
      </c>
      <c r="Q110" s="28">
        <v>3807.6615384615384</v>
      </c>
      <c r="R110" s="28">
        <v>0</v>
      </c>
      <c r="S110" s="29">
        <f t="shared" si="4"/>
        <v>-3807.6615384615384</v>
      </c>
    </row>
    <row r="111" spans="1:19">
      <c r="A111" s="5">
        <v>110</v>
      </c>
      <c r="B111" s="22">
        <v>2505130055</v>
      </c>
      <c r="C111" s="22" t="s">
        <v>239</v>
      </c>
      <c r="D111" s="22" t="s">
        <v>240</v>
      </c>
      <c r="E111" s="22" t="s">
        <v>241</v>
      </c>
      <c r="F111" s="22" t="s">
        <v>169</v>
      </c>
      <c r="G111" s="22" t="s">
        <v>52</v>
      </c>
      <c r="H111" s="22" t="s">
        <v>203</v>
      </c>
      <c r="I111" s="22">
        <v>202500126</v>
      </c>
      <c r="J111" s="23">
        <v>45788</v>
      </c>
      <c r="K111" s="23">
        <v>45790</v>
      </c>
      <c r="L111" s="23">
        <v>45797</v>
      </c>
      <c r="M111" s="22" t="s">
        <v>53</v>
      </c>
      <c r="N111" s="22" t="s">
        <v>54</v>
      </c>
      <c r="O111" s="22" t="s">
        <v>242</v>
      </c>
      <c r="P111" s="34">
        <v>7</v>
      </c>
      <c r="Q111" s="24">
        <v>3807.6615384615384</v>
      </c>
      <c r="R111" s="24">
        <v>0</v>
      </c>
      <c r="S111" s="25">
        <f t="shared" si="4"/>
        <v>-3807.6615384615384</v>
      </c>
    </row>
    <row r="112" spans="1:19">
      <c r="A112" s="5">
        <v>111</v>
      </c>
      <c r="B112" s="5" t="s">
        <v>243</v>
      </c>
      <c r="C112" s="5"/>
      <c r="D112" s="5"/>
      <c r="E112" s="5"/>
      <c r="F112" s="5"/>
      <c r="G112" s="5" t="s">
        <v>52</v>
      </c>
      <c r="H112" s="5" t="s">
        <v>203</v>
      </c>
      <c r="I112" s="5"/>
      <c r="J112" s="5"/>
      <c r="K112" s="5"/>
      <c r="L112" s="5"/>
      <c r="M112" s="5"/>
      <c r="N112" s="5"/>
      <c r="O112" s="5"/>
      <c r="P112" s="5"/>
      <c r="Q112" s="7">
        <v>3807.6615384615384</v>
      </c>
      <c r="R112" s="7">
        <v>0</v>
      </c>
      <c r="S112" s="8">
        <f t="shared" si="4"/>
        <v>-3807.6615384615384</v>
      </c>
    </row>
    <row r="113" spans="1:19">
      <c r="A113" s="5">
        <v>112</v>
      </c>
      <c r="B113" s="5" t="s">
        <v>244</v>
      </c>
      <c r="C113" s="5"/>
      <c r="D113" s="5"/>
      <c r="E113" s="5"/>
      <c r="F113" s="5"/>
      <c r="G113" s="5" t="s">
        <v>52</v>
      </c>
      <c r="H113" s="5" t="s">
        <v>203</v>
      </c>
      <c r="I113" s="5"/>
      <c r="J113" s="5"/>
      <c r="K113" s="5"/>
      <c r="L113" s="5"/>
      <c r="M113" s="5"/>
      <c r="N113" s="5"/>
      <c r="O113" s="5"/>
      <c r="P113" s="5"/>
      <c r="Q113" s="7">
        <v>3807.6615384615384</v>
      </c>
      <c r="R113" s="7">
        <v>0</v>
      </c>
      <c r="S113" s="8">
        <f t="shared" si="4"/>
        <v>-3807.6615384615384</v>
      </c>
    </row>
    <row r="114" spans="1:19">
      <c r="A114" s="5">
        <v>113</v>
      </c>
      <c r="B114" s="5">
        <v>2505181227</v>
      </c>
      <c r="C114" s="5" t="s">
        <v>245</v>
      </c>
      <c r="D114" s="5" t="s">
        <v>167</v>
      </c>
      <c r="E114" s="5" t="s">
        <v>168</v>
      </c>
      <c r="F114" s="5" t="s">
        <v>169</v>
      </c>
      <c r="G114" s="5" t="s">
        <v>52</v>
      </c>
      <c r="H114" s="5" t="s">
        <v>246</v>
      </c>
      <c r="I114" s="5">
        <v>202500127</v>
      </c>
      <c r="J114" s="6">
        <v>45793</v>
      </c>
      <c r="K114" s="6">
        <v>45795</v>
      </c>
      <c r="L114" s="6">
        <v>45800</v>
      </c>
      <c r="M114" s="5" t="s">
        <v>53</v>
      </c>
      <c r="N114" s="5" t="s">
        <v>54</v>
      </c>
      <c r="O114" s="5" t="s">
        <v>41</v>
      </c>
      <c r="P114" s="30">
        <v>5</v>
      </c>
      <c r="Q114" s="7">
        <v>4090.7999999999997</v>
      </c>
      <c r="R114" s="7">
        <v>6000</v>
      </c>
      <c r="S114" s="8">
        <f t="shared" si="4"/>
        <v>1909.2000000000003</v>
      </c>
    </row>
    <row r="115" spans="1:19">
      <c r="A115" s="5">
        <v>114</v>
      </c>
      <c r="B115" s="5">
        <v>2505181232</v>
      </c>
      <c r="C115" s="5" t="s">
        <v>247</v>
      </c>
      <c r="D115" s="5" t="s">
        <v>64</v>
      </c>
      <c r="E115" s="5" t="s">
        <v>65</v>
      </c>
      <c r="F115" s="5" t="s">
        <v>66</v>
      </c>
      <c r="G115" s="5" t="s">
        <v>52</v>
      </c>
      <c r="H115" s="5" t="s">
        <v>246</v>
      </c>
      <c r="I115" s="5">
        <v>202500128</v>
      </c>
      <c r="J115" s="6">
        <v>45793</v>
      </c>
      <c r="K115" s="6">
        <v>45795</v>
      </c>
      <c r="L115" s="6">
        <v>45800</v>
      </c>
      <c r="M115" s="5" t="s">
        <v>53</v>
      </c>
      <c r="N115" s="5" t="s">
        <v>54</v>
      </c>
      <c r="O115" s="5" t="s">
        <v>41</v>
      </c>
      <c r="P115" s="30">
        <v>5</v>
      </c>
      <c r="Q115" s="7">
        <v>4090.7999999999997</v>
      </c>
      <c r="R115" s="7">
        <v>5500</v>
      </c>
      <c r="S115" s="8">
        <f t="shared" si="4"/>
        <v>1409.2000000000003</v>
      </c>
    </row>
    <row r="116" spans="1:19">
      <c r="A116" s="5">
        <v>115</v>
      </c>
      <c r="B116" s="5">
        <v>2505181246</v>
      </c>
      <c r="C116" s="5" t="s">
        <v>248</v>
      </c>
      <c r="D116" s="5" t="s">
        <v>249</v>
      </c>
      <c r="E116" s="5" t="s">
        <v>250</v>
      </c>
      <c r="F116" s="5" t="s">
        <v>141</v>
      </c>
      <c r="G116" s="5" t="s">
        <v>52</v>
      </c>
      <c r="H116" s="5" t="s">
        <v>246</v>
      </c>
      <c r="I116" s="5">
        <v>202500129</v>
      </c>
      <c r="J116" s="6">
        <v>45793</v>
      </c>
      <c r="K116" s="6">
        <v>45795</v>
      </c>
      <c r="L116" s="6">
        <v>45800</v>
      </c>
      <c r="M116" s="5" t="s">
        <v>53</v>
      </c>
      <c r="N116" s="5" t="s">
        <v>54</v>
      </c>
      <c r="O116" s="5" t="s">
        <v>41</v>
      </c>
      <c r="P116" s="30">
        <v>5</v>
      </c>
      <c r="Q116" s="7">
        <v>4090.7999999999997</v>
      </c>
      <c r="R116" s="7">
        <v>5500</v>
      </c>
      <c r="S116" s="8">
        <f t="shared" si="4"/>
        <v>1409.2000000000003</v>
      </c>
    </row>
    <row r="117" spans="1:19">
      <c r="A117" s="5">
        <v>116</v>
      </c>
      <c r="B117" s="5">
        <v>2505181259</v>
      </c>
      <c r="C117" s="5" t="s">
        <v>251</v>
      </c>
      <c r="D117" s="5" t="s">
        <v>249</v>
      </c>
      <c r="E117" s="5" t="s">
        <v>250</v>
      </c>
      <c r="F117" s="5" t="s">
        <v>141</v>
      </c>
      <c r="G117" s="5" t="s">
        <v>190</v>
      </c>
      <c r="H117" s="5" t="s">
        <v>246</v>
      </c>
      <c r="I117" s="5">
        <v>202500130</v>
      </c>
      <c r="J117" s="6">
        <v>45793</v>
      </c>
      <c r="K117" s="6">
        <v>45795</v>
      </c>
      <c r="L117" s="6">
        <v>45800</v>
      </c>
      <c r="M117" s="5" t="s">
        <v>53</v>
      </c>
      <c r="N117" s="5" t="s">
        <v>54</v>
      </c>
      <c r="O117" s="5" t="s">
        <v>41</v>
      </c>
      <c r="P117" s="30">
        <v>5</v>
      </c>
      <c r="Q117" s="7">
        <v>4090.7999999999997</v>
      </c>
      <c r="R117" s="7">
        <v>11000</v>
      </c>
      <c r="S117" s="8">
        <f t="shared" ref="S117:S180" si="5">R117-Q117</f>
        <v>6909.2000000000007</v>
      </c>
    </row>
    <row r="118" spans="1:19">
      <c r="A118" s="5">
        <v>117</v>
      </c>
      <c r="B118" s="5">
        <v>2505181264</v>
      </c>
      <c r="C118" s="5" t="s">
        <v>252</v>
      </c>
      <c r="D118" s="5" t="s">
        <v>49</v>
      </c>
      <c r="E118" s="5" t="s">
        <v>50</v>
      </c>
      <c r="F118" s="5" t="s">
        <v>51</v>
      </c>
      <c r="G118" s="5" t="s">
        <v>52</v>
      </c>
      <c r="H118" s="5" t="s">
        <v>246</v>
      </c>
      <c r="I118" s="5">
        <v>202500131</v>
      </c>
      <c r="J118" s="6">
        <v>45794</v>
      </c>
      <c r="K118" s="6">
        <v>45795</v>
      </c>
      <c r="L118" s="6">
        <v>45800</v>
      </c>
      <c r="M118" s="5" t="s">
        <v>53</v>
      </c>
      <c r="N118" s="5" t="s">
        <v>54</v>
      </c>
      <c r="O118" s="5" t="s">
        <v>41</v>
      </c>
      <c r="P118" s="30">
        <v>5</v>
      </c>
      <c r="Q118" s="7">
        <v>4090.7999999999997</v>
      </c>
      <c r="R118" s="7">
        <v>5500</v>
      </c>
      <c r="S118" s="8">
        <f t="shared" si="5"/>
        <v>1409.2000000000003</v>
      </c>
    </row>
    <row r="119" spans="1:19">
      <c r="A119" s="5">
        <v>118</v>
      </c>
      <c r="B119" s="5">
        <v>2505180545</v>
      </c>
      <c r="C119" s="5" t="s">
        <v>253</v>
      </c>
      <c r="D119" s="5" t="s">
        <v>40</v>
      </c>
      <c r="E119" s="5" t="s">
        <v>41</v>
      </c>
      <c r="F119" s="5" t="s">
        <v>42</v>
      </c>
      <c r="G119" s="5" t="s">
        <v>43</v>
      </c>
      <c r="H119" s="5" t="s">
        <v>246</v>
      </c>
      <c r="I119" s="5">
        <v>202500132</v>
      </c>
      <c r="J119" s="6">
        <v>45795</v>
      </c>
      <c r="K119" s="6">
        <v>45795</v>
      </c>
      <c r="L119" s="6">
        <v>45800</v>
      </c>
      <c r="M119" s="5" t="s">
        <v>53</v>
      </c>
      <c r="N119" s="5" t="s">
        <v>54</v>
      </c>
      <c r="O119" s="5" t="s">
        <v>41</v>
      </c>
      <c r="P119" s="30">
        <v>5</v>
      </c>
      <c r="Q119" s="7">
        <v>4090.7999999999997</v>
      </c>
      <c r="R119" s="7">
        <v>11600</v>
      </c>
      <c r="S119" s="8">
        <f t="shared" si="5"/>
        <v>7509.2000000000007</v>
      </c>
    </row>
    <row r="120" spans="1:19">
      <c r="A120" s="5">
        <v>119</v>
      </c>
      <c r="B120" s="5">
        <v>2505180681</v>
      </c>
      <c r="C120" s="5" t="s">
        <v>254</v>
      </c>
      <c r="D120" s="5" t="s">
        <v>40</v>
      </c>
      <c r="E120" s="5" t="s">
        <v>41</v>
      </c>
      <c r="F120" s="5" t="s">
        <v>42</v>
      </c>
      <c r="G120" s="5" t="s">
        <v>43</v>
      </c>
      <c r="H120" s="5" t="s">
        <v>246</v>
      </c>
      <c r="I120" s="5">
        <v>202500133</v>
      </c>
      <c r="J120" s="6">
        <v>45795</v>
      </c>
      <c r="K120" s="6">
        <v>45795</v>
      </c>
      <c r="L120" s="6">
        <v>45800</v>
      </c>
      <c r="M120" s="5" t="s">
        <v>53</v>
      </c>
      <c r="N120" s="5" t="s">
        <v>54</v>
      </c>
      <c r="O120" s="5" t="s">
        <v>41</v>
      </c>
      <c r="P120" s="30">
        <v>5</v>
      </c>
      <c r="Q120" s="7">
        <v>4090.7999999999997</v>
      </c>
      <c r="R120" s="7">
        <v>11600</v>
      </c>
      <c r="S120" s="8">
        <f t="shared" si="5"/>
        <v>7509.2000000000007</v>
      </c>
    </row>
    <row r="121" spans="1:19">
      <c r="A121" s="5">
        <v>120</v>
      </c>
      <c r="B121" s="5">
        <v>2508181267</v>
      </c>
      <c r="C121" s="5" t="s">
        <v>255</v>
      </c>
      <c r="D121" s="5" t="s">
        <v>89</v>
      </c>
      <c r="E121" s="5" t="s">
        <v>90</v>
      </c>
      <c r="F121" s="5" t="s">
        <v>79</v>
      </c>
      <c r="G121" s="5" t="s">
        <v>52</v>
      </c>
      <c r="H121" s="5" t="s">
        <v>246</v>
      </c>
      <c r="I121" s="5">
        <v>202500134</v>
      </c>
      <c r="J121" s="6">
        <v>45794</v>
      </c>
      <c r="K121" s="6">
        <v>45795</v>
      </c>
      <c r="L121" s="6">
        <v>45800</v>
      </c>
      <c r="M121" s="5" t="s">
        <v>53</v>
      </c>
      <c r="N121" s="5" t="s">
        <v>54</v>
      </c>
      <c r="O121" s="5" t="s">
        <v>41</v>
      </c>
      <c r="P121" s="30">
        <v>5</v>
      </c>
      <c r="Q121" s="7">
        <v>4090.7999999999997</v>
      </c>
      <c r="R121" s="7">
        <v>5500</v>
      </c>
      <c r="S121" s="8">
        <f t="shared" si="5"/>
        <v>1409.2000000000003</v>
      </c>
    </row>
    <row r="122" spans="1:19">
      <c r="A122" s="5">
        <v>121</v>
      </c>
      <c r="B122" s="5">
        <v>2505190027</v>
      </c>
      <c r="C122" s="5" t="s">
        <v>256</v>
      </c>
      <c r="D122" s="5" t="s">
        <v>257</v>
      </c>
      <c r="E122" s="5" t="s">
        <v>258</v>
      </c>
      <c r="F122" s="5" t="s">
        <v>62</v>
      </c>
      <c r="G122" s="5" t="s">
        <v>52</v>
      </c>
      <c r="H122" s="5" t="s">
        <v>246</v>
      </c>
      <c r="I122" s="5">
        <v>202500135</v>
      </c>
      <c r="J122" s="6">
        <v>45794</v>
      </c>
      <c r="K122" s="6">
        <v>45796</v>
      </c>
      <c r="L122" s="6">
        <v>45800</v>
      </c>
      <c r="M122" s="5" t="s">
        <v>53</v>
      </c>
      <c r="N122" s="5" t="s">
        <v>54</v>
      </c>
      <c r="O122" s="5" t="s">
        <v>41</v>
      </c>
      <c r="P122" s="30">
        <v>4</v>
      </c>
      <c r="Q122" s="7">
        <v>4090.7999999999997</v>
      </c>
      <c r="R122" s="7">
        <v>5100</v>
      </c>
      <c r="S122" s="8">
        <f t="shared" si="5"/>
        <v>1009.2000000000003</v>
      </c>
    </row>
    <row r="123" spans="1:19">
      <c r="A123" s="5">
        <v>122</v>
      </c>
      <c r="B123" s="5">
        <v>2505190029</v>
      </c>
      <c r="C123" s="5" t="s">
        <v>259</v>
      </c>
      <c r="D123" s="5" t="s">
        <v>257</v>
      </c>
      <c r="E123" s="5" t="s">
        <v>258</v>
      </c>
      <c r="F123" s="5" t="s">
        <v>62</v>
      </c>
      <c r="G123" s="5" t="s">
        <v>52</v>
      </c>
      <c r="H123" s="5" t="s">
        <v>246</v>
      </c>
      <c r="I123" s="5">
        <v>202500136</v>
      </c>
      <c r="J123" s="6">
        <v>45794</v>
      </c>
      <c r="K123" s="6">
        <v>45796</v>
      </c>
      <c r="L123" s="6">
        <v>45800</v>
      </c>
      <c r="M123" s="5" t="s">
        <v>53</v>
      </c>
      <c r="N123" s="5" t="s">
        <v>54</v>
      </c>
      <c r="O123" s="5" t="s">
        <v>41</v>
      </c>
      <c r="P123" s="30">
        <v>4</v>
      </c>
      <c r="Q123" s="7">
        <v>4090.7999999999997</v>
      </c>
      <c r="R123" s="7">
        <v>5100</v>
      </c>
      <c r="S123" s="8">
        <f t="shared" si="5"/>
        <v>1009.2000000000003</v>
      </c>
    </row>
    <row r="124" spans="1:19">
      <c r="A124" s="5">
        <v>123</v>
      </c>
      <c r="B124" s="5">
        <v>2505190031</v>
      </c>
      <c r="C124" s="5" t="s">
        <v>260</v>
      </c>
      <c r="D124" s="5" t="s">
        <v>64</v>
      </c>
      <c r="E124" s="5" t="s">
        <v>65</v>
      </c>
      <c r="F124" s="5" t="s">
        <v>66</v>
      </c>
      <c r="G124" s="5" t="s">
        <v>52</v>
      </c>
      <c r="H124" s="5" t="s">
        <v>246</v>
      </c>
      <c r="I124" s="5">
        <v>202500137</v>
      </c>
      <c r="J124" s="6">
        <v>45794</v>
      </c>
      <c r="K124" s="6">
        <v>45796</v>
      </c>
      <c r="L124" s="6">
        <v>45800</v>
      </c>
      <c r="M124" s="5" t="s">
        <v>53</v>
      </c>
      <c r="N124" s="5" t="s">
        <v>54</v>
      </c>
      <c r="O124" s="5" t="s">
        <v>41</v>
      </c>
      <c r="P124" s="30">
        <v>4</v>
      </c>
      <c r="Q124" s="7">
        <v>4090.7999999999997</v>
      </c>
      <c r="R124" s="7">
        <v>5500</v>
      </c>
      <c r="S124" s="8">
        <f t="shared" si="5"/>
        <v>1409.2000000000003</v>
      </c>
    </row>
    <row r="125" spans="1:19">
      <c r="A125" s="5">
        <v>124</v>
      </c>
      <c r="B125" s="5">
        <v>2505190032</v>
      </c>
      <c r="C125" s="5" t="s">
        <v>261</v>
      </c>
      <c r="D125" s="5" t="s">
        <v>64</v>
      </c>
      <c r="E125" s="5" t="s">
        <v>65</v>
      </c>
      <c r="F125" s="5" t="s">
        <v>66</v>
      </c>
      <c r="G125" s="5" t="s">
        <v>52</v>
      </c>
      <c r="H125" s="5" t="s">
        <v>246</v>
      </c>
      <c r="I125" s="5">
        <v>202500138</v>
      </c>
      <c r="J125" s="6">
        <v>45794</v>
      </c>
      <c r="K125" s="6">
        <v>45796</v>
      </c>
      <c r="L125" s="6">
        <v>45800</v>
      </c>
      <c r="M125" s="5" t="s">
        <v>53</v>
      </c>
      <c r="N125" s="5" t="s">
        <v>54</v>
      </c>
      <c r="O125" s="5" t="s">
        <v>41</v>
      </c>
      <c r="P125" s="30">
        <v>4</v>
      </c>
      <c r="Q125" s="7">
        <v>4090.7999999999997</v>
      </c>
      <c r="R125" s="7">
        <v>5500</v>
      </c>
      <c r="S125" s="8">
        <f t="shared" si="5"/>
        <v>1409.2000000000003</v>
      </c>
    </row>
    <row r="126" spans="1:19">
      <c r="A126" s="5">
        <v>125</v>
      </c>
      <c r="B126" s="5">
        <v>2505192189</v>
      </c>
      <c r="C126" s="5" t="s">
        <v>262</v>
      </c>
      <c r="D126" s="5" t="s">
        <v>263</v>
      </c>
      <c r="E126" s="5" t="s">
        <v>237</v>
      </c>
      <c r="F126" s="5" t="s">
        <v>71</v>
      </c>
      <c r="G126" s="5" t="s">
        <v>52</v>
      </c>
      <c r="H126" s="5" t="s">
        <v>246</v>
      </c>
      <c r="I126" s="5">
        <v>202500139</v>
      </c>
      <c r="J126" s="6">
        <v>45795</v>
      </c>
      <c r="K126" s="6">
        <v>45796</v>
      </c>
      <c r="L126" s="6">
        <v>45800</v>
      </c>
      <c r="M126" s="5" t="s">
        <v>53</v>
      </c>
      <c r="N126" s="5" t="s">
        <v>54</v>
      </c>
      <c r="O126" s="5" t="s">
        <v>41</v>
      </c>
      <c r="P126" s="30">
        <v>4</v>
      </c>
      <c r="Q126" s="7">
        <v>4090.7999999999997</v>
      </c>
      <c r="R126" s="7">
        <v>8000</v>
      </c>
      <c r="S126" s="8">
        <f t="shared" si="5"/>
        <v>3909.2000000000003</v>
      </c>
    </row>
    <row r="127" spans="1:19">
      <c r="A127" s="5">
        <v>126</v>
      </c>
      <c r="B127" s="5">
        <v>2505181220</v>
      </c>
      <c r="C127" s="5" t="s">
        <v>264</v>
      </c>
      <c r="D127" s="5" t="s">
        <v>107</v>
      </c>
      <c r="E127" s="5" t="s">
        <v>205</v>
      </c>
      <c r="F127" s="5" t="s">
        <v>109</v>
      </c>
      <c r="G127" s="5" t="s">
        <v>52</v>
      </c>
      <c r="H127" s="5" t="s">
        <v>246</v>
      </c>
      <c r="I127" s="5">
        <v>202500140</v>
      </c>
      <c r="J127" s="6">
        <v>45793</v>
      </c>
      <c r="K127" s="6">
        <v>45795</v>
      </c>
      <c r="L127" s="6">
        <v>45800</v>
      </c>
      <c r="M127" s="5" t="s">
        <v>53</v>
      </c>
      <c r="N127" s="5" t="s">
        <v>54</v>
      </c>
      <c r="O127" s="5" t="s">
        <v>41</v>
      </c>
      <c r="P127" s="30">
        <v>5</v>
      </c>
      <c r="Q127" s="7">
        <v>4090.7999999999997</v>
      </c>
      <c r="R127" s="7">
        <v>5500</v>
      </c>
      <c r="S127" s="8">
        <f t="shared" si="5"/>
        <v>1409.2000000000003</v>
      </c>
    </row>
    <row r="128" spans="1:19">
      <c r="A128" s="5">
        <v>127</v>
      </c>
      <c r="B128" s="9">
        <v>2505192196</v>
      </c>
      <c r="C128" s="9" t="s">
        <v>265</v>
      </c>
      <c r="D128" s="9" t="s">
        <v>266</v>
      </c>
      <c r="E128" s="9" t="s">
        <v>267</v>
      </c>
      <c r="F128" s="9" t="s">
        <v>169</v>
      </c>
      <c r="G128" s="9" t="s">
        <v>52</v>
      </c>
      <c r="H128" s="9" t="s">
        <v>246</v>
      </c>
      <c r="I128" s="9">
        <v>202500141</v>
      </c>
      <c r="J128" s="10">
        <v>45796</v>
      </c>
      <c r="K128" s="10">
        <v>45796</v>
      </c>
      <c r="L128" s="10">
        <v>45800</v>
      </c>
      <c r="M128" s="9" t="s">
        <v>53</v>
      </c>
      <c r="N128" s="9" t="s">
        <v>94</v>
      </c>
      <c r="O128" s="9" t="s">
        <v>268</v>
      </c>
      <c r="P128" s="32">
        <v>4</v>
      </c>
      <c r="Q128" s="11">
        <v>4090.7999999999997</v>
      </c>
      <c r="R128" s="11">
        <v>5500</v>
      </c>
      <c r="S128" s="12">
        <f t="shared" si="5"/>
        <v>1409.2000000000003</v>
      </c>
    </row>
    <row r="129" spans="1:19">
      <c r="A129" s="5">
        <v>128</v>
      </c>
      <c r="B129" s="9">
        <v>2505192206</v>
      </c>
      <c r="C129" s="9" t="s">
        <v>269</v>
      </c>
      <c r="D129" s="9" t="s">
        <v>86</v>
      </c>
      <c r="E129" s="9" t="s">
        <v>270</v>
      </c>
      <c r="F129" s="9" t="s">
        <v>87</v>
      </c>
      <c r="G129" s="9" t="s">
        <v>52</v>
      </c>
      <c r="H129" s="9" t="s">
        <v>246</v>
      </c>
      <c r="I129" s="9">
        <v>202500142</v>
      </c>
      <c r="J129" s="10">
        <v>45795</v>
      </c>
      <c r="K129" s="10">
        <v>45796</v>
      </c>
      <c r="L129" s="10">
        <v>45800</v>
      </c>
      <c r="M129" s="9" t="s">
        <v>53</v>
      </c>
      <c r="N129" s="9" t="s">
        <v>94</v>
      </c>
      <c r="O129" s="9" t="s">
        <v>271</v>
      </c>
      <c r="P129" s="32">
        <v>4</v>
      </c>
      <c r="Q129" s="11">
        <v>4090.7999999999997</v>
      </c>
      <c r="R129" s="11">
        <v>6000</v>
      </c>
      <c r="S129" s="12">
        <f t="shared" si="5"/>
        <v>1909.2000000000003</v>
      </c>
    </row>
    <row r="130" spans="1:19">
      <c r="A130" s="5">
        <v>129</v>
      </c>
      <c r="B130" s="5">
        <v>2505192217</v>
      </c>
      <c r="C130" s="5" t="s">
        <v>272</v>
      </c>
      <c r="D130" s="5" t="s">
        <v>273</v>
      </c>
      <c r="E130" s="5" t="s">
        <v>274</v>
      </c>
      <c r="F130" s="5" t="s">
        <v>169</v>
      </c>
      <c r="G130" s="5" t="s">
        <v>52</v>
      </c>
      <c r="H130" s="5" t="s">
        <v>246</v>
      </c>
      <c r="I130" s="5">
        <v>202500143</v>
      </c>
      <c r="J130" s="6">
        <v>45796</v>
      </c>
      <c r="K130" s="6">
        <v>45796</v>
      </c>
      <c r="L130" s="6">
        <v>45800</v>
      </c>
      <c r="M130" s="5" t="s">
        <v>53</v>
      </c>
      <c r="N130" s="5" t="s">
        <v>54</v>
      </c>
      <c r="O130" s="5" t="s">
        <v>41</v>
      </c>
      <c r="P130" s="30">
        <v>4</v>
      </c>
      <c r="Q130" s="7">
        <v>4090.7999999999997</v>
      </c>
      <c r="R130" s="7">
        <v>5500</v>
      </c>
      <c r="S130" s="8">
        <f t="shared" si="5"/>
        <v>1409.2000000000003</v>
      </c>
    </row>
    <row r="131" spans="1:19">
      <c r="A131" s="5">
        <v>130</v>
      </c>
      <c r="B131" s="5">
        <v>2505201931</v>
      </c>
      <c r="C131" s="5" t="s">
        <v>275</v>
      </c>
      <c r="D131" s="5" t="s">
        <v>89</v>
      </c>
      <c r="E131" s="5" t="s">
        <v>90</v>
      </c>
      <c r="F131" s="5" t="s">
        <v>79</v>
      </c>
      <c r="G131" s="5" t="s">
        <v>52</v>
      </c>
      <c r="H131" s="5" t="s">
        <v>246</v>
      </c>
      <c r="I131" s="5">
        <v>202500144</v>
      </c>
      <c r="J131" s="6">
        <v>45796</v>
      </c>
      <c r="K131" s="6">
        <v>45797</v>
      </c>
      <c r="L131" s="6">
        <v>45800</v>
      </c>
      <c r="M131" s="5" t="s">
        <v>53</v>
      </c>
      <c r="N131" s="5" t="s">
        <v>54</v>
      </c>
      <c r="O131" s="5" t="s">
        <v>41</v>
      </c>
      <c r="P131" s="30">
        <v>3</v>
      </c>
      <c r="Q131" s="7">
        <v>4090.7999999999997</v>
      </c>
      <c r="R131" s="7">
        <v>5500</v>
      </c>
      <c r="S131" s="8">
        <f t="shared" si="5"/>
        <v>1409.2000000000003</v>
      </c>
    </row>
    <row r="132" spans="1:19">
      <c r="A132" s="5">
        <v>131</v>
      </c>
      <c r="B132" s="5">
        <v>2505203609</v>
      </c>
      <c r="C132" s="5" t="s">
        <v>276</v>
      </c>
      <c r="D132" s="5" t="s">
        <v>153</v>
      </c>
      <c r="E132" s="5" t="s">
        <v>154</v>
      </c>
      <c r="F132" s="5" t="s">
        <v>141</v>
      </c>
      <c r="G132" s="5" t="s">
        <v>52</v>
      </c>
      <c r="H132" s="5" t="s">
        <v>246</v>
      </c>
      <c r="I132" s="5">
        <v>202500145</v>
      </c>
      <c r="J132" s="6">
        <v>45796</v>
      </c>
      <c r="K132" s="6">
        <v>45797</v>
      </c>
      <c r="L132" s="6">
        <v>45800</v>
      </c>
      <c r="M132" s="5" t="s">
        <v>53</v>
      </c>
      <c r="N132" s="5" t="s">
        <v>54</v>
      </c>
      <c r="O132" s="5" t="s">
        <v>41</v>
      </c>
      <c r="P132" s="30">
        <v>3</v>
      </c>
      <c r="Q132" s="7">
        <v>4090.7999999999997</v>
      </c>
      <c r="R132" s="7">
        <v>5500</v>
      </c>
      <c r="S132" s="8">
        <f t="shared" si="5"/>
        <v>1409.2000000000003</v>
      </c>
    </row>
    <row r="133" spans="1:19">
      <c r="A133" s="5">
        <v>132</v>
      </c>
      <c r="B133" s="5">
        <v>2505203610</v>
      </c>
      <c r="C133" s="5" t="s">
        <v>277</v>
      </c>
      <c r="D133" s="5" t="s">
        <v>83</v>
      </c>
      <c r="E133" s="5" t="s">
        <v>84</v>
      </c>
      <c r="F133" s="5" t="s">
        <v>62</v>
      </c>
      <c r="G133" s="5" t="s">
        <v>52</v>
      </c>
      <c r="H133" s="5" t="s">
        <v>246</v>
      </c>
      <c r="I133" s="5">
        <v>202500146</v>
      </c>
      <c r="J133" s="6">
        <v>45796</v>
      </c>
      <c r="K133" s="6">
        <v>45797</v>
      </c>
      <c r="L133" s="6">
        <v>45800</v>
      </c>
      <c r="M133" s="5" t="s">
        <v>53</v>
      </c>
      <c r="N133" s="5" t="s">
        <v>54</v>
      </c>
      <c r="O133" s="5" t="s">
        <v>41</v>
      </c>
      <c r="P133" s="30">
        <v>3</v>
      </c>
      <c r="Q133" s="7">
        <v>4090.7999999999997</v>
      </c>
      <c r="R133" s="7">
        <v>6000</v>
      </c>
      <c r="S133" s="8">
        <f t="shared" si="5"/>
        <v>1909.2000000000003</v>
      </c>
    </row>
    <row r="134" spans="1:19">
      <c r="A134" s="5">
        <v>133</v>
      </c>
      <c r="B134" s="5">
        <v>2505203615</v>
      </c>
      <c r="C134" s="5" t="s">
        <v>278</v>
      </c>
      <c r="D134" s="5" t="s">
        <v>257</v>
      </c>
      <c r="E134" s="5" t="s">
        <v>258</v>
      </c>
      <c r="F134" s="5" t="s">
        <v>62</v>
      </c>
      <c r="G134" s="5" t="s">
        <v>52</v>
      </c>
      <c r="H134" s="5" t="s">
        <v>246</v>
      </c>
      <c r="I134" s="5">
        <v>202500147</v>
      </c>
      <c r="J134" s="6">
        <v>45796</v>
      </c>
      <c r="K134" s="6">
        <v>45797</v>
      </c>
      <c r="L134" s="6">
        <v>45800</v>
      </c>
      <c r="M134" s="5" t="s">
        <v>53</v>
      </c>
      <c r="N134" s="5" t="s">
        <v>54</v>
      </c>
      <c r="O134" s="5" t="s">
        <v>41</v>
      </c>
      <c r="P134" s="30">
        <v>3</v>
      </c>
      <c r="Q134" s="7">
        <v>4090.7999999999997</v>
      </c>
      <c r="R134" s="7">
        <v>5100</v>
      </c>
      <c r="S134" s="8">
        <f t="shared" si="5"/>
        <v>1009.2000000000003</v>
      </c>
    </row>
    <row r="135" spans="1:19">
      <c r="A135" s="5">
        <v>134</v>
      </c>
      <c r="B135" s="22">
        <v>2505170031</v>
      </c>
      <c r="C135" s="22" t="s">
        <v>234</v>
      </c>
      <c r="D135" s="22" t="s">
        <v>40</v>
      </c>
      <c r="E135" s="22" t="s">
        <v>41</v>
      </c>
      <c r="F135" s="22" t="s">
        <v>42</v>
      </c>
      <c r="G135" s="22" t="s">
        <v>43</v>
      </c>
      <c r="H135" s="22" t="s">
        <v>246</v>
      </c>
      <c r="I135" s="22">
        <v>202500148</v>
      </c>
      <c r="J135" s="23">
        <v>45794</v>
      </c>
      <c r="K135" s="23">
        <v>45794</v>
      </c>
      <c r="L135" s="23">
        <v>45800</v>
      </c>
      <c r="M135" s="22" t="s">
        <v>53</v>
      </c>
      <c r="N135" s="22" t="s">
        <v>54</v>
      </c>
      <c r="O135" s="22" t="s">
        <v>279</v>
      </c>
      <c r="P135" s="34">
        <v>6</v>
      </c>
      <c r="Q135" s="24">
        <v>4090.7999999999997</v>
      </c>
      <c r="R135" s="24">
        <v>0</v>
      </c>
      <c r="S135" s="25">
        <f t="shared" si="5"/>
        <v>-4090.7999999999997</v>
      </c>
    </row>
    <row r="136" spans="1:19">
      <c r="A136" s="5">
        <v>135</v>
      </c>
      <c r="B136" s="5" t="s">
        <v>280</v>
      </c>
      <c r="C136" s="5"/>
      <c r="D136" s="5"/>
      <c r="E136" s="5"/>
      <c r="F136" s="5"/>
      <c r="G136" s="5" t="s">
        <v>52</v>
      </c>
      <c r="H136" s="5" t="s">
        <v>246</v>
      </c>
      <c r="I136" s="5"/>
      <c r="J136" s="5"/>
      <c r="K136" s="5"/>
      <c r="L136" s="5"/>
      <c r="M136" s="5"/>
      <c r="N136" s="5"/>
      <c r="O136" s="5"/>
      <c r="P136" s="5"/>
      <c r="Q136" s="7">
        <v>4090.7999999999997</v>
      </c>
      <c r="R136" s="7">
        <v>0</v>
      </c>
      <c r="S136" s="8">
        <f t="shared" si="5"/>
        <v>-4090.7999999999997</v>
      </c>
    </row>
    <row r="137" spans="1:19">
      <c r="A137" s="5">
        <v>136</v>
      </c>
      <c r="B137" s="5" t="s">
        <v>281</v>
      </c>
      <c r="C137" s="5"/>
      <c r="D137" s="5"/>
      <c r="E137" s="5"/>
      <c r="F137" s="5"/>
      <c r="G137" s="5" t="s">
        <v>52</v>
      </c>
      <c r="H137" s="5" t="s">
        <v>246</v>
      </c>
      <c r="I137" s="5"/>
      <c r="J137" s="5"/>
      <c r="K137" s="5"/>
      <c r="L137" s="5"/>
      <c r="M137" s="5"/>
      <c r="N137" s="5"/>
      <c r="O137" s="5"/>
      <c r="P137" s="5"/>
      <c r="Q137" s="7">
        <v>4090.7999999999997</v>
      </c>
      <c r="R137" s="7">
        <v>0</v>
      </c>
      <c r="S137" s="8">
        <f t="shared" si="5"/>
        <v>-4090.7999999999997</v>
      </c>
    </row>
    <row r="138" spans="1:19">
      <c r="A138" s="5">
        <v>137</v>
      </c>
      <c r="B138" s="5">
        <v>2505213279</v>
      </c>
      <c r="C138" s="5" t="s">
        <v>282</v>
      </c>
      <c r="D138" s="5" t="s">
        <v>73</v>
      </c>
      <c r="E138" s="5" t="s">
        <v>283</v>
      </c>
      <c r="F138" s="5" t="s">
        <v>71</v>
      </c>
      <c r="G138" s="5" t="s">
        <v>43</v>
      </c>
      <c r="H138" s="5" t="s">
        <v>284</v>
      </c>
      <c r="I138" s="5">
        <v>202500149</v>
      </c>
      <c r="J138" s="6">
        <v>45797</v>
      </c>
      <c r="K138" s="6">
        <v>45798</v>
      </c>
      <c r="L138" s="6">
        <v>45804</v>
      </c>
      <c r="M138" s="5" t="s">
        <v>53</v>
      </c>
      <c r="N138" s="5" t="s">
        <v>54</v>
      </c>
      <c r="O138" s="5" t="s">
        <v>41</v>
      </c>
      <c r="P138" s="30">
        <v>6</v>
      </c>
      <c r="Q138" s="7">
        <v>4250.8347826086956</v>
      </c>
      <c r="R138" s="7">
        <v>12000</v>
      </c>
      <c r="S138" s="8">
        <f t="shared" si="5"/>
        <v>7749.1652173913044</v>
      </c>
    </row>
    <row r="139" spans="1:19">
      <c r="A139" s="5">
        <v>138</v>
      </c>
      <c r="B139" s="5">
        <v>2505213281</v>
      </c>
      <c r="C139" s="5" t="s">
        <v>285</v>
      </c>
      <c r="D139" s="5" t="s">
        <v>153</v>
      </c>
      <c r="E139" s="5" t="s">
        <v>154</v>
      </c>
      <c r="F139" s="5" t="s">
        <v>141</v>
      </c>
      <c r="G139" s="5" t="s">
        <v>52</v>
      </c>
      <c r="H139" s="5" t="s">
        <v>284</v>
      </c>
      <c r="I139" s="5">
        <v>202500150</v>
      </c>
      <c r="J139" s="6">
        <v>45797</v>
      </c>
      <c r="K139" s="6">
        <v>45798</v>
      </c>
      <c r="L139" s="6">
        <v>45804</v>
      </c>
      <c r="M139" s="5" t="s">
        <v>53</v>
      </c>
      <c r="N139" s="5" t="s">
        <v>54</v>
      </c>
      <c r="O139" s="5" t="s">
        <v>41</v>
      </c>
      <c r="P139" s="30">
        <v>6</v>
      </c>
      <c r="Q139" s="7">
        <v>4250.8347826086956</v>
      </c>
      <c r="R139" s="7">
        <v>5500</v>
      </c>
      <c r="S139" s="8">
        <f t="shared" si="5"/>
        <v>1249.1652173913044</v>
      </c>
    </row>
    <row r="140" spans="1:19">
      <c r="A140" s="5">
        <v>139</v>
      </c>
      <c r="B140" s="5">
        <v>2505220113</v>
      </c>
      <c r="C140" s="5" t="s">
        <v>286</v>
      </c>
      <c r="D140" s="5" t="s">
        <v>177</v>
      </c>
      <c r="E140" s="5" t="s">
        <v>150</v>
      </c>
      <c r="F140" s="5" t="s">
        <v>71</v>
      </c>
      <c r="G140" s="5" t="s">
        <v>75</v>
      </c>
      <c r="H140" s="5" t="s">
        <v>284</v>
      </c>
      <c r="I140" s="5">
        <v>202500151</v>
      </c>
      <c r="J140" s="6">
        <v>45798</v>
      </c>
      <c r="K140" s="6">
        <v>45798</v>
      </c>
      <c r="L140" s="6">
        <v>45804</v>
      </c>
      <c r="M140" s="5" t="s">
        <v>53</v>
      </c>
      <c r="N140" s="5" t="s">
        <v>54</v>
      </c>
      <c r="O140" s="5" t="s">
        <v>41</v>
      </c>
      <c r="P140" s="30">
        <v>6</v>
      </c>
      <c r="Q140" s="7">
        <v>4250.8347826086956</v>
      </c>
      <c r="R140" s="7">
        <v>4900</v>
      </c>
      <c r="S140" s="8">
        <f t="shared" si="5"/>
        <v>649.1652173913044</v>
      </c>
    </row>
    <row r="141" spans="1:19">
      <c r="A141" s="5">
        <v>140</v>
      </c>
      <c r="B141" s="5">
        <v>2505220117</v>
      </c>
      <c r="C141" s="5" t="s">
        <v>287</v>
      </c>
      <c r="D141" s="5" t="s">
        <v>288</v>
      </c>
      <c r="E141" s="5" t="s">
        <v>289</v>
      </c>
      <c r="F141" s="5" t="s">
        <v>169</v>
      </c>
      <c r="G141" s="5" t="s">
        <v>52</v>
      </c>
      <c r="H141" s="5" t="s">
        <v>284</v>
      </c>
      <c r="I141" s="5">
        <v>202500152</v>
      </c>
      <c r="J141" s="6">
        <v>45797</v>
      </c>
      <c r="K141" s="6">
        <v>45799</v>
      </c>
      <c r="L141" s="6">
        <v>45804</v>
      </c>
      <c r="M141" s="5" t="s">
        <v>53</v>
      </c>
      <c r="N141" s="5" t="s">
        <v>54</v>
      </c>
      <c r="O141" s="5" t="s">
        <v>41</v>
      </c>
      <c r="P141" s="30">
        <v>5</v>
      </c>
      <c r="Q141" s="7">
        <v>4250.8347826086956</v>
      </c>
      <c r="R141" s="7">
        <v>7000</v>
      </c>
      <c r="S141" s="8">
        <f t="shared" si="5"/>
        <v>2749.1652173913044</v>
      </c>
    </row>
    <row r="142" spans="1:19">
      <c r="A142" s="5">
        <v>141</v>
      </c>
      <c r="B142" s="5">
        <v>2505220219</v>
      </c>
      <c r="C142" s="5" t="s">
        <v>290</v>
      </c>
      <c r="D142" s="5" t="s">
        <v>64</v>
      </c>
      <c r="E142" s="5" t="s">
        <v>65</v>
      </c>
      <c r="F142" s="5" t="s">
        <v>66</v>
      </c>
      <c r="G142" s="5" t="s">
        <v>52</v>
      </c>
      <c r="H142" s="5" t="s">
        <v>284</v>
      </c>
      <c r="I142" s="5">
        <v>202500153</v>
      </c>
      <c r="J142" s="6">
        <v>45797</v>
      </c>
      <c r="K142" s="6">
        <v>45799</v>
      </c>
      <c r="L142" s="6">
        <v>45804</v>
      </c>
      <c r="M142" s="5" t="s">
        <v>53</v>
      </c>
      <c r="N142" s="5" t="s">
        <v>54</v>
      </c>
      <c r="O142" s="5" t="s">
        <v>41</v>
      </c>
      <c r="P142" s="30">
        <v>5</v>
      </c>
      <c r="Q142" s="7">
        <v>4250.8347826086956</v>
      </c>
      <c r="R142" s="7">
        <v>5500</v>
      </c>
      <c r="S142" s="8">
        <f t="shared" si="5"/>
        <v>1249.1652173913044</v>
      </c>
    </row>
    <row r="143" spans="1:19">
      <c r="A143" s="5">
        <v>142</v>
      </c>
      <c r="B143" s="5">
        <v>2505220232</v>
      </c>
      <c r="C143" s="5" t="s">
        <v>291</v>
      </c>
      <c r="D143" s="5" t="s">
        <v>64</v>
      </c>
      <c r="E143" s="5" t="s">
        <v>65</v>
      </c>
      <c r="F143" s="5" t="s">
        <v>66</v>
      </c>
      <c r="G143" s="5" t="s">
        <v>52</v>
      </c>
      <c r="H143" s="5" t="s">
        <v>284</v>
      </c>
      <c r="I143" s="5">
        <v>202500154</v>
      </c>
      <c r="J143" s="6">
        <v>45797</v>
      </c>
      <c r="K143" s="6">
        <v>45799</v>
      </c>
      <c r="L143" s="6">
        <v>45804</v>
      </c>
      <c r="M143" s="5" t="s">
        <v>53</v>
      </c>
      <c r="N143" s="5" t="s">
        <v>54</v>
      </c>
      <c r="O143" s="5" t="s">
        <v>41</v>
      </c>
      <c r="P143" s="30">
        <v>5</v>
      </c>
      <c r="Q143" s="7">
        <v>4250.8347826086956</v>
      </c>
      <c r="R143" s="7">
        <v>5500</v>
      </c>
      <c r="S143" s="8">
        <f t="shared" si="5"/>
        <v>1249.1652173913044</v>
      </c>
    </row>
    <row r="144" spans="1:19">
      <c r="A144" s="5">
        <v>143</v>
      </c>
      <c r="B144" s="5">
        <v>2505220238</v>
      </c>
      <c r="C144" s="5" t="s">
        <v>292</v>
      </c>
      <c r="D144" s="5" t="s">
        <v>293</v>
      </c>
      <c r="E144" s="5" t="s">
        <v>294</v>
      </c>
      <c r="F144" s="5" t="s">
        <v>51</v>
      </c>
      <c r="G144" s="5" t="s">
        <v>43</v>
      </c>
      <c r="H144" s="5" t="s">
        <v>284</v>
      </c>
      <c r="I144" s="5">
        <v>202500155</v>
      </c>
      <c r="J144" s="6">
        <v>45797</v>
      </c>
      <c r="K144" s="6">
        <v>45799</v>
      </c>
      <c r="L144" s="6">
        <v>45804</v>
      </c>
      <c r="M144" s="5" t="s">
        <v>53</v>
      </c>
      <c r="N144" s="5" t="s">
        <v>54</v>
      </c>
      <c r="O144" s="5" t="s">
        <v>41</v>
      </c>
      <c r="P144" s="30">
        <v>5</v>
      </c>
      <c r="Q144" s="7">
        <v>4250.8347826086956</v>
      </c>
      <c r="R144" s="7">
        <v>11000</v>
      </c>
      <c r="S144" s="8">
        <f t="shared" si="5"/>
        <v>6749.1652173913044</v>
      </c>
    </row>
    <row r="145" spans="1:19">
      <c r="A145" s="5">
        <v>144</v>
      </c>
      <c r="B145" s="9">
        <v>2505220858</v>
      </c>
      <c r="C145" s="9" t="s">
        <v>295</v>
      </c>
      <c r="D145" s="9" t="s">
        <v>296</v>
      </c>
      <c r="E145" s="9" t="s">
        <v>297</v>
      </c>
      <c r="F145" s="9" t="s">
        <v>79</v>
      </c>
      <c r="G145" s="9" t="s">
        <v>52</v>
      </c>
      <c r="H145" s="9" t="s">
        <v>284</v>
      </c>
      <c r="I145" s="9">
        <v>202500156</v>
      </c>
      <c r="J145" s="10">
        <v>45797</v>
      </c>
      <c r="K145" s="10">
        <v>45799</v>
      </c>
      <c r="L145" s="10">
        <v>45804</v>
      </c>
      <c r="M145" s="9" t="s">
        <v>53</v>
      </c>
      <c r="N145" s="9" t="s">
        <v>94</v>
      </c>
      <c r="O145" s="9" t="s">
        <v>298</v>
      </c>
      <c r="P145" s="32">
        <v>5</v>
      </c>
      <c r="Q145" s="11">
        <v>4250.8347826086956</v>
      </c>
      <c r="R145" s="11">
        <v>8500</v>
      </c>
      <c r="S145" s="12">
        <f t="shared" si="5"/>
        <v>4249.1652173913044</v>
      </c>
    </row>
    <row r="146" spans="1:19">
      <c r="A146" s="5">
        <v>145</v>
      </c>
      <c r="B146" s="5">
        <v>2505221166</v>
      </c>
      <c r="C146" s="5" t="s">
        <v>299</v>
      </c>
      <c r="D146" s="5" t="s">
        <v>136</v>
      </c>
      <c r="E146" s="5" t="s">
        <v>137</v>
      </c>
      <c r="F146" s="5" t="s">
        <v>87</v>
      </c>
      <c r="G146" s="5" t="s">
        <v>43</v>
      </c>
      <c r="H146" s="5" t="s">
        <v>284</v>
      </c>
      <c r="I146" s="5">
        <v>202500157</v>
      </c>
      <c r="J146" s="6">
        <v>45797</v>
      </c>
      <c r="K146" s="6">
        <v>45799</v>
      </c>
      <c r="L146" s="6">
        <v>45804</v>
      </c>
      <c r="M146" s="5" t="s">
        <v>53</v>
      </c>
      <c r="N146" s="5" t="s">
        <v>54</v>
      </c>
      <c r="O146" s="5" t="s">
        <v>41</v>
      </c>
      <c r="P146" s="30">
        <v>5</v>
      </c>
      <c r="Q146" s="7">
        <v>4250.8347826086956</v>
      </c>
      <c r="R146" s="7">
        <v>11000</v>
      </c>
      <c r="S146" s="8">
        <f t="shared" si="5"/>
        <v>6749.1652173913044</v>
      </c>
    </row>
    <row r="147" spans="1:19">
      <c r="A147" s="5">
        <v>146</v>
      </c>
      <c r="B147" s="5">
        <v>2505221196</v>
      </c>
      <c r="C147" s="5" t="s">
        <v>300</v>
      </c>
      <c r="D147" s="5" t="s">
        <v>301</v>
      </c>
      <c r="E147" s="5" t="s">
        <v>302</v>
      </c>
      <c r="F147" s="5" t="s">
        <v>169</v>
      </c>
      <c r="G147" s="5" t="s">
        <v>75</v>
      </c>
      <c r="H147" s="5" t="s">
        <v>284</v>
      </c>
      <c r="I147" s="5">
        <v>202500158</v>
      </c>
      <c r="J147" s="6">
        <v>45798</v>
      </c>
      <c r="K147" s="6">
        <v>45799</v>
      </c>
      <c r="L147" s="6">
        <v>45804</v>
      </c>
      <c r="M147" s="5" t="s">
        <v>53</v>
      </c>
      <c r="N147" s="5" t="s">
        <v>54</v>
      </c>
      <c r="O147" s="5" t="s">
        <v>41</v>
      </c>
      <c r="P147" s="30">
        <v>5</v>
      </c>
      <c r="Q147" s="7">
        <v>4250.8347826086956</v>
      </c>
      <c r="R147" s="7">
        <v>4500</v>
      </c>
      <c r="S147" s="8">
        <f t="shared" si="5"/>
        <v>249.1652173913044</v>
      </c>
    </row>
    <row r="148" spans="1:19">
      <c r="A148" s="5">
        <v>147</v>
      </c>
      <c r="B148" s="5">
        <v>2505223398</v>
      </c>
      <c r="C148" s="5" t="s">
        <v>303</v>
      </c>
      <c r="D148" s="5" t="s">
        <v>218</v>
      </c>
      <c r="E148" s="5" t="s">
        <v>219</v>
      </c>
      <c r="F148" s="5" t="s">
        <v>51</v>
      </c>
      <c r="G148" s="5" t="s">
        <v>52</v>
      </c>
      <c r="H148" s="5" t="s">
        <v>284</v>
      </c>
      <c r="I148" s="5">
        <v>202500159</v>
      </c>
      <c r="J148" s="6">
        <v>45798</v>
      </c>
      <c r="K148" s="6">
        <v>45799</v>
      </c>
      <c r="L148" s="6">
        <v>45804</v>
      </c>
      <c r="M148" s="5" t="s">
        <v>53</v>
      </c>
      <c r="N148" s="5" t="s">
        <v>54</v>
      </c>
      <c r="O148" s="5" t="s">
        <v>41</v>
      </c>
      <c r="P148" s="30">
        <v>5</v>
      </c>
      <c r="Q148" s="7">
        <v>4250.8347826086956</v>
      </c>
      <c r="R148" s="7">
        <v>5500</v>
      </c>
      <c r="S148" s="8">
        <f t="shared" si="5"/>
        <v>1249.1652173913044</v>
      </c>
    </row>
    <row r="149" spans="1:19">
      <c r="A149" s="5">
        <v>148</v>
      </c>
      <c r="B149" s="5">
        <v>2505223401</v>
      </c>
      <c r="C149" s="5" t="s">
        <v>304</v>
      </c>
      <c r="D149" s="5" t="s">
        <v>218</v>
      </c>
      <c r="E149" s="5" t="s">
        <v>219</v>
      </c>
      <c r="F149" s="5" t="s">
        <v>51</v>
      </c>
      <c r="G149" s="5" t="s">
        <v>52</v>
      </c>
      <c r="H149" s="5" t="s">
        <v>284</v>
      </c>
      <c r="I149" s="5">
        <v>202500160</v>
      </c>
      <c r="J149" s="6">
        <v>45798</v>
      </c>
      <c r="K149" s="6">
        <v>45799</v>
      </c>
      <c r="L149" s="6">
        <v>45804</v>
      </c>
      <c r="M149" s="5" t="s">
        <v>53</v>
      </c>
      <c r="N149" s="5" t="s">
        <v>54</v>
      </c>
      <c r="O149" s="5" t="s">
        <v>41</v>
      </c>
      <c r="P149" s="30">
        <v>5</v>
      </c>
      <c r="Q149" s="7">
        <v>4250.8347826086956</v>
      </c>
      <c r="R149" s="7">
        <v>5500</v>
      </c>
      <c r="S149" s="8">
        <f t="shared" si="5"/>
        <v>1249.1652173913044</v>
      </c>
    </row>
    <row r="150" spans="1:19">
      <c r="A150" s="5">
        <v>149</v>
      </c>
      <c r="B150" s="5">
        <v>2505223410</v>
      </c>
      <c r="C150" s="5" t="s">
        <v>305</v>
      </c>
      <c r="D150" s="5" t="s">
        <v>306</v>
      </c>
      <c r="E150" s="5" t="s">
        <v>306</v>
      </c>
      <c r="F150" s="5" t="s">
        <v>169</v>
      </c>
      <c r="G150" s="5" t="s">
        <v>52</v>
      </c>
      <c r="H150" s="5" t="s">
        <v>284</v>
      </c>
      <c r="I150" s="5">
        <v>202500161</v>
      </c>
      <c r="J150" s="6">
        <v>45798</v>
      </c>
      <c r="K150" s="6">
        <v>45799</v>
      </c>
      <c r="L150" s="6">
        <v>45804</v>
      </c>
      <c r="M150" s="5" t="s">
        <v>53</v>
      </c>
      <c r="N150" s="5" t="s">
        <v>54</v>
      </c>
      <c r="O150" s="5" t="s">
        <v>41</v>
      </c>
      <c r="P150" s="30">
        <v>5</v>
      </c>
      <c r="Q150" s="7">
        <v>4250.8347826086956</v>
      </c>
      <c r="R150" s="7">
        <v>5500</v>
      </c>
      <c r="S150" s="8">
        <f t="shared" si="5"/>
        <v>1249.1652173913044</v>
      </c>
    </row>
    <row r="151" spans="1:19">
      <c r="A151" s="5">
        <v>150</v>
      </c>
      <c r="B151" s="5">
        <v>2505223417</v>
      </c>
      <c r="C151" s="5" t="s">
        <v>307</v>
      </c>
      <c r="D151" s="5" t="s">
        <v>257</v>
      </c>
      <c r="E151" s="5" t="s">
        <v>258</v>
      </c>
      <c r="F151" s="5" t="s">
        <v>62</v>
      </c>
      <c r="G151" s="5" t="s">
        <v>52</v>
      </c>
      <c r="H151" s="5" t="s">
        <v>284</v>
      </c>
      <c r="I151" s="5">
        <v>202500162</v>
      </c>
      <c r="J151" s="6">
        <v>45798</v>
      </c>
      <c r="K151" s="6">
        <v>45799</v>
      </c>
      <c r="L151" s="6">
        <v>45804</v>
      </c>
      <c r="M151" s="5" t="s">
        <v>53</v>
      </c>
      <c r="N151" s="5" t="s">
        <v>54</v>
      </c>
      <c r="O151" s="5" t="s">
        <v>41</v>
      </c>
      <c r="P151" s="30">
        <v>5</v>
      </c>
      <c r="Q151" s="7">
        <v>4250.8347826086956</v>
      </c>
      <c r="R151" s="7">
        <v>5100</v>
      </c>
      <c r="S151" s="8">
        <f t="shared" si="5"/>
        <v>849.1652173913044</v>
      </c>
    </row>
    <row r="152" spans="1:19">
      <c r="A152" s="5">
        <v>151</v>
      </c>
      <c r="B152" s="5">
        <v>2505223421</v>
      </c>
      <c r="C152" s="5" t="s">
        <v>308</v>
      </c>
      <c r="D152" s="5" t="s">
        <v>309</v>
      </c>
      <c r="E152" s="5" t="s">
        <v>310</v>
      </c>
      <c r="F152" s="5" t="s">
        <v>51</v>
      </c>
      <c r="G152" s="5" t="s">
        <v>52</v>
      </c>
      <c r="H152" s="5" t="s">
        <v>284</v>
      </c>
      <c r="I152" s="5">
        <v>202500163</v>
      </c>
      <c r="J152" s="6">
        <v>45798</v>
      </c>
      <c r="K152" s="6">
        <v>45799</v>
      </c>
      <c r="L152" s="6">
        <v>45804</v>
      </c>
      <c r="M152" s="5" t="s">
        <v>53</v>
      </c>
      <c r="N152" s="5" t="s">
        <v>54</v>
      </c>
      <c r="O152" s="5" t="s">
        <v>41</v>
      </c>
      <c r="P152" s="30">
        <v>5</v>
      </c>
      <c r="Q152" s="7">
        <v>4250.8347826086956</v>
      </c>
      <c r="R152" s="7">
        <v>5500</v>
      </c>
      <c r="S152" s="8">
        <f t="shared" si="5"/>
        <v>1249.1652173913044</v>
      </c>
    </row>
    <row r="153" spans="1:19">
      <c r="A153" s="5">
        <v>152</v>
      </c>
      <c r="B153" s="26">
        <v>2505233011</v>
      </c>
      <c r="C153" s="26" t="s">
        <v>311</v>
      </c>
      <c r="D153" s="26" t="s">
        <v>312</v>
      </c>
      <c r="E153" s="26" t="s">
        <v>41</v>
      </c>
      <c r="F153" s="26" t="s">
        <v>141</v>
      </c>
      <c r="G153" s="26" t="s">
        <v>75</v>
      </c>
      <c r="H153" s="26" t="s">
        <v>284</v>
      </c>
      <c r="I153" s="26">
        <v>202500164</v>
      </c>
      <c r="J153" s="27">
        <v>45800</v>
      </c>
      <c r="K153" s="27">
        <v>45800</v>
      </c>
      <c r="L153" s="27">
        <v>45804</v>
      </c>
      <c r="M153" s="26" t="s">
        <v>53</v>
      </c>
      <c r="N153" s="26" t="s">
        <v>163</v>
      </c>
      <c r="O153" s="26" t="s">
        <v>313</v>
      </c>
      <c r="P153" s="33">
        <v>4</v>
      </c>
      <c r="Q153" s="28">
        <v>4250.8347826086956</v>
      </c>
      <c r="R153" s="28">
        <v>4900</v>
      </c>
      <c r="S153" s="29">
        <f t="shared" si="5"/>
        <v>649.1652173913044</v>
      </c>
    </row>
    <row r="154" spans="1:19">
      <c r="A154" s="5">
        <v>153</v>
      </c>
      <c r="B154" s="5">
        <v>2505240578</v>
      </c>
      <c r="C154" s="5" t="s">
        <v>314</v>
      </c>
      <c r="D154" s="5" t="s">
        <v>167</v>
      </c>
      <c r="E154" s="5" t="s">
        <v>168</v>
      </c>
      <c r="F154" s="5" t="s">
        <v>169</v>
      </c>
      <c r="G154" s="5" t="s">
        <v>52</v>
      </c>
      <c r="H154" s="5" t="s">
        <v>284</v>
      </c>
      <c r="I154" s="5">
        <v>202500165</v>
      </c>
      <c r="J154" s="6">
        <v>45799</v>
      </c>
      <c r="K154" s="6">
        <v>45801</v>
      </c>
      <c r="L154" s="6">
        <v>45804</v>
      </c>
      <c r="M154" s="5" t="s">
        <v>53</v>
      </c>
      <c r="N154" s="5" t="s">
        <v>54</v>
      </c>
      <c r="O154" s="5" t="s">
        <v>41</v>
      </c>
      <c r="P154" s="30">
        <v>3</v>
      </c>
      <c r="Q154" s="7">
        <v>4250.8347826086956</v>
      </c>
      <c r="R154" s="7">
        <v>6000</v>
      </c>
      <c r="S154" s="8">
        <f t="shared" si="5"/>
        <v>1749.1652173913044</v>
      </c>
    </row>
    <row r="155" spans="1:19">
      <c r="A155" s="5">
        <v>154</v>
      </c>
      <c r="B155" s="5">
        <v>2505240583</v>
      </c>
      <c r="C155" s="5" t="s">
        <v>315</v>
      </c>
      <c r="D155" s="5" t="s">
        <v>167</v>
      </c>
      <c r="E155" s="5" t="s">
        <v>168</v>
      </c>
      <c r="F155" s="5" t="s">
        <v>169</v>
      </c>
      <c r="G155" s="5" t="s">
        <v>52</v>
      </c>
      <c r="H155" s="5" t="s">
        <v>284</v>
      </c>
      <c r="I155" s="5">
        <v>202500166</v>
      </c>
      <c r="J155" s="6">
        <v>45799</v>
      </c>
      <c r="K155" s="6">
        <v>45801</v>
      </c>
      <c r="L155" s="6">
        <v>45804</v>
      </c>
      <c r="M155" s="5" t="s">
        <v>53</v>
      </c>
      <c r="N155" s="5" t="s">
        <v>54</v>
      </c>
      <c r="O155" s="5" t="s">
        <v>41</v>
      </c>
      <c r="P155" s="30">
        <v>3</v>
      </c>
      <c r="Q155" s="7">
        <v>4250.8347826086956</v>
      </c>
      <c r="R155" s="7">
        <v>6000</v>
      </c>
      <c r="S155" s="8">
        <f t="shared" si="5"/>
        <v>1749.1652173913044</v>
      </c>
    </row>
    <row r="156" spans="1:19">
      <c r="A156" s="5">
        <v>155</v>
      </c>
      <c r="B156" s="5">
        <v>2505240596</v>
      </c>
      <c r="C156" s="5" t="s">
        <v>316</v>
      </c>
      <c r="D156" s="5" t="s">
        <v>139</v>
      </c>
      <c r="E156" s="5" t="s">
        <v>140</v>
      </c>
      <c r="F156" s="5" t="s">
        <v>141</v>
      </c>
      <c r="G156" s="5" t="s">
        <v>52</v>
      </c>
      <c r="H156" s="5" t="s">
        <v>284</v>
      </c>
      <c r="I156" s="5">
        <v>202500167</v>
      </c>
      <c r="J156" s="6">
        <v>45800</v>
      </c>
      <c r="K156" s="6">
        <v>45801</v>
      </c>
      <c r="L156" s="6">
        <v>45804</v>
      </c>
      <c r="M156" s="5" t="s">
        <v>53</v>
      </c>
      <c r="N156" s="5" t="s">
        <v>54</v>
      </c>
      <c r="O156" s="5" t="s">
        <v>41</v>
      </c>
      <c r="P156" s="30">
        <v>3</v>
      </c>
      <c r="Q156" s="7">
        <v>4250.8347826086956</v>
      </c>
      <c r="R156" s="7">
        <v>6000</v>
      </c>
      <c r="S156" s="8">
        <f t="shared" si="5"/>
        <v>1749.1652173913044</v>
      </c>
    </row>
    <row r="157" spans="1:19">
      <c r="A157" s="5">
        <v>156</v>
      </c>
      <c r="B157" s="13">
        <v>2505192196</v>
      </c>
      <c r="C157" s="13" t="s">
        <v>265</v>
      </c>
      <c r="D157" s="13" t="s">
        <v>266</v>
      </c>
      <c r="E157" s="13" t="s">
        <v>267</v>
      </c>
      <c r="F157" s="13" t="s">
        <v>169</v>
      </c>
      <c r="G157" s="13" t="s">
        <v>52</v>
      </c>
      <c r="H157" s="13" t="s">
        <v>284</v>
      </c>
      <c r="I157" s="13">
        <v>202500168</v>
      </c>
      <c r="J157" s="14">
        <v>45796</v>
      </c>
      <c r="K157" s="14">
        <v>45796</v>
      </c>
      <c r="L157" s="14">
        <v>45805</v>
      </c>
      <c r="M157" s="13" t="s">
        <v>53</v>
      </c>
      <c r="N157" s="13" t="s">
        <v>46</v>
      </c>
      <c r="O157" s="13" t="s">
        <v>317</v>
      </c>
      <c r="P157" s="35">
        <v>9</v>
      </c>
      <c r="Q157" s="15">
        <v>4250.8347826086956</v>
      </c>
      <c r="R157" s="15">
        <v>0</v>
      </c>
      <c r="S157" s="16">
        <f t="shared" si="5"/>
        <v>-4250.8347826086956</v>
      </c>
    </row>
    <row r="158" spans="1:19">
      <c r="A158" s="5">
        <v>157</v>
      </c>
      <c r="B158" s="22">
        <v>2505192206</v>
      </c>
      <c r="C158" s="22" t="s">
        <v>269</v>
      </c>
      <c r="D158" s="22" t="s">
        <v>86</v>
      </c>
      <c r="E158" s="22" t="s">
        <v>270</v>
      </c>
      <c r="F158" s="22" t="s">
        <v>87</v>
      </c>
      <c r="G158" s="22" t="s">
        <v>52</v>
      </c>
      <c r="H158" s="22" t="s">
        <v>284</v>
      </c>
      <c r="I158" s="22">
        <v>202500169</v>
      </c>
      <c r="J158" s="23">
        <v>45795</v>
      </c>
      <c r="K158" s="23">
        <v>45796</v>
      </c>
      <c r="L158" s="23">
        <v>45806</v>
      </c>
      <c r="M158" s="22" t="s">
        <v>53</v>
      </c>
      <c r="N158" s="22" t="s">
        <v>54</v>
      </c>
      <c r="O158" s="22" t="s">
        <v>242</v>
      </c>
      <c r="P158" s="34">
        <v>10</v>
      </c>
      <c r="Q158" s="24">
        <v>4250.8347826086956</v>
      </c>
      <c r="R158" s="24">
        <v>0</v>
      </c>
      <c r="S158" s="25">
        <f t="shared" si="5"/>
        <v>-4250.8347826086956</v>
      </c>
    </row>
    <row r="159" spans="1:19">
      <c r="A159" s="5">
        <v>158</v>
      </c>
      <c r="B159" s="5" t="s">
        <v>318</v>
      </c>
      <c r="C159" s="5"/>
      <c r="D159" s="5"/>
      <c r="E159" s="5"/>
      <c r="F159" s="5"/>
      <c r="G159" s="5" t="s">
        <v>52</v>
      </c>
      <c r="H159" s="5" t="s">
        <v>284</v>
      </c>
      <c r="I159" s="5"/>
      <c r="J159" s="5"/>
      <c r="K159" s="5"/>
      <c r="L159" s="5"/>
      <c r="M159" s="5"/>
      <c r="N159" s="5"/>
      <c r="O159" s="5"/>
      <c r="P159" s="5"/>
      <c r="Q159" s="7">
        <v>4250.8347826086956</v>
      </c>
      <c r="R159" s="7">
        <v>0</v>
      </c>
      <c r="S159" s="8">
        <f t="shared" si="5"/>
        <v>-4250.8347826086956</v>
      </c>
    </row>
    <row r="160" spans="1:19">
      <c r="A160" s="5">
        <v>159</v>
      </c>
      <c r="B160" s="5" t="s">
        <v>319</v>
      </c>
      <c r="C160" s="5"/>
      <c r="D160" s="5"/>
      <c r="E160" s="5"/>
      <c r="F160" s="5"/>
      <c r="G160" s="5" t="s">
        <v>52</v>
      </c>
      <c r="H160" s="5" t="s">
        <v>284</v>
      </c>
      <c r="I160" s="5"/>
      <c r="J160" s="5"/>
      <c r="K160" s="5"/>
      <c r="L160" s="5"/>
      <c r="M160" s="5"/>
      <c r="N160" s="5"/>
      <c r="O160" s="5"/>
      <c r="P160" s="5"/>
      <c r="Q160" s="7">
        <v>4250.8347826086956</v>
      </c>
      <c r="R160" s="7">
        <v>0</v>
      </c>
      <c r="S160" s="8">
        <f t="shared" si="5"/>
        <v>-4250.8347826086956</v>
      </c>
    </row>
    <row r="161" spans="1:19">
      <c r="A161" s="5">
        <v>160</v>
      </c>
      <c r="B161" s="5">
        <v>2505242747</v>
      </c>
      <c r="C161" s="5" t="s">
        <v>320</v>
      </c>
      <c r="D161" s="5" t="s">
        <v>321</v>
      </c>
      <c r="E161" s="5" t="s">
        <v>322</v>
      </c>
      <c r="F161" s="5" t="s">
        <v>202</v>
      </c>
      <c r="G161" s="5" t="s">
        <v>52</v>
      </c>
      <c r="H161" s="5" t="s">
        <v>323</v>
      </c>
      <c r="I161" s="5">
        <v>202500170</v>
      </c>
      <c r="J161" s="6">
        <v>45801</v>
      </c>
      <c r="K161" s="6">
        <v>45801</v>
      </c>
      <c r="L161" s="6">
        <v>45807</v>
      </c>
      <c r="M161" s="5" t="s">
        <v>53</v>
      </c>
      <c r="N161" s="5" t="s">
        <v>54</v>
      </c>
      <c r="O161" s="5" t="s">
        <v>41</v>
      </c>
      <c r="P161" s="30">
        <v>6</v>
      </c>
      <c r="Q161" s="7">
        <v>4250.8347826086956</v>
      </c>
      <c r="R161" s="7">
        <v>7500</v>
      </c>
      <c r="S161" s="8">
        <f t="shared" si="5"/>
        <v>3249.1652173913044</v>
      </c>
    </row>
    <row r="162" spans="1:19">
      <c r="A162" s="5">
        <v>161</v>
      </c>
      <c r="B162" s="5">
        <v>2505242755</v>
      </c>
      <c r="C162" s="5" t="s">
        <v>324</v>
      </c>
      <c r="D162" s="5" t="s">
        <v>73</v>
      </c>
      <c r="E162" s="5" t="s">
        <v>237</v>
      </c>
      <c r="F162" s="5" t="s">
        <v>71</v>
      </c>
      <c r="G162" s="5" t="s">
        <v>52</v>
      </c>
      <c r="H162" s="5" t="s">
        <v>323</v>
      </c>
      <c r="I162" s="5">
        <v>202500171</v>
      </c>
      <c r="J162" s="6">
        <v>45801</v>
      </c>
      <c r="K162" s="6">
        <v>45801</v>
      </c>
      <c r="L162" s="6">
        <v>45807</v>
      </c>
      <c r="M162" s="5" t="s">
        <v>53</v>
      </c>
      <c r="N162" s="5" t="s">
        <v>54</v>
      </c>
      <c r="O162" s="5" t="s">
        <v>41</v>
      </c>
      <c r="P162" s="30">
        <v>6</v>
      </c>
      <c r="Q162" s="7">
        <v>4250.8347826086956</v>
      </c>
      <c r="R162" s="7">
        <v>8000</v>
      </c>
      <c r="S162" s="8">
        <f t="shared" si="5"/>
        <v>3749.1652173913044</v>
      </c>
    </row>
    <row r="163" spans="1:19">
      <c r="A163" s="5">
        <v>162</v>
      </c>
      <c r="B163" s="5">
        <v>2505242778</v>
      </c>
      <c r="C163" s="5" t="s">
        <v>325</v>
      </c>
      <c r="D163" s="5" t="s">
        <v>326</v>
      </c>
      <c r="E163" s="5" t="s">
        <v>327</v>
      </c>
      <c r="F163" s="5" t="s">
        <v>169</v>
      </c>
      <c r="G163" s="5" t="s">
        <v>52</v>
      </c>
      <c r="H163" s="5" t="s">
        <v>323</v>
      </c>
      <c r="I163" s="5">
        <v>202500172</v>
      </c>
      <c r="J163" s="6">
        <v>45801</v>
      </c>
      <c r="K163" s="6">
        <v>45801</v>
      </c>
      <c r="L163" s="6">
        <v>45807</v>
      </c>
      <c r="M163" s="5" t="s">
        <v>53</v>
      </c>
      <c r="N163" s="5" t="s">
        <v>54</v>
      </c>
      <c r="O163" s="5" t="s">
        <v>41</v>
      </c>
      <c r="P163" s="30">
        <v>6</v>
      </c>
      <c r="Q163" s="7">
        <v>4250.8347826086956</v>
      </c>
      <c r="R163" s="7">
        <v>6000</v>
      </c>
      <c r="S163" s="8">
        <f t="shared" si="5"/>
        <v>1749.1652173913044</v>
      </c>
    </row>
    <row r="164" spans="1:19">
      <c r="A164" s="5">
        <v>163</v>
      </c>
      <c r="B164" s="5">
        <v>2505242784</v>
      </c>
      <c r="C164" s="5" t="s">
        <v>328</v>
      </c>
      <c r="D164" s="5" t="s">
        <v>326</v>
      </c>
      <c r="E164" s="5" t="s">
        <v>329</v>
      </c>
      <c r="F164" s="5" t="s">
        <v>169</v>
      </c>
      <c r="G164" s="5" t="s">
        <v>75</v>
      </c>
      <c r="H164" s="5" t="s">
        <v>323</v>
      </c>
      <c r="I164" s="5">
        <v>202500173</v>
      </c>
      <c r="J164" s="6">
        <v>45801</v>
      </c>
      <c r="K164" s="6">
        <v>45801</v>
      </c>
      <c r="L164" s="6">
        <v>45807</v>
      </c>
      <c r="M164" s="5" t="s">
        <v>53</v>
      </c>
      <c r="N164" s="5" t="s">
        <v>54</v>
      </c>
      <c r="O164" s="5" t="s">
        <v>41</v>
      </c>
      <c r="P164" s="30">
        <v>6</v>
      </c>
      <c r="Q164" s="7">
        <v>4250.8347826086956</v>
      </c>
      <c r="R164" s="7">
        <v>4500</v>
      </c>
      <c r="S164" s="8">
        <f t="shared" si="5"/>
        <v>249.1652173913044</v>
      </c>
    </row>
    <row r="165" spans="1:19">
      <c r="A165" s="5">
        <v>164</v>
      </c>
      <c r="B165" s="13">
        <v>2505251314</v>
      </c>
      <c r="C165" s="13" t="s">
        <v>330</v>
      </c>
      <c r="D165" s="13" t="s">
        <v>107</v>
      </c>
      <c r="E165" s="13" t="s">
        <v>108</v>
      </c>
      <c r="F165" s="13" t="s">
        <v>109</v>
      </c>
      <c r="G165" s="13" t="s">
        <v>52</v>
      </c>
      <c r="H165" s="13" t="s">
        <v>323</v>
      </c>
      <c r="I165" s="13">
        <v>202500174</v>
      </c>
      <c r="J165" s="14">
        <v>45800</v>
      </c>
      <c r="K165" s="14">
        <v>45802</v>
      </c>
      <c r="L165" s="14">
        <v>45807</v>
      </c>
      <c r="M165" s="13" t="s">
        <v>45</v>
      </c>
      <c r="N165" s="13" t="s">
        <v>46</v>
      </c>
      <c r="O165" s="13" t="s">
        <v>331</v>
      </c>
      <c r="P165" s="35">
        <v>5</v>
      </c>
      <c r="Q165" s="15">
        <v>4250.8347826086956</v>
      </c>
      <c r="R165" s="15">
        <v>5500</v>
      </c>
      <c r="S165" s="16">
        <f t="shared" si="5"/>
        <v>1249.1652173913044</v>
      </c>
    </row>
    <row r="166" spans="1:19">
      <c r="A166" s="5">
        <v>165</v>
      </c>
      <c r="B166" s="5">
        <v>2505251319</v>
      </c>
      <c r="C166" s="5" t="s">
        <v>332</v>
      </c>
      <c r="D166" s="5" t="s">
        <v>89</v>
      </c>
      <c r="E166" s="5" t="s">
        <v>90</v>
      </c>
      <c r="F166" s="5" t="s">
        <v>79</v>
      </c>
      <c r="G166" s="5" t="s">
        <v>52</v>
      </c>
      <c r="H166" s="5" t="s">
        <v>323</v>
      </c>
      <c r="I166" s="5">
        <v>202500175</v>
      </c>
      <c r="J166" s="6">
        <v>45801</v>
      </c>
      <c r="K166" s="6">
        <v>45802</v>
      </c>
      <c r="L166" s="6">
        <v>45807</v>
      </c>
      <c r="M166" s="5" t="s">
        <v>53</v>
      </c>
      <c r="N166" s="5" t="s">
        <v>54</v>
      </c>
      <c r="O166" s="5" t="s">
        <v>41</v>
      </c>
      <c r="P166" s="30">
        <v>5</v>
      </c>
      <c r="Q166" s="7">
        <v>4250.8347826086956</v>
      </c>
      <c r="R166" s="7">
        <v>5500</v>
      </c>
      <c r="S166" s="8">
        <f t="shared" si="5"/>
        <v>1249.1652173913044</v>
      </c>
    </row>
    <row r="167" spans="1:19">
      <c r="A167" s="5">
        <v>166</v>
      </c>
      <c r="B167" s="5">
        <v>2505260354</v>
      </c>
      <c r="C167" s="5" t="s">
        <v>333</v>
      </c>
      <c r="D167" s="5" t="s">
        <v>334</v>
      </c>
      <c r="E167" s="5" t="s">
        <v>335</v>
      </c>
      <c r="F167" s="5" t="s">
        <v>71</v>
      </c>
      <c r="G167" s="5" t="s">
        <v>52</v>
      </c>
      <c r="H167" s="5" t="s">
        <v>323</v>
      </c>
      <c r="I167" s="5">
        <v>202500176</v>
      </c>
      <c r="J167" s="6">
        <v>45802</v>
      </c>
      <c r="K167" s="6">
        <v>45803</v>
      </c>
      <c r="L167" s="6">
        <v>45807</v>
      </c>
      <c r="M167" s="5" t="s">
        <v>53</v>
      </c>
      <c r="N167" s="5" t="s">
        <v>54</v>
      </c>
      <c r="O167" s="5" t="s">
        <v>41</v>
      </c>
      <c r="P167" s="30">
        <v>4</v>
      </c>
      <c r="Q167" s="7">
        <v>4250.8347826086956</v>
      </c>
      <c r="R167" s="7">
        <v>5950</v>
      </c>
      <c r="S167" s="8">
        <f t="shared" si="5"/>
        <v>1699.1652173913044</v>
      </c>
    </row>
    <row r="168" spans="1:19">
      <c r="A168" s="5">
        <v>167</v>
      </c>
      <c r="B168" s="5">
        <v>2505260361</v>
      </c>
      <c r="C168" s="5" t="s">
        <v>336</v>
      </c>
      <c r="D168" s="5" t="s">
        <v>177</v>
      </c>
      <c r="E168" s="5" t="s">
        <v>98</v>
      </c>
      <c r="F168" s="5" t="s">
        <v>71</v>
      </c>
      <c r="G168" s="5" t="s">
        <v>75</v>
      </c>
      <c r="H168" s="5" t="s">
        <v>323</v>
      </c>
      <c r="I168" s="5">
        <v>202500177</v>
      </c>
      <c r="J168" s="6">
        <v>45802</v>
      </c>
      <c r="K168" s="6">
        <v>45803</v>
      </c>
      <c r="L168" s="6">
        <v>45807</v>
      </c>
      <c r="M168" s="5" t="s">
        <v>53</v>
      </c>
      <c r="N168" s="5" t="s">
        <v>54</v>
      </c>
      <c r="O168" s="5" t="s">
        <v>41</v>
      </c>
      <c r="P168" s="30">
        <v>4</v>
      </c>
      <c r="Q168" s="7">
        <v>4250.8347826086956</v>
      </c>
      <c r="R168" s="7">
        <v>4900</v>
      </c>
      <c r="S168" s="8">
        <f t="shared" si="5"/>
        <v>649.1652173913044</v>
      </c>
    </row>
    <row r="169" spans="1:19">
      <c r="A169" s="5">
        <v>168</v>
      </c>
      <c r="B169" s="5">
        <v>2505260368</v>
      </c>
      <c r="C169" s="5" t="s">
        <v>337</v>
      </c>
      <c r="D169" s="5" t="s">
        <v>177</v>
      </c>
      <c r="E169" s="5" t="s">
        <v>98</v>
      </c>
      <c r="F169" s="5" t="s">
        <v>71</v>
      </c>
      <c r="G169" s="5" t="s">
        <v>52</v>
      </c>
      <c r="H169" s="5" t="s">
        <v>323</v>
      </c>
      <c r="I169" s="5">
        <v>202500178</v>
      </c>
      <c r="J169" s="6">
        <v>45802</v>
      </c>
      <c r="K169" s="6">
        <v>45803</v>
      </c>
      <c r="L169" s="6">
        <v>45807</v>
      </c>
      <c r="M169" s="5" t="s">
        <v>53</v>
      </c>
      <c r="N169" s="5" t="s">
        <v>54</v>
      </c>
      <c r="O169" s="5" t="s">
        <v>41</v>
      </c>
      <c r="P169" s="30">
        <v>4</v>
      </c>
      <c r="Q169" s="7">
        <v>4250.8347826086956</v>
      </c>
      <c r="R169" s="7">
        <v>8500</v>
      </c>
      <c r="S169" s="8">
        <f t="shared" si="5"/>
        <v>4249.1652173913044</v>
      </c>
    </row>
    <row r="170" spans="1:19">
      <c r="A170" s="5">
        <v>169</v>
      </c>
      <c r="B170" s="5">
        <v>2505260575</v>
      </c>
      <c r="C170" s="5" t="s">
        <v>338</v>
      </c>
      <c r="D170" s="5" t="s">
        <v>103</v>
      </c>
      <c r="E170" s="5" t="s">
        <v>104</v>
      </c>
      <c r="F170" s="5" t="s">
        <v>51</v>
      </c>
      <c r="G170" s="5" t="s">
        <v>52</v>
      </c>
      <c r="H170" s="5" t="s">
        <v>323</v>
      </c>
      <c r="I170" s="5">
        <v>202500179</v>
      </c>
      <c r="J170" s="6">
        <v>45802</v>
      </c>
      <c r="K170" s="6">
        <v>45803</v>
      </c>
      <c r="L170" s="6">
        <v>45807</v>
      </c>
      <c r="M170" s="5" t="s">
        <v>53</v>
      </c>
      <c r="N170" s="5" t="s">
        <v>54</v>
      </c>
      <c r="O170" s="5" t="s">
        <v>41</v>
      </c>
      <c r="P170" s="30">
        <v>4</v>
      </c>
      <c r="Q170" s="7">
        <v>4250.8347826086956</v>
      </c>
      <c r="R170" s="7">
        <v>8500</v>
      </c>
      <c r="S170" s="8">
        <f t="shared" si="5"/>
        <v>4249.1652173913044</v>
      </c>
    </row>
    <row r="171" spans="1:19">
      <c r="A171" s="5">
        <v>170</v>
      </c>
      <c r="B171" s="5">
        <v>2505260584</v>
      </c>
      <c r="C171" s="5" t="s">
        <v>339</v>
      </c>
      <c r="D171" s="5" t="s">
        <v>89</v>
      </c>
      <c r="E171" s="5" t="s">
        <v>90</v>
      </c>
      <c r="F171" s="5" t="s">
        <v>79</v>
      </c>
      <c r="G171" s="5" t="s">
        <v>52</v>
      </c>
      <c r="H171" s="5" t="s">
        <v>323</v>
      </c>
      <c r="I171" s="5">
        <v>202500180</v>
      </c>
      <c r="J171" s="6">
        <v>45802</v>
      </c>
      <c r="K171" s="6">
        <v>45803</v>
      </c>
      <c r="L171" s="6">
        <v>45807</v>
      </c>
      <c r="M171" s="5" t="s">
        <v>53</v>
      </c>
      <c r="N171" s="5" t="s">
        <v>54</v>
      </c>
      <c r="O171" s="5" t="s">
        <v>41</v>
      </c>
      <c r="P171" s="30">
        <v>4</v>
      </c>
      <c r="Q171" s="7">
        <v>4250.8347826086956</v>
      </c>
      <c r="R171" s="7">
        <v>5500</v>
      </c>
      <c r="S171" s="8">
        <f t="shared" si="5"/>
        <v>1249.1652173913044</v>
      </c>
    </row>
    <row r="172" spans="1:19">
      <c r="A172" s="5">
        <v>171</v>
      </c>
      <c r="B172" s="5">
        <v>2505262329</v>
      </c>
      <c r="C172" s="5" t="s">
        <v>340</v>
      </c>
      <c r="D172" s="5" t="s">
        <v>228</v>
      </c>
      <c r="E172" s="5" t="s">
        <v>229</v>
      </c>
      <c r="F172" s="5" t="s">
        <v>169</v>
      </c>
      <c r="G172" s="5" t="s">
        <v>52</v>
      </c>
      <c r="H172" s="5" t="s">
        <v>323</v>
      </c>
      <c r="I172" s="5">
        <v>202500181</v>
      </c>
      <c r="J172" s="6">
        <v>45802</v>
      </c>
      <c r="K172" s="6">
        <v>45803</v>
      </c>
      <c r="L172" s="6">
        <v>45807</v>
      </c>
      <c r="M172" s="5" t="s">
        <v>53</v>
      </c>
      <c r="N172" s="5" t="s">
        <v>54</v>
      </c>
      <c r="O172" s="5" t="s">
        <v>41</v>
      </c>
      <c r="P172" s="30">
        <v>4</v>
      </c>
      <c r="Q172" s="7">
        <v>4250.8347826086956</v>
      </c>
      <c r="R172" s="7">
        <v>6000</v>
      </c>
      <c r="S172" s="8">
        <f t="shared" si="5"/>
        <v>1749.1652173913044</v>
      </c>
    </row>
    <row r="173" spans="1:19">
      <c r="A173" s="5">
        <v>172</v>
      </c>
      <c r="B173" s="5">
        <v>2505262331</v>
      </c>
      <c r="C173" s="5" t="s">
        <v>341</v>
      </c>
      <c r="D173" s="5" t="s">
        <v>257</v>
      </c>
      <c r="E173" s="5" t="s">
        <v>258</v>
      </c>
      <c r="F173" s="5" t="s">
        <v>62</v>
      </c>
      <c r="G173" s="5" t="s">
        <v>52</v>
      </c>
      <c r="H173" s="5" t="s">
        <v>323</v>
      </c>
      <c r="I173" s="5">
        <v>202500182</v>
      </c>
      <c r="J173" s="6">
        <v>45801</v>
      </c>
      <c r="K173" s="6">
        <v>45803</v>
      </c>
      <c r="L173" s="6">
        <v>45807</v>
      </c>
      <c r="M173" s="5" t="s">
        <v>53</v>
      </c>
      <c r="N173" s="5" t="s">
        <v>54</v>
      </c>
      <c r="O173" s="5" t="s">
        <v>41</v>
      </c>
      <c r="P173" s="30">
        <v>4</v>
      </c>
      <c r="Q173" s="7">
        <v>4250.8347826086956</v>
      </c>
      <c r="R173" s="7">
        <v>5100</v>
      </c>
      <c r="S173" s="8">
        <f t="shared" si="5"/>
        <v>849.1652173913044</v>
      </c>
    </row>
    <row r="174" spans="1:19">
      <c r="A174" s="5">
        <v>173</v>
      </c>
      <c r="B174" s="5">
        <v>2505262332</v>
      </c>
      <c r="C174" s="5" t="s">
        <v>342</v>
      </c>
      <c r="D174" s="5" t="s">
        <v>83</v>
      </c>
      <c r="E174" s="5" t="s">
        <v>84</v>
      </c>
      <c r="F174" s="5" t="s">
        <v>62</v>
      </c>
      <c r="G174" s="5" t="s">
        <v>52</v>
      </c>
      <c r="H174" s="5" t="s">
        <v>323</v>
      </c>
      <c r="I174" s="5">
        <v>202500183</v>
      </c>
      <c r="J174" s="6">
        <v>45802</v>
      </c>
      <c r="K174" s="6">
        <v>45803</v>
      </c>
      <c r="L174" s="6">
        <v>45807</v>
      </c>
      <c r="M174" s="5" t="s">
        <v>53</v>
      </c>
      <c r="N174" s="5" t="s">
        <v>54</v>
      </c>
      <c r="O174" s="5" t="s">
        <v>41</v>
      </c>
      <c r="P174" s="30">
        <v>4</v>
      </c>
      <c r="Q174" s="7">
        <v>4250.8347826086956</v>
      </c>
      <c r="R174" s="7">
        <v>6000</v>
      </c>
      <c r="S174" s="8">
        <f t="shared" si="5"/>
        <v>1749.1652173913044</v>
      </c>
    </row>
    <row r="175" spans="1:19">
      <c r="A175" s="5">
        <v>174</v>
      </c>
      <c r="B175" s="5">
        <v>2505262333</v>
      </c>
      <c r="C175" s="5" t="s">
        <v>343</v>
      </c>
      <c r="D175" s="5" t="s">
        <v>83</v>
      </c>
      <c r="E175" s="5" t="s">
        <v>84</v>
      </c>
      <c r="F175" s="5" t="s">
        <v>62</v>
      </c>
      <c r="G175" s="5" t="s">
        <v>52</v>
      </c>
      <c r="H175" s="5" t="s">
        <v>323</v>
      </c>
      <c r="I175" s="5">
        <v>202500184</v>
      </c>
      <c r="J175" s="6">
        <v>45800</v>
      </c>
      <c r="K175" s="6">
        <v>45803</v>
      </c>
      <c r="L175" s="6">
        <v>45807</v>
      </c>
      <c r="M175" s="5" t="s">
        <v>53</v>
      </c>
      <c r="N175" s="5" t="s">
        <v>54</v>
      </c>
      <c r="O175" s="5" t="s">
        <v>41</v>
      </c>
      <c r="P175" s="30">
        <v>4</v>
      </c>
      <c r="Q175" s="7">
        <v>4250.8347826086956</v>
      </c>
      <c r="R175" s="7">
        <v>6000</v>
      </c>
      <c r="S175" s="8">
        <f t="shared" si="5"/>
        <v>1749.1652173913044</v>
      </c>
    </row>
    <row r="176" spans="1:19">
      <c r="A176" s="5">
        <v>175</v>
      </c>
      <c r="B176" s="5">
        <v>2505262334</v>
      </c>
      <c r="C176" s="5" t="s">
        <v>344</v>
      </c>
      <c r="D176" s="5" t="s">
        <v>345</v>
      </c>
      <c r="E176" s="5" t="s">
        <v>346</v>
      </c>
      <c r="F176" s="5" t="s">
        <v>66</v>
      </c>
      <c r="G176" s="5" t="s">
        <v>52</v>
      </c>
      <c r="H176" s="5" t="s">
        <v>323</v>
      </c>
      <c r="I176" s="5">
        <v>202500185</v>
      </c>
      <c r="J176" s="6">
        <v>45803</v>
      </c>
      <c r="K176" s="6">
        <v>45803</v>
      </c>
      <c r="L176" s="6">
        <v>45807</v>
      </c>
      <c r="M176" s="5" t="s">
        <v>53</v>
      </c>
      <c r="N176" s="5" t="s">
        <v>54</v>
      </c>
      <c r="O176" s="5" t="s">
        <v>41</v>
      </c>
      <c r="P176" s="30">
        <v>4</v>
      </c>
      <c r="Q176" s="7">
        <v>4250.8347826086956</v>
      </c>
      <c r="R176" s="7">
        <v>6000</v>
      </c>
      <c r="S176" s="8">
        <f t="shared" si="5"/>
        <v>1749.1652173913044</v>
      </c>
    </row>
    <row r="177" spans="1:19">
      <c r="A177" s="5">
        <v>176</v>
      </c>
      <c r="B177" s="5">
        <v>2505271414</v>
      </c>
      <c r="C177" s="5" t="s">
        <v>347</v>
      </c>
      <c r="D177" s="5" t="s">
        <v>348</v>
      </c>
      <c r="E177" s="5" t="s">
        <v>349</v>
      </c>
      <c r="F177" s="5" t="s">
        <v>71</v>
      </c>
      <c r="G177" s="5" t="s">
        <v>52</v>
      </c>
      <c r="H177" s="5" t="s">
        <v>323</v>
      </c>
      <c r="I177" s="5">
        <v>202500186</v>
      </c>
      <c r="J177" s="6">
        <v>45802</v>
      </c>
      <c r="K177" s="6">
        <v>45804</v>
      </c>
      <c r="L177" s="6">
        <v>45807</v>
      </c>
      <c r="M177" s="5" t="s">
        <v>53</v>
      </c>
      <c r="N177" s="5" t="s">
        <v>54</v>
      </c>
      <c r="O177" s="5" t="s">
        <v>41</v>
      </c>
      <c r="P177" s="30">
        <v>3</v>
      </c>
      <c r="Q177" s="7">
        <v>4250.8347826086956</v>
      </c>
      <c r="R177" s="7">
        <v>7000</v>
      </c>
      <c r="S177" s="8">
        <f t="shared" si="5"/>
        <v>2749.1652173913044</v>
      </c>
    </row>
    <row r="178" spans="1:19">
      <c r="A178" s="5">
        <v>177</v>
      </c>
      <c r="B178" s="22">
        <v>2505170031</v>
      </c>
      <c r="C178" s="22" t="s">
        <v>350</v>
      </c>
      <c r="D178" s="22" t="s">
        <v>40</v>
      </c>
      <c r="E178" s="22" t="s">
        <v>41</v>
      </c>
      <c r="F178" s="22" t="s">
        <v>42</v>
      </c>
      <c r="G178" s="22" t="s">
        <v>43</v>
      </c>
      <c r="H178" s="22" t="s">
        <v>323</v>
      </c>
      <c r="I178" s="22">
        <v>202500187</v>
      </c>
      <c r="J178" s="23">
        <v>45804</v>
      </c>
      <c r="K178" s="23">
        <v>45804</v>
      </c>
      <c r="L178" s="23">
        <v>45807</v>
      </c>
      <c r="M178" s="22" t="s">
        <v>53</v>
      </c>
      <c r="N178" s="22" t="s">
        <v>54</v>
      </c>
      <c r="O178" s="22" t="s">
        <v>351</v>
      </c>
      <c r="P178" s="34">
        <v>3</v>
      </c>
      <c r="Q178" s="24">
        <v>4250.8347826086956</v>
      </c>
      <c r="R178" s="24">
        <v>0</v>
      </c>
      <c r="S178" s="25">
        <f t="shared" si="5"/>
        <v>-4250.8347826086956</v>
      </c>
    </row>
    <row r="179" spans="1:19">
      <c r="A179" s="5">
        <v>178</v>
      </c>
      <c r="B179" s="5">
        <v>2505270678</v>
      </c>
      <c r="C179" s="5" t="s">
        <v>352</v>
      </c>
      <c r="D179" s="5" t="s">
        <v>40</v>
      </c>
      <c r="E179" s="5" t="s">
        <v>41</v>
      </c>
      <c r="F179" s="5" t="s">
        <v>42</v>
      </c>
      <c r="G179" s="5" t="s">
        <v>52</v>
      </c>
      <c r="H179" s="5" t="s">
        <v>323</v>
      </c>
      <c r="I179" s="5">
        <v>202500188</v>
      </c>
      <c r="J179" s="6">
        <v>45804</v>
      </c>
      <c r="K179" s="6">
        <v>45804</v>
      </c>
      <c r="L179" s="6">
        <v>45807</v>
      </c>
      <c r="M179" s="5" t="s">
        <v>53</v>
      </c>
      <c r="N179" s="5" t="s">
        <v>54</v>
      </c>
      <c r="O179" s="5" t="s">
        <v>41</v>
      </c>
      <c r="P179" s="30">
        <v>3</v>
      </c>
      <c r="Q179" s="7">
        <v>4250.8347826086956</v>
      </c>
      <c r="R179" s="7">
        <v>9500</v>
      </c>
      <c r="S179" s="8">
        <f t="shared" si="5"/>
        <v>5249.1652173913044</v>
      </c>
    </row>
    <row r="180" spans="1:19">
      <c r="A180" s="5">
        <v>179</v>
      </c>
      <c r="B180" s="5">
        <v>2505273456</v>
      </c>
      <c r="C180" s="5" t="s">
        <v>353</v>
      </c>
      <c r="D180" s="5" t="s">
        <v>354</v>
      </c>
      <c r="E180" s="5" t="s">
        <v>355</v>
      </c>
      <c r="F180" s="5" t="s">
        <v>141</v>
      </c>
      <c r="G180" s="5" t="s">
        <v>43</v>
      </c>
      <c r="H180" s="5" t="s">
        <v>323</v>
      </c>
      <c r="I180" s="5">
        <v>202500189</v>
      </c>
      <c r="J180" s="6">
        <v>45803</v>
      </c>
      <c r="K180" s="6">
        <v>45804</v>
      </c>
      <c r="L180" s="6">
        <v>45807</v>
      </c>
      <c r="M180" s="5" t="s">
        <v>53</v>
      </c>
      <c r="N180" s="5" t="s">
        <v>54</v>
      </c>
      <c r="O180" s="5" t="s">
        <v>41</v>
      </c>
      <c r="P180" s="30">
        <v>3</v>
      </c>
      <c r="Q180" s="7">
        <v>4250.8347826086956</v>
      </c>
      <c r="R180" s="7">
        <v>12500</v>
      </c>
      <c r="S180" s="8">
        <f t="shared" si="5"/>
        <v>8249.1652173913044</v>
      </c>
    </row>
    <row r="181" spans="1:19">
      <c r="A181" s="5">
        <v>180</v>
      </c>
      <c r="B181" s="17">
        <v>2505220858</v>
      </c>
      <c r="C181" s="17" t="s">
        <v>295</v>
      </c>
      <c r="D181" s="17" t="s">
        <v>296</v>
      </c>
      <c r="E181" s="17" t="s">
        <v>297</v>
      </c>
      <c r="F181" s="17" t="s">
        <v>79</v>
      </c>
      <c r="G181" s="17" t="s">
        <v>52</v>
      </c>
      <c r="H181" s="17" t="s">
        <v>323</v>
      </c>
      <c r="I181" s="17">
        <v>202500190</v>
      </c>
      <c r="J181" s="18">
        <v>45797</v>
      </c>
      <c r="K181" s="18">
        <v>45799</v>
      </c>
      <c r="L181" s="18">
        <v>45807</v>
      </c>
      <c r="M181" s="17" t="s">
        <v>53</v>
      </c>
      <c r="N181" s="17" t="s">
        <v>198</v>
      </c>
      <c r="O181" s="17" t="s">
        <v>358</v>
      </c>
      <c r="P181" s="31">
        <v>8</v>
      </c>
      <c r="Q181" s="19">
        <v>4250.8347826086956</v>
      </c>
      <c r="R181" s="19">
        <v>0</v>
      </c>
      <c r="S181" s="20">
        <f t="shared" ref="S181:S183" si="6">R181-Q181</f>
        <v>-4250.8347826086956</v>
      </c>
    </row>
    <row r="182" spans="1:19">
      <c r="A182" s="5">
        <v>181</v>
      </c>
      <c r="B182" s="5" t="s">
        <v>356</v>
      </c>
      <c r="C182" s="5"/>
      <c r="D182" s="5"/>
      <c r="E182" s="5"/>
      <c r="F182" s="5"/>
      <c r="G182" s="5" t="s">
        <v>52</v>
      </c>
      <c r="H182" s="5" t="s">
        <v>323</v>
      </c>
      <c r="I182" s="5"/>
      <c r="J182" s="5"/>
      <c r="K182" s="5"/>
      <c r="L182" s="5"/>
      <c r="M182" s="5"/>
      <c r="N182" s="5"/>
      <c r="O182" s="5"/>
      <c r="P182" s="5"/>
      <c r="Q182" s="7">
        <v>4250.8347826086956</v>
      </c>
      <c r="R182" s="7">
        <v>0</v>
      </c>
      <c r="S182" s="8">
        <f t="shared" si="6"/>
        <v>-4250.8347826086956</v>
      </c>
    </row>
    <row r="183" spans="1:19">
      <c r="A183" s="5">
        <v>182</v>
      </c>
      <c r="B183" s="5" t="s">
        <v>357</v>
      </c>
      <c r="C183" s="5"/>
      <c r="D183" s="5"/>
      <c r="E183" s="5"/>
      <c r="F183" s="5"/>
      <c r="G183" s="5" t="s">
        <v>52</v>
      </c>
      <c r="H183" s="5" t="s">
        <v>323</v>
      </c>
      <c r="I183" s="5"/>
      <c r="J183" s="5"/>
      <c r="K183" s="5"/>
      <c r="L183" s="5"/>
      <c r="M183" s="5"/>
      <c r="N183" s="5"/>
      <c r="O183" s="5"/>
      <c r="P183" s="5"/>
      <c r="Q183" s="7">
        <v>4250.8347826086956</v>
      </c>
      <c r="R183" s="7">
        <v>0</v>
      </c>
      <c r="S183" s="8">
        <f t="shared" si="6"/>
        <v>-4250.8347826086956</v>
      </c>
    </row>
    <row r="186" spans="1:19">
      <c r="C186" s="5" t="s">
        <v>19</v>
      </c>
      <c r="D186" s="37">
        <f>AVERAGE(P:P)</f>
        <v>4.4276315789473681</v>
      </c>
    </row>
    <row r="187" spans="1:19">
      <c r="C187" s="5" t="s">
        <v>12</v>
      </c>
      <c r="D187" s="5">
        <f>COUNTIF(N:N,"Repeat")</f>
        <v>15</v>
      </c>
      <c r="E187" s="38">
        <f t="shared" ref="E187:E189" si="7">D187/166</f>
        <v>9.036144578313253E-2</v>
      </c>
    </row>
    <row r="188" spans="1:19">
      <c r="C188" s="5" t="s">
        <v>13</v>
      </c>
      <c r="D188" s="5">
        <f>COUNTIF(N:N,"Resampling")</f>
        <v>5</v>
      </c>
      <c r="E188" s="38">
        <f t="shared" si="7"/>
        <v>3.0120481927710843E-2</v>
      </c>
    </row>
    <row r="189" spans="1:19">
      <c r="C189" s="5" t="s">
        <v>15</v>
      </c>
      <c r="D189" s="5">
        <f>COUNTIF(N:N,"Refund")</f>
        <v>3</v>
      </c>
      <c r="E189" s="38">
        <f t="shared" si="7"/>
        <v>1.8072289156626505E-2</v>
      </c>
    </row>
    <row r="190" spans="1:19">
      <c r="C190" s="5" t="s">
        <v>14</v>
      </c>
      <c r="D190" s="5">
        <f>COUNTIF(N:N,"High risk")</f>
        <v>3</v>
      </c>
      <c r="E190" s="38">
        <f>D190/166</f>
        <v>1.8072289156626505E-2</v>
      </c>
    </row>
    <row r="191" spans="1:19">
      <c r="C191" s="5" t="s">
        <v>11</v>
      </c>
      <c r="D191" s="8">
        <f>SUM(Q:Q)</f>
        <v>781333.59999999916</v>
      </c>
    </row>
    <row r="192" spans="1:19">
      <c r="C192" s="5" t="s">
        <v>10</v>
      </c>
      <c r="D192" s="8">
        <f>AVERAGE(Q:Q)</f>
        <v>4293.041758241754</v>
      </c>
    </row>
    <row r="193" spans="3:4">
      <c r="C193" s="5" t="s">
        <v>16</v>
      </c>
      <c r="D193" s="8">
        <f>SUM(R:R)</f>
        <v>897550</v>
      </c>
    </row>
    <row r="194" spans="3:4">
      <c r="C194" s="5" t="s">
        <v>17</v>
      </c>
      <c r="D194" s="8">
        <f>D193-D191</f>
        <v>116216.40000000084</v>
      </c>
    </row>
  </sheetData>
  <phoneticPr fontId="3" type="noConversion"/>
  <dataValidations count="2">
    <dataValidation type="list" allowBlank="1" showInputMessage="1" showErrorMessage="1" sqref="G1:G2 G25:G183 G16:G22" xr:uid="{B2F4112A-A496-404C-9720-DCBB744ECD9C}">
      <formula1>"Basic,Standard,Advanced,Twin"</formula1>
    </dataValidation>
    <dataValidation type="date" allowBlank="1" showInputMessage="1" showErrorMessage="1" errorTitle="error" error="Please select the correct sampling date(yyyy/MM/dd)" sqref="J88:J111" xr:uid="{155A2537-EF80-754C-B028-99FC79BD3087}">
      <formula1>-1</formula1>
      <formula2>74480.9666673495</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02670-7438-484C-B046-B9D100CE554B}">
  <dimension ref="A1:W251"/>
  <sheetViews>
    <sheetView topLeftCell="A155" workbookViewId="0">
      <selection activeCell="O187" sqref="O187"/>
    </sheetView>
  </sheetViews>
  <sheetFormatPr baseColWidth="10" defaultRowHeight="16"/>
  <cols>
    <col min="1" max="1" width="4" bestFit="1" customWidth="1"/>
    <col min="2" max="2" width="11.1640625" bestFit="1" customWidth="1"/>
    <col min="3" max="3" width="26.33203125" bestFit="1" customWidth="1"/>
    <col min="4" max="4" width="26" bestFit="1" customWidth="1"/>
    <col min="5" max="5" width="24.6640625" bestFit="1" customWidth="1"/>
    <col min="8" max="8" width="12.83203125" bestFit="1" customWidth="1"/>
    <col min="23" max="23" width="11.5" bestFit="1" customWidth="1"/>
  </cols>
  <sheetData>
    <row r="1" spans="1:19">
      <c r="A1" s="39" t="s">
        <v>20</v>
      </c>
      <c r="B1" s="39" t="s">
        <v>21</v>
      </c>
      <c r="C1" s="39" t="s">
        <v>22</v>
      </c>
      <c r="D1" s="39" t="s">
        <v>23</v>
      </c>
      <c r="E1" s="39" t="s">
        <v>24</v>
      </c>
      <c r="F1" s="39" t="s">
        <v>25</v>
      </c>
      <c r="G1" s="39" t="s">
        <v>26</v>
      </c>
      <c r="H1" s="39" t="s">
        <v>27</v>
      </c>
      <c r="I1" s="39" t="s">
        <v>28</v>
      </c>
      <c r="J1" s="39" t="s">
        <v>29</v>
      </c>
      <c r="K1" s="39" t="s">
        <v>30</v>
      </c>
      <c r="L1" s="39" t="s">
        <v>31</v>
      </c>
      <c r="M1" s="39" t="s">
        <v>32</v>
      </c>
      <c r="N1" s="39" t="s">
        <v>33</v>
      </c>
      <c r="O1" s="39" t="s">
        <v>34</v>
      </c>
      <c r="P1" s="39" t="s">
        <v>35</v>
      </c>
      <c r="Q1" s="40" t="s">
        <v>36</v>
      </c>
      <c r="R1" s="40" t="s">
        <v>37</v>
      </c>
      <c r="S1" s="39" t="s">
        <v>38</v>
      </c>
    </row>
    <row r="2" spans="1:19">
      <c r="A2" s="5">
        <v>1</v>
      </c>
      <c r="B2" s="5">
        <v>2505283069</v>
      </c>
      <c r="C2" s="5" t="s">
        <v>360</v>
      </c>
      <c r="D2" s="5" t="s">
        <v>361</v>
      </c>
      <c r="E2" s="5"/>
      <c r="F2" s="5" t="s">
        <v>362</v>
      </c>
      <c r="G2" s="5" t="s">
        <v>52</v>
      </c>
      <c r="H2" s="5" t="s">
        <v>363</v>
      </c>
      <c r="I2" s="5">
        <v>202500191</v>
      </c>
      <c r="J2" s="5"/>
      <c r="K2" s="6">
        <v>45805</v>
      </c>
      <c r="L2" s="6">
        <v>45813</v>
      </c>
      <c r="M2" s="5" t="s">
        <v>53</v>
      </c>
      <c r="N2" s="5" t="s">
        <v>54</v>
      </c>
      <c r="O2" s="5" t="s">
        <v>41</v>
      </c>
      <c r="P2" s="30">
        <v>8</v>
      </c>
      <c r="Q2" s="7">
        <v>3943.5679999999998</v>
      </c>
      <c r="R2" s="7">
        <v>6500</v>
      </c>
      <c r="S2" s="8">
        <f>R2-Q2</f>
        <v>2556.4320000000002</v>
      </c>
    </row>
    <row r="3" spans="1:19">
      <c r="A3" s="5">
        <v>2</v>
      </c>
      <c r="B3" s="5">
        <v>2505283078</v>
      </c>
      <c r="C3" s="5" t="s">
        <v>364</v>
      </c>
      <c r="D3" s="5" t="s">
        <v>49</v>
      </c>
      <c r="E3" s="5"/>
      <c r="F3" s="5" t="s">
        <v>51</v>
      </c>
      <c r="G3" s="5" t="s">
        <v>75</v>
      </c>
      <c r="H3" s="5" t="s">
        <v>363</v>
      </c>
      <c r="I3" s="5">
        <v>202500192</v>
      </c>
      <c r="J3" s="5"/>
      <c r="K3" s="6">
        <v>45805</v>
      </c>
      <c r="L3" s="6">
        <v>45813</v>
      </c>
      <c r="M3" s="5" t="s">
        <v>53</v>
      </c>
      <c r="N3" s="5" t="s">
        <v>54</v>
      </c>
      <c r="O3" s="5" t="s">
        <v>41</v>
      </c>
      <c r="P3" s="30">
        <v>8</v>
      </c>
      <c r="Q3" s="7">
        <v>3943.5679999999998</v>
      </c>
      <c r="R3" s="7">
        <v>4500</v>
      </c>
      <c r="S3" s="8">
        <f t="shared" ref="S3:S66" si="0">R3-Q3</f>
        <v>556.43200000000024</v>
      </c>
    </row>
    <row r="4" spans="1:19">
      <c r="A4" s="5">
        <v>3</v>
      </c>
      <c r="B4" s="5">
        <v>2505283091</v>
      </c>
      <c r="C4" s="5" t="s">
        <v>365</v>
      </c>
      <c r="D4" s="5" t="s">
        <v>345</v>
      </c>
      <c r="E4" s="5"/>
      <c r="F4" s="5" t="s">
        <v>66</v>
      </c>
      <c r="G4" s="5" t="s">
        <v>75</v>
      </c>
      <c r="H4" s="5" t="s">
        <v>363</v>
      </c>
      <c r="I4" s="5">
        <v>202500193</v>
      </c>
      <c r="J4" s="5"/>
      <c r="K4" s="6">
        <v>45805</v>
      </c>
      <c r="L4" s="6">
        <v>45813</v>
      </c>
      <c r="M4" s="5" t="s">
        <v>53</v>
      </c>
      <c r="N4" s="5" t="s">
        <v>54</v>
      </c>
      <c r="O4" s="5" t="s">
        <v>41</v>
      </c>
      <c r="P4" s="30">
        <v>8</v>
      </c>
      <c r="Q4" s="7">
        <v>3943.5679999999998</v>
      </c>
      <c r="R4" s="7">
        <v>4900</v>
      </c>
      <c r="S4" s="8">
        <f t="shared" si="0"/>
        <v>956.43200000000024</v>
      </c>
    </row>
    <row r="5" spans="1:19">
      <c r="A5" s="5">
        <v>4</v>
      </c>
      <c r="B5" s="5">
        <v>2505290267</v>
      </c>
      <c r="C5" s="5" t="s">
        <v>366</v>
      </c>
      <c r="D5" s="5" t="s">
        <v>136</v>
      </c>
      <c r="E5" s="5"/>
      <c r="F5" s="5" t="s">
        <v>87</v>
      </c>
      <c r="G5" s="5" t="s">
        <v>75</v>
      </c>
      <c r="H5" s="5" t="s">
        <v>363</v>
      </c>
      <c r="I5" s="5">
        <v>202500194</v>
      </c>
      <c r="J5" s="5"/>
      <c r="K5" s="6">
        <v>45806</v>
      </c>
      <c r="L5" s="6">
        <v>45813</v>
      </c>
      <c r="M5" s="5" t="s">
        <v>53</v>
      </c>
      <c r="N5" s="5" t="s">
        <v>54</v>
      </c>
      <c r="O5" s="5" t="s">
        <v>41</v>
      </c>
      <c r="P5" s="30">
        <v>7</v>
      </c>
      <c r="Q5" s="7">
        <v>3943.5679999999998</v>
      </c>
      <c r="R5" s="7">
        <v>4900</v>
      </c>
      <c r="S5" s="8">
        <f t="shared" si="0"/>
        <v>956.43200000000024</v>
      </c>
    </row>
    <row r="6" spans="1:19">
      <c r="A6" s="5">
        <v>5</v>
      </c>
      <c r="B6" s="5">
        <v>2505290272</v>
      </c>
      <c r="C6" s="5" t="s">
        <v>367</v>
      </c>
      <c r="D6" s="5" t="s">
        <v>293</v>
      </c>
      <c r="E6" s="5"/>
      <c r="F6" s="5" t="s">
        <v>51</v>
      </c>
      <c r="G6" s="5" t="s">
        <v>52</v>
      </c>
      <c r="H6" s="5" t="s">
        <v>363</v>
      </c>
      <c r="I6" s="5">
        <v>202500195</v>
      </c>
      <c r="J6" s="5"/>
      <c r="K6" s="6">
        <v>45806</v>
      </c>
      <c r="L6" s="6">
        <v>45813</v>
      </c>
      <c r="M6" s="5" t="s">
        <v>53</v>
      </c>
      <c r="N6" s="5" t="s">
        <v>54</v>
      </c>
      <c r="O6" s="5" t="s">
        <v>41</v>
      </c>
      <c r="P6" s="30">
        <v>7</v>
      </c>
      <c r="Q6" s="7">
        <v>3943.5679999999998</v>
      </c>
      <c r="R6" s="7">
        <v>6000</v>
      </c>
      <c r="S6" s="8">
        <f t="shared" si="0"/>
        <v>2056.4320000000002</v>
      </c>
    </row>
    <row r="7" spans="1:19">
      <c r="A7" s="5">
        <v>6</v>
      </c>
      <c r="B7" s="5">
        <v>2505290283</v>
      </c>
      <c r="C7" s="5" t="s">
        <v>368</v>
      </c>
      <c r="D7" s="5" t="s">
        <v>296</v>
      </c>
      <c r="E7" s="5"/>
      <c r="F7" s="5" t="s">
        <v>79</v>
      </c>
      <c r="G7" s="5" t="s">
        <v>52</v>
      </c>
      <c r="H7" s="5" t="s">
        <v>363</v>
      </c>
      <c r="I7" s="5">
        <v>202500196</v>
      </c>
      <c r="J7" s="5"/>
      <c r="K7" s="6">
        <v>45806</v>
      </c>
      <c r="L7" s="6">
        <v>45813</v>
      </c>
      <c r="M7" s="5" t="s">
        <v>53</v>
      </c>
      <c r="N7" s="5" t="s">
        <v>54</v>
      </c>
      <c r="O7" s="5" t="s">
        <v>41</v>
      </c>
      <c r="P7" s="30">
        <v>7</v>
      </c>
      <c r="Q7" s="7">
        <v>3943.5679999999998</v>
      </c>
      <c r="R7" s="7">
        <v>8500</v>
      </c>
      <c r="S7" s="8">
        <f t="shared" si="0"/>
        <v>4556.4320000000007</v>
      </c>
    </row>
    <row r="8" spans="1:19">
      <c r="A8" s="5">
        <v>7</v>
      </c>
      <c r="B8" s="5">
        <v>2505290290</v>
      </c>
      <c r="C8" s="5" t="s">
        <v>369</v>
      </c>
      <c r="D8" s="5" t="s">
        <v>296</v>
      </c>
      <c r="E8" s="5"/>
      <c r="F8" s="5" t="s">
        <v>79</v>
      </c>
      <c r="G8" s="5" t="s">
        <v>75</v>
      </c>
      <c r="H8" s="5" t="s">
        <v>363</v>
      </c>
      <c r="I8" s="5">
        <v>202500197</v>
      </c>
      <c r="J8" s="5"/>
      <c r="K8" s="6">
        <v>45806</v>
      </c>
      <c r="L8" s="6">
        <v>45813</v>
      </c>
      <c r="M8" s="5" t="s">
        <v>53</v>
      </c>
      <c r="N8" s="5" t="s">
        <v>54</v>
      </c>
      <c r="O8" s="5" t="s">
        <v>41</v>
      </c>
      <c r="P8" s="30">
        <v>7</v>
      </c>
      <c r="Q8" s="7">
        <v>3943.5679999999998</v>
      </c>
      <c r="R8" s="7">
        <v>6500</v>
      </c>
      <c r="S8" s="8">
        <f t="shared" si="0"/>
        <v>2556.4320000000002</v>
      </c>
    </row>
    <row r="9" spans="1:19">
      <c r="A9" s="5">
        <v>8</v>
      </c>
      <c r="B9" s="5">
        <v>2505293010</v>
      </c>
      <c r="C9" s="5" t="s">
        <v>370</v>
      </c>
      <c r="D9" s="5" t="s">
        <v>77</v>
      </c>
      <c r="E9" s="5"/>
      <c r="F9" s="5" t="s">
        <v>79</v>
      </c>
      <c r="G9" s="5" t="s">
        <v>52</v>
      </c>
      <c r="H9" s="5" t="s">
        <v>363</v>
      </c>
      <c r="I9" s="5">
        <v>202500198</v>
      </c>
      <c r="J9" s="5"/>
      <c r="K9" s="6">
        <v>45806</v>
      </c>
      <c r="L9" s="6">
        <v>45813</v>
      </c>
      <c r="M9" s="5" t="s">
        <v>53</v>
      </c>
      <c r="N9" s="5" t="s">
        <v>54</v>
      </c>
      <c r="O9" s="5" t="s">
        <v>41</v>
      </c>
      <c r="P9" s="30">
        <v>7</v>
      </c>
      <c r="Q9" s="7">
        <v>3943.5679999999998</v>
      </c>
      <c r="R9" s="7">
        <v>5500</v>
      </c>
      <c r="S9" s="8">
        <f t="shared" si="0"/>
        <v>1556.4320000000002</v>
      </c>
    </row>
    <row r="10" spans="1:19">
      <c r="A10" s="5">
        <v>9</v>
      </c>
      <c r="B10" s="5">
        <v>2505293019</v>
      </c>
      <c r="C10" s="5" t="s">
        <v>371</v>
      </c>
      <c r="D10" s="5" t="s">
        <v>321</v>
      </c>
      <c r="E10" s="5"/>
      <c r="F10" s="5" t="s">
        <v>202</v>
      </c>
      <c r="G10" s="5" t="s">
        <v>75</v>
      </c>
      <c r="H10" s="5" t="s">
        <v>363</v>
      </c>
      <c r="I10" s="5">
        <v>202500199</v>
      </c>
      <c r="J10" s="5"/>
      <c r="K10" s="6">
        <v>45806</v>
      </c>
      <c r="L10" s="6">
        <v>45813</v>
      </c>
      <c r="M10" s="5" t="s">
        <v>53</v>
      </c>
      <c r="N10" s="5" t="s">
        <v>54</v>
      </c>
      <c r="O10" s="5" t="s">
        <v>41</v>
      </c>
      <c r="P10" s="30">
        <v>7</v>
      </c>
      <c r="Q10" s="7">
        <v>3943.5679999999998</v>
      </c>
      <c r="R10" s="7">
        <v>4900</v>
      </c>
      <c r="S10" s="8">
        <f t="shared" si="0"/>
        <v>956.43200000000024</v>
      </c>
    </row>
    <row r="11" spans="1:19">
      <c r="A11" s="5">
        <v>10</v>
      </c>
      <c r="B11" s="5">
        <v>2505300402</v>
      </c>
      <c r="C11" s="5" t="s">
        <v>372</v>
      </c>
      <c r="D11" s="5" t="s">
        <v>293</v>
      </c>
      <c r="E11" s="5"/>
      <c r="F11" s="5" t="s">
        <v>51</v>
      </c>
      <c r="G11" s="5" t="s">
        <v>52</v>
      </c>
      <c r="H11" s="5" t="s">
        <v>363</v>
      </c>
      <c r="I11" s="5">
        <v>202500200</v>
      </c>
      <c r="J11" s="5"/>
      <c r="K11" s="6">
        <v>45807</v>
      </c>
      <c r="L11" s="6">
        <v>45813</v>
      </c>
      <c r="M11" s="5" t="s">
        <v>53</v>
      </c>
      <c r="N11" s="5" t="s">
        <v>54</v>
      </c>
      <c r="O11" s="5" t="s">
        <v>41</v>
      </c>
      <c r="P11" s="30">
        <v>6</v>
      </c>
      <c r="Q11" s="7">
        <v>3943.5679999999998</v>
      </c>
      <c r="R11" s="7">
        <v>6000</v>
      </c>
      <c r="S11" s="8">
        <f t="shared" si="0"/>
        <v>2056.4320000000002</v>
      </c>
    </row>
    <row r="12" spans="1:19">
      <c r="A12" s="5">
        <v>11</v>
      </c>
      <c r="B12" s="5">
        <v>2505300402</v>
      </c>
      <c r="C12" s="5" t="s">
        <v>373</v>
      </c>
      <c r="D12" s="5" t="s">
        <v>64</v>
      </c>
      <c r="E12" s="5"/>
      <c r="F12" s="5" t="s">
        <v>66</v>
      </c>
      <c r="G12" s="5" t="s">
        <v>52</v>
      </c>
      <c r="H12" s="5" t="s">
        <v>363</v>
      </c>
      <c r="I12" s="5">
        <v>202500201</v>
      </c>
      <c r="J12" s="5"/>
      <c r="K12" s="6">
        <v>45807</v>
      </c>
      <c r="L12" s="6">
        <v>45813</v>
      </c>
      <c r="M12" s="5" t="s">
        <v>53</v>
      </c>
      <c r="N12" s="5" t="s">
        <v>54</v>
      </c>
      <c r="O12" s="5" t="s">
        <v>41</v>
      </c>
      <c r="P12" s="30">
        <v>6</v>
      </c>
      <c r="Q12" s="7">
        <v>3943.5679999999998</v>
      </c>
      <c r="R12" s="7">
        <v>5500</v>
      </c>
      <c r="S12" s="8">
        <f t="shared" si="0"/>
        <v>1556.4320000000002</v>
      </c>
    </row>
    <row r="13" spans="1:19">
      <c r="A13" s="5">
        <v>12</v>
      </c>
      <c r="B13" s="5">
        <v>2505300413</v>
      </c>
      <c r="C13" s="5" t="s">
        <v>374</v>
      </c>
      <c r="D13" s="5" t="s">
        <v>64</v>
      </c>
      <c r="E13" s="5"/>
      <c r="F13" s="5" t="s">
        <v>66</v>
      </c>
      <c r="G13" s="5" t="s">
        <v>52</v>
      </c>
      <c r="H13" s="5" t="s">
        <v>363</v>
      </c>
      <c r="I13" s="5">
        <v>202500202</v>
      </c>
      <c r="J13" s="5"/>
      <c r="K13" s="6">
        <v>45807</v>
      </c>
      <c r="L13" s="6">
        <v>45813</v>
      </c>
      <c r="M13" s="5" t="s">
        <v>53</v>
      </c>
      <c r="N13" s="5" t="s">
        <v>54</v>
      </c>
      <c r="O13" s="5" t="s">
        <v>41</v>
      </c>
      <c r="P13" s="30">
        <v>6</v>
      </c>
      <c r="Q13" s="7">
        <v>3943.5679999999998</v>
      </c>
      <c r="R13" s="7">
        <v>5500</v>
      </c>
      <c r="S13" s="8">
        <f t="shared" si="0"/>
        <v>1556.4320000000002</v>
      </c>
    </row>
    <row r="14" spans="1:19">
      <c r="A14" s="5">
        <v>13</v>
      </c>
      <c r="B14" s="5">
        <v>2505303130</v>
      </c>
      <c r="C14" s="5" t="s">
        <v>375</v>
      </c>
      <c r="D14" s="5" t="s">
        <v>376</v>
      </c>
      <c r="E14" s="5"/>
      <c r="F14" s="5" t="s">
        <v>71</v>
      </c>
      <c r="G14" s="5" t="s">
        <v>52</v>
      </c>
      <c r="H14" s="5" t="s">
        <v>363</v>
      </c>
      <c r="I14" s="5">
        <v>202500203</v>
      </c>
      <c r="J14" s="5"/>
      <c r="K14" s="6">
        <v>45807</v>
      </c>
      <c r="L14" s="6">
        <v>45813</v>
      </c>
      <c r="M14" s="5" t="s">
        <v>53</v>
      </c>
      <c r="N14" s="5" t="s">
        <v>54</v>
      </c>
      <c r="O14" s="5" t="s">
        <v>41</v>
      </c>
      <c r="P14" s="30">
        <v>6</v>
      </c>
      <c r="Q14" s="7">
        <v>3943.5679999999998</v>
      </c>
      <c r="R14" s="7">
        <v>5950</v>
      </c>
      <c r="S14" s="8">
        <f t="shared" si="0"/>
        <v>2006.4320000000002</v>
      </c>
    </row>
    <row r="15" spans="1:19">
      <c r="A15" s="5">
        <v>14</v>
      </c>
      <c r="B15" s="5">
        <v>2505303131</v>
      </c>
      <c r="C15" s="5" t="s">
        <v>377</v>
      </c>
      <c r="D15" s="5" t="s">
        <v>228</v>
      </c>
      <c r="E15" s="5"/>
      <c r="F15" s="5" t="s">
        <v>169</v>
      </c>
      <c r="G15" s="5" t="s">
        <v>52</v>
      </c>
      <c r="H15" s="5" t="s">
        <v>363</v>
      </c>
      <c r="I15" s="5">
        <v>202500204</v>
      </c>
      <c r="J15" s="5"/>
      <c r="K15" s="6">
        <v>45807</v>
      </c>
      <c r="L15" s="6">
        <v>45813</v>
      </c>
      <c r="M15" s="5" t="s">
        <v>53</v>
      </c>
      <c r="N15" s="5" t="s">
        <v>54</v>
      </c>
      <c r="O15" s="5" t="s">
        <v>41</v>
      </c>
      <c r="P15" s="30">
        <v>6</v>
      </c>
      <c r="Q15" s="7">
        <v>3943.5679999999998</v>
      </c>
      <c r="R15" s="7">
        <v>6000</v>
      </c>
      <c r="S15" s="8">
        <f t="shared" si="0"/>
        <v>2056.4320000000002</v>
      </c>
    </row>
    <row r="16" spans="1:19">
      <c r="A16" s="5">
        <v>15</v>
      </c>
      <c r="B16" s="5">
        <v>2505303133</v>
      </c>
      <c r="C16" s="5" t="s">
        <v>378</v>
      </c>
      <c r="D16" s="5" t="s">
        <v>240</v>
      </c>
      <c r="E16" s="5"/>
      <c r="F16" s="5" t="s">
        <v>169</v>
      </c>
      <c r="G16" s="5" t="s">
        <v>75</v>
      </c>
      <c r="H16" s="5" t="s">
        <v>363</v>
      </c>
      <c r="I16" s="5">
        <v>202500205</v>
      </c>
      <c r="J16" s="5"/>
      <c r="K16" s="6">
        <v>45807</v>
      </c>
      <c r="L16" s="6">
        <v>45813</v>
      </c>
      <c r="M16" s="5" t="s">
        <v>53</v>
      </c>
      <c r="N16" s="5" t="s">
        <v>54</v>
      </c>
      <c r="O16" s="5" t="s">
        <v>41</v>
      </c>
      <c r="P16" s="30">
        <v>6</v>
      </c>
      <c r="Q16" s="7">
        <v>3943.5679999999998</v>
      </c>
      <c r="R16" s="7">
        <v>4500</v>
      </c>
      <c r="S16" s="8">
        <f t="shared" si="0"/>
        <v>556.43200000000024</v>
      </c>
    </row>
    <row r="17" spans="1:19">
      <c r="A17" s="5">
        <v>16</v>
      </c>
      <c r="B17" s="5">
        <v>2505303133</v>
      </c>
      <c r="C17" s="5" t="s">
        <v>379</v>
      </c>
      <c r="D17" s="5" t="s">
        <v>345</v>
      </c>
      <c r="E17" s="5"/>
      <c r="F17" s="5" t="s">
        <v>66</v>
      </c>
      <c r="G17" s="5" t="s">
        <v>52</v>
      </c>
      <c r="H17" s="5" t="s">
        <v>363</v>
      </c>
      <c r="I17" s="5">
        <v>202500206</v>
      </c>
      <c r="J17" s="5"/>
      <c r="K17" s="6">
        <v>45807</v>
      </c>
      <c r="L17" s="6">
        <v>45813</v>
      </c>
      <c r="M17" s="5" t="s">
        <v>53</v>
      </c>
      <c r="N17" s="5" t="s">
        <v>54</v>
      </c>
      <c r="O17" s="5" t="s">
        <v>41</v>
      </c>
      <c r="P17" s="30">
        <v>6</v>
      </c>
      <c r="Q17" s="7">
        <v>3943.5679999999998</v>
      </c>
      <c r="R17" s="7">
        <v>6000</v>
      </c>
      <c r="S17" s="8">
        <f t="shared" si="0"/>
        <v>2056.4320000000002</v>
      </c>
    </row>
    <row r="18" spans="1:19">
      <c r="A18" s="5">
        <v>17</v>
      </c>
      <c r="B18" s="5">
        <v>2505311290</v>
      </c>
      <c r="C18" s="5" t="s">
        <v>380</v>
      </c>
      <c r="D18" s="5" t="s">
        <v>381</v>
      </c>
      <c r="E18" s="5"/>
      <c r="F18" s="5" t="s">
        <v>169</v>
      </c>
      <c r="G18" s="5" t="s">
        <v>52</v>
      </c>
      <c r="H18" s="5" t="s">
        <v>363</v>
      </c>
      <c r="I18" s="5">
        <v>202500207</v>
      </c>
      <c r="J18" s="5"/>
      <c r="K18" s="6">
        <v>45808</v>
      </c>
      <c r="L18" s="6">
        <v>45813</v>
      </c>
      <c r="M18" s="5" t="s">
        <v>53</v>
      </c>
      <c r="N18" s="5" t="s">
        <v>54</v>
      </c>
      <c r="O18" s="5" t="s">
        <v>41</v>
      </c>
      <c r="P18" s="30">
        <v>5</v>
      </c>
      <c r="Q18" s="7">
        <v>3943.5679999999998</v>
      </c>
      <c r="R18" s="7">
        <v>6000</v>
      </c>
      <c r="S18" s="8">
        <f t="shared" si="0"/>
        <v>2056.4320000000002</v>
      </c>
    </row>
    <row r="19" spans="1:19">
      <c r="A19" s="5">
        <v>18</v>
      </c>
      <c r="B19" s="9">
        <v>2505311299</v>
      </c>
      <c r="C19" s="9" t="s">
        <v>382</v>
      </c>
      <c r="D19" s="9" t="s">
        <v>83</v>
      </c>
      <c r="E19" s="9"/>
      <c r="F19" s="9" t="s">
        <v>62</v>
      </c>
      <c r="G19" s="9" t="s">
        <v>52</v>
      </c>
      <c r="H19" s="9" t="s">
        <v>363</v>
      </c>
      <c r="I19" s="9">
        <v>202500208</v>
      </c>
      <c r="J19" s="9"/>
      <c r="K19" s="10">
        <v>45808</v>
      </c>
      <c r="L19" s="10">
        <v>45813</v>
      </c>
      <c r="M19" s="9" t="s">
        <v>45</v>
      </c>
      <c r="N19" s="9" t="s">
        <v>94</v>
      </c>
      <c r="O19" s="9"/>
      <c r="P19" s="32">
        <v>5</v>
      </c>
      <c r="Q19" s="11">
        <v>3943.5679999999998</v>
      </c>
      <c r="R19" s="11">
        <v>6000</v>
      </c>
      <c r="S19" s="12">
        <f t="shared" si="0"/>
        <v>2056.4320000000002</v>
      </c>
    </row>
    <row r="20" spans="1:19">
      <c r="A20" s="5">
        <v>19</v>
      </c>
      <c r="B20" s="5">
        <v>2505310020</v>
      </c>
      <c r="C20" s="5" t="s">
        <v>383</v>
      </c>
      <c r="D20" s="5" t="s">
        <v>40</v>
      </c>
      <c r="E20" s="5"/>
      <c r="F20" s="5" t="s">
        <v>42</v>
      </c>
      <c r="G20" s="5" t="s">
        <v>52</v>
      </c>
      <c r="H20" s="5" t="s">
        <v>363</v>
      </c>
      <c r="I20" s="5">
        <v>202500209</v>
      </c>
      <c r="J20" s="5"/>
      <c r="K20" s="6">
        <v>45808</v>
      </c>
      <c r="L20" s="6">
        <v>45813</v>
      </c>
      <c r="M20" s="5" t="s">
        <v>53</v>
      </c>
      <c r="N20" s="5" t="s">
        <v>54</v>
      </c>
      <c r="O20" s="5" t="s">
        <v>41</v>
      </c>
      <c r="P20" s="30">
        <v>5</v>
      </c>
      <c r="Q20" s="7">
        <v>3943.5679999999998</v>
      </c>
      <c r="R20" s="7">
        <v>9500</v>
      </c>
      <c r="S20" s="8">
        <f t="shared" si="0"/>
        <v>5556.4320000000007</v>
      </c>
    </row>
    <row r="21" spans="1:19">
      <c r="A21" s="5">
        <v>20</v>
      </c>
      <c r="B21" s="5">
        <v>2505311311</v>
      </c>
      <c r="C21" s="5" t="s">
        <v>384</v>
      </c>
      <c r="D21" s="5" t="s">
        <v>385</v>
      </c>
      <c r="E21" s="5"/>
      <c r="F21" s="5" t="s">
        <v>362</v>
      </c>
      <c r="G21" s="5" t="s">
        <v>52</v>
      </c>
      <c r="H21" s="5" t="s">
        <v>363</v>
      </c>
      <c r="I21" s="5">
        <v>202500210</v>
      </c>
      <c r="J21" s="5"/>
      <c r="K21" s="6">
        <v>45808</v>
      </c>
      <c r="L21" s="6">
        <v>45813</v>
      </c>
      <c r="M21" s="5" t="s">
        <v>53</v>
      </c>
      <c r="N21" s="5" t="s">
        <v>54</v>
      </c>
      <c r="O21" s="5" t="s">
        <v>41</v>
      </c>
      <c r="P21" s="30">
        <v>5</v>
      </c>
      <c r="Q21" s="7">
        <v>3943.5679999999998</v>
      </c>
      <c r="R21" s="7">
        <v>6500</v>
      </c>
      <c r="S21" s="8">
        <f t="shared" si="0"/>
        <v>2556.4320000000002</v>
      </c>
    </row>
    <row r="22" spans="1:19">
      <c r="A22" s="5">
        <v>21</v>
      </c>
      <c r="B22" s="5">
        <v>2505311318</v>
      </c>
      <c r="C22" s="5" t="s">
        <v>386</v>
      </c>
      <c r="D22" s="5" t="s">
        <v>64</v>
      </c>
      <c r="E22" s="5"/>
      <c r="F22" s="5" t="s">
        <v>66</v>
      </c>
      <c r="G22" s="5" t="s">
        <v>52</v>
      </c>
      <c r="H22" s="5" t="s">
        <v>363</v>
      </c>
      <c r="I22" s="5">
        <v>202500211</v>
      </c>
      <c r="J22" s="5"/>
      <c r="K22" s="6">
        <v>45808</v>
      </c>
      <c r="L22" s="6">
        <v>45813</v>
      </c>
      <c r="M22" s="5" t="s">
        <v>53</v>
      </c>
      <c r="N22" s="5" t="s">
        <v>54</v>
      </c>
      <c r="O22" s="5" t="s">
        <v>41</v>
      </c>
      <c r="P22" s="30">
        <v>5</v>
      </c>
      <c r="Q22" s="7">
        <v>3943.5679999999998</v>
      </c>
      <c r="R22" s="7">
        <v>5500</v>
      </c>
      <c r="S22" s="8">
        <f t="shared" si="0"/>
        <v>1556.4320000000002</v>
      </c>
    </row>
    <row r="23" spans="1:19">
      <c r="A23" s="5">
        <v>22</v>
      </c>
      <c r="B23" s="5">
        <v>2505311324</v>
      </c>
      <c r="C23" s="5" t="s">
        <v>387</v>
      </c>
      <c r="D23" s="5" t="s">
        <v>139</v>
      </c>
      <c r="E23" s="5"/>
      <c r="F23" s="5" t="s">
        <v>141</v>
      </c>
      <c r="G23" s="5" t="s">
        <v>52</v>
      </c>
      <c r="H23" s="5" t="s">
        <v>363</v>
      </c>
      <c r="I23" s="5">
        <v>202500212</v>
      </c>
      <c r="J23" s="5"/>
      <c r="K23" s="6">
        <v>45808</v>
      </c>
      <c r="L23" s="6">
        <v>45813</v>
      </c>
      <c r="M23" s="5" t="s">
        <v>53</v>
      </c>
      <c r="N23" s="5" t="s">
        <v>54</v>
      </c>
      <c r="O23" s="5" t="s">
        <v>41</v>
      </c>
      <c r="P23" s="30">
        <v>5</v>
      </c>
      <c r="Q23" s="7">
        <v>3943.5679999999998</v>
      </c>
      <c r="R23" s="7">
        <v>6000</v>
      </c>
      <c r="S23" s="8">
        <f t="shared" si="0"/>
        <v>2056.4320000000002</v>
      </c>
    </row>
    <row r="24" spans="1:19">
      <c r="A24" s="5">
        <v>23</v>
      </c>
      <c r="B24" s="9">
        <v>2505312271</v>
      </c>
      <c r="C24" s="9" t="s">
        <v>388</v>
      </c>
      <c r="D24" s="9" t="s">
        <v>200</v>
      </c>
      <c r="E24" s="9"/>
      <c r="F24" s="9" t="s">
        <v>202</v>
      </c>
      <c r="G24" s="9" t="s">
        <v>43</v>
      </c>
      <c r="H24" s="9" t="s">
        <v>363</v>
      </c>
      <c r="I24" s="9">
        <v>202500213</v>
      </c>
      <c r="J24" s="9"/>
      <c r="K24" s="10">
        <v>45808</v>
      </c>
      <c r="L24" s="10">
        <v>45813</v>
      </c>
      <c r="M24" s="9" t="s">
        <v>45</v>
      </c>
      <c r="N24" s="9" t="s">
        <v>94</v>
      </c>
      <c r="O24" s="9" t="s">
        <v>389</v>
      </c>
      <c r="P24" s="32">
        <v>5</v>
      </c>
      <c r="Q24" s="11">
        <v>3943.5679999999998</v>
      </c>
      <c r="R24" s="11">
        <v>13500</v>
      </c>
      <c r="S24" s="12">
        <f t="shared" si="0"/>
        <v>9556.4320000000007</v>
      </c>
    </row>
    <row r="25" spans="1:19">
      <c r="A25" s="5">
        <v>24</v>
      </c>
      <c r="B25" s="5" t="s">
        <v>390</v>
      </c>
      <c r="C25" s="5"/>
      <c r="D25" s="5"/>
      <c r="E25" s="5"/>
      <c r="F25" s="5"/>
      <c r="G25" s="5" t="s">
        <v>52</v>
      </c>
      <c r="H25" s="5" t="s">
        <v>363</v>
      </c>
      <c r="I25" s="5"/>
      <c r="J25" s="5"/>
      <c r="K25" s="5"/>
      <c r="L25" s="5"/>
      <c r="M25" s="5"/>
      <c r="N25" s="5"/>
      <c r="O25" s="5"/>
      <c r="P25" s="5"/>
      <c r="Q25" s="7">
        <v>3943.5679999999998</v>
      </c>
      <c r="R25" s="7">
        <v>0</v>
      </c>
      <c r="S25" s="8">
        <f t="shared" si="0"/>
        <v>-3943.5679999999998</v>
      </c>
    </row>
    <row r="26" spans="1:19">
      <c r="A26" s="5">
        <v>25</v>
      </c>
      <c r="B26" s="5" t="s">
        <v>391</v>
      </c>
      <c r="C26" s="5"/>
      <c r="D26" s="5"/>
      <c r="E26" s="5"/>
      <c r="F26" s="5"/>
      <c r="G26" s="5" t="s">
        <v>52</v>
      </c>
      <c r="H26" s="5" t="s">
        <v>363</v>
      </c>
      <c r="I26" s="5"/>
      <c r="J26" s="5"/>
      <c r="K26" s="5"/>
      <c r="L26" s="5"/>
      <c r="M26" s="5"/>
      <c r="N26" s="5"/>
      <c r="O26" s="5"/>
      <c r="P26" s="5"/>
      <c r="Q26" s="7">
        <v>3943.5679999999998</v>
      </c>
      <c r="R26" s="7">
        <v>0</v>
      </c>
      <c r="S26" s="8">
        <f t="shared" si="0"/>
        <v>-3943.5679999999998</v>
      </c>
    </row>
    <row r="27" spans="1:19">
      <c r="A27" s="5">
        <v>26</v>
      </c>
      <c r="B27" s="5">
        <v>2506010027</v>
      </c>
      <c r="C27" s="5" t="s">
        <v>392</v>
      </c>
      <c r="D27" s="5" t="s">
        <v>393</v>
      </c>
      <c r="E27" s="5" t="s">
        <v>394</v>
      </c>
      <c r="F27" s="5" t="s">
        <v>202</v>
      </c>
      <c r="G27" s="5" t="s">
        <v>75</v>
      </c>
      <c r="H27" s="5" t="s">
        <v>395</v>
      </c>
      <c r="I27" s="5">
        <v>202500214</v>
      </c>
      <c r="J27" s="6">
        <v>45807</v>
      </c>
      <c r="K27" s="6">
        <v>45809</v>
      </c>
      <c r="L27" s="6">
        <v>45814</v>
      </c>
      <c r="M27" s="5" t="s">
        <v>53</v>
      </c>
      <c r="N27" s="5" t="s">
        <v>54</v>
      </c>
      <c r="O27" s="5" t="s">
        <v>41</v>
      </c>
      <c r="P27" s="30">
        <v>5</v>
      </c>
      <c r="Q27" s="7">
        <v>3807.6615384615384</v>
      </c>
      <c r="R27" s="7">
        <v>4500</v>
      </c>
      <c r="S27" s="8">
        <f t="shared" si="0"/>
        <v>692.33846153846162</v>
      </c>
    </row>
    <row r="28" spans="1:19">
      <c r="A28" s="5">
        <v>27</v>
      </c>
      <c r="B28" s="9">
        <v>2506010031</v>
      </c>
      <c r="C28" s="9" t="s">
        <v>396</v>
      </c>
      <c r="D28" s="9" t="s">
        <v>397</v>
      </c>
      <c r="E28" s="9" t="s">
        <v>398</v>
      </c>
      <c r="F28" s="9" t="s">
        <v>79</v>
      </c>
      <c r="G28" s="9" t="s">
        <v>75</v>
      </c>
      <c r="H28" s="9" t="s">
        <v>395</v>
      </c>
      <c r="I28" s="9">
        <v>202500215</v>
      </c>
      <c r="J28" s="10">
        <v>45807</v>
      </c>
      <c r="K28" s="10">
        <v>45809</v>
      </c>
      <c r="L28" s="10">
        <v>45814</v>
      </c>
      <c r="M28" s="9" t="s">
        <v>45</v>
      </c>
      <c r="N28" s="9" t="s">
        <v>94</v>
      </c>
      <c r="O28" s="9" t="s">
        <v>399</v>
      </c>
      <c r="P28" s="32">
        <v>5</v>
      </c>
      <c r="Q28" s="11">
        <v>3807.6615384615384</v>
      </c>
      <c r="R28" s="11">
        <v>4900</v>
      </c>
      <c r="S28" s="12">
        <f t="shared" si="0"/>
        <v>1092.3384615384616</v>
      </c>
    </row>
    <row r="29" spans="1:19">
      <c r="A29" s="5">
        <v>28</v>
      </c>
      <c r="B29" s="9">
        <v>2506011247</v>
      </c>
      <c r="C29" s="9" t="s">
        <v>400</v>
      </c>
      <c r="D29" s="9" t="s">
        <v>293</v>
      </c>
      <c r="E29" s="9" t="s">
        <v>294</v>
      </c>
      <c r="F29" s="9" t="s">
        <v>51</v>
      </c>
      <c r="G29" s="9" t="s">
        <v>52</v>
      </c>
      <c r="H29" s="9" t="s">
        <v>395</v>
      </c>
      <c r="I29" s="9">
        <v>202500216</v>
      </c>
      <c r="J29" s="10">
        <v>45808</v>
      </c>
      <c r="K29" s="10">
        <v>45809</v>
      </c>
      <c r="L29" s="10">
        <v>45814</v>
      </c>
      <c r="M29" s="9" t="s">
        <v>45</v>
      </c>
      <c r="N29" s="9" t="s">
        <v>94</v>
      </c>
      <c r="O29" s="9" t="s">
        <v>389</v>
      </c>
      <c r="P29" s="32">
        <v>5</v>
      </c>
      <c r="Q29" s="11">
        <v>3807.6615384615384</v>
      </c>
      <c r="R29" s="11">
        <v>6000</v>
      </c>
      <c r="S29" s="12">
        <f t="shared" si="0"/>
        <v>2192.3384615384616</v>
      </c>
    </row>
    <row r="30" spans="1:19">
      <c r="A30" s="5">
        <v>29</v>
      </c>
      <c r="B30" s="9">
        <v>2506011250</v>
      </c>
      <c r="C30" s="9" t="s">
        <v>401</v>
      </c>
      <c r="D30" s="9" t="s">
        <v>64</v>
      </c>
      <c r="E30" s="9" t="s">
        <v>65</v>
      </c>
      <c r="F30" s="9" t="s">
        <v>66</v>
      </c>
      <c r="G30" s="9" t="s">
        <v>52</v>
      </c>
      <c r="H30" s="9" t="s">
        <v>395</v>
      </c>
      <c r="I30" s="9">
        <v>202500217</v>
      </c>
      <c r="J30" s="10">
        <v>45808</v>
      </c>
      <c r="K30" s="10">
        <v>45809</v>
      </c>
      <c r="L30" s="10">
        <v>45814</v>
      </c>
      <c r="M30" s="9" t="s">
        <v>45</v>
      </c>
      <c r="N30" s="9" t="s">
        <v>94</v>
      </c>
      <c r="O30" s="9" t="s">
        <v>389</v>
      </c>
      <c r="P30" s="32">
        <v>5</v>
      </c>
      <c r="Q30" s="11">
        <v>3807.6615384615384</v>
      </c>
      <c r="R30" s="11">
        <v>5500</v>
      </c>
      <c r="S30" s="12">
        <f t="shared" si="0"/>
        <v>1692.3384615384616</v>
      </c>
    </row>
    <row r="31" spans="1:19">
      <c r="A31" s="5">
        <v>30</v>
      </c>
      <c r="B31" s="9">
        <v>2506011254</v>
      </c>
      <c r="C31" s="9" t="s">
        <v>402</v>
      </c>
      <c r="D31" s="9" t="s">
        <v>309</v>
      </c>
      <c r="E31" s="9" t="s">
        <v>310</v>
      </c>
      <c r="F31" s="9" t="s">
        <v>51</v>
      </c>
      <c r="G31" s="9" t="s">
        <v>52</v>
      </c>
      <c r="H31" s="9" t="s">
        <v>395</v>
      </c>
      <c r="I31" s="9">
        <v>202500218</v>
      </c>
      <c r="J31" s="10">
        <v>45809</v>
      </c>
      <c r="K31" s="10">
        <v>45809</v>
      </c>
      <c r="L31" s="10">
        <v>45814</v>
      </c>
      <c r="M31" s="9" t="s">
        <v>45</v>
      </c>
      <c r="N31" s="9" t="s">
        <v>94</v>
      </c>
      <c r="O31" s="9" t="s">
        <v>389</v>
      </c>
      <c r="P31" s="32">
        <v>5</v>
      </c>
      <c r="Q31" s="11">
        <v>3807.6615384615384</v>
      </c>
      <c r="R31" s="11">
        <v>5500</v>
      </c>
      <c r="S31" s="12">
        <f t="shared" si="0"/>
        <v>1692.3384615384616</v>
      </c>
    </row>
    <row r="32" spans="1:19">
      <c r="A32" s="5">
        <v>31</v>
      </c>
      <c r="B32" s="5">
        <v>2506011257</v>
      </c>
      <c r="C32" s="5" t="s">
        <v>403</v>
      </c>
      <c r="D32" s="5" t="s">
        <v>309</v>
      </c>
      <c r="E32" s="5" t="s">
        <v>310</v>
      </c>
      <c r="F32" s="5" t="s">
        <v>51</v>
      </c>
      <c r="G32" s="5" t="s">
        <v>52</v>
      </c>
      <c r="H32" s="5" t="s">
        <v>395</v>
      </c>
      <c r="I32" s="5">
        <v>202500219</v>
      </c>
      <c r="J32" s="6">
        <v>45808</v>
      </c>
      <c r="K32" s="6">
        <v>45809</v>
      </c>
      <c r="L32" s="6">
        <v>45814</v>
      </c>
      <c r="M32" s="5" t="s">
        <v>53</v>
      </c>
      <c r="N32" s="5" t="s">
        <v>54</v>
      </c>
      <c r="O32" s="5" t="s">
        <v>41</v>
      </c>
      <c r="P32" s="30">
        <v>5</v>
      </c>
      <c r="Q32" s="7">
        <v>3807.6615384615384</v>
      </c>
      <c r="R32" s="7">
        <v>5500</v>
      </c>
      <c r="S32" s="8">
        <f t="shared" si="0"/>
        <v>1692.3384615384616</v>
      </c>
    </row>
    <row r="33" spans="1:19">
      <c r="A33" s="5">
        <v>32</v>
      </c>
      <c r="B33" s="9">
        <v>2506011262</v>
      </c>
      <c r="C33" s="9" t="s">
        <v>404</v>
      </c>
      <c r="D33" s="9" t="s">
        <v>405</v>
      </c>
      <c r="E33" s="9" t="s">
        <v>406</v>
      </c>
      <c r="F33" s="9" t="s">
        <v>202</v>
      </c>
      <c r="G33" s="9" t="s">
        <v>52</v>
      </c>
      <c r="H33" s="9" t="s">
        <v>395</v>
      </c>
      <c r="I33" s="9">
        <v>202500220</v>
      </c>
      <c r="J33" s="10">
        <v>45809</v>
      </c>
      <c r="K33" s="10">
        <v>45809</v>
      </c>
      <c r="L33" s="10">
        <v>45814</v>
      </c>
      <c r="M33" s="9" t="s">
        <v>45</v>
      </c>
      <c r="N33" s="9" t="s">
        <v>94</v>
      </c>
      <c r="O33" s="9" t="s">
        <v>389</v>
      </c>
      <c r="P33" s="32">
        <v>5</v>
      </c>
      <c r="Q33" s="11">
        <v>3807.6615384615384</v>
      </c>
      <c r="R33" s="11">
        <v>6450</v>
      </c>
      <c r="S33" s="12">
        <f t="shared" si="0"/>
        <v>2642.3384615384616</v>
      </c>
    </row>
    <row r="34" spans="1:19">
      <c r="A34" s="5">
        <v>33</v>
      </c>
      <c r="B34" s="9">
        <v>2506011265</v>
      </c>
      <c r="C34" s="9" t="s">
        <v>407</v>
      </c>
      <c r="D34" s="9" t="s">
        <v>405</v>
      </c>
      <c r="E34" s="9" t="s">
        <v>408</v>
      </c>
      <c r="F34" s="9" t="s">
        <v>202</v>
      </c>
      <c r="G34" s="9" t="s">
        <v>52</v>
      </c>
      <c r="H34" s="9" t="s">
        <v>395</v>
      </c>
      <c r="I34" s="9">
        <v>202500221</v>
      </c>
      <c r="J34" s="10">
        <v>45809</v>
      </c>
      <c r="K34" s="10">
        <v>45809</v>
      </c>
      <c r="L34" s="10">
        <v>45814</v>
      </c>
      <c r="M34" s="9" t="s">
        <v>45</v>
      </c>
      <c r="N34" s="9" t="s">
        <v>94</v>
      </c>
      <c r="O34" s="9" t="s">
        <v>389</v>
      </c>
      <c r="P34" s="32">
        <v>5</v>
      </c>
      <c r="Q34" s="11">
        <v>3807.6615384615384</v>
      </c>
      <c r="R34" s="11">
        <v>6450</v>
      </c>
      <c r="S34" s="12">
        <f t="shared" si="0"/>
        <v>2642.3384615384616</v>
      </c>
    </row>
    <row r="35" spans="1:19">
      <c r="A35" s="5">
        <v>34</v>
      </c>
      <c r="B35" s="5">
        <v>2506011282</v>
      </c>
      <c r="C35" s="5" t="s">
        <v>409</v>
      </c>
      <c r="D35" s="5" t="s">
        <v>49</v>
      </c>
      <c r="E35" s="5" t="s">
        <v>50</v>
      </c>
      <c r="F35" s="5" t="s">
        <v>51</v>
      </c>
      <c r="G35" s="5" t="s">
        <v>52</v>
      </c>
      <c r="H35" s="5" t="s">
        <v>395</v>
      </c>
      <c r="I35" s="5">
        <v>202500222</v>
      </c>
      <c r="J35" s="6">
        <v>45808</v>
      </c>
      <c r="K35" s="6">
        <v>45809</v>
      </c>
      <c r="L35" s="6">
        <v>45814</v>
      </c>
      <c r="M35" s="5" t="s">
        <v>53</v>
      </c>
      <c r="N35" s="5" t="s">
        <v>54</v>
      </c>
      <c r="O35" s="5" t="s">
        <v>41</v>
      </c>
      <c r="P35" s="30">
        <v>5</v>
      </c>
      <c r="Q35" s="7">
        <v>3807.6615384615384</v>
      </c>
      <c r="R35" s="7">
        <v>5500</v>
      </c>
      <c r="S35" s="8">
        <f t="shared" si="0"/>
        <v>1692.3384615384616</v>
      </c>
    </row>
    <row r="36" spans="1:19">
      <c r="A36" s="5">
        <v>35</v>
      </c>
      <c r="B36" s="5">
        <v>2506011286</v>
      </c>
      <c r="C36" s="5" t="s">
        <v>410</v>
      </c>
      <c r="D36" s="5" t="s">
        <v>49</v>
      </c>
      <c r="E36" s="5" t="s">
        <v>50</v>
      </c>
      <c r="F36" s="5" t="s">
        <v>51</v>
      </c>
      <c r="G36" s="5" t="s">
        <v>75</v>
      </c>
      <c r="H36" s="5" t="s">
        <v>395</v>
      </c>
      <c r="I36" s="5">
        <v>202500223</v>
      </c>
      <c r="J36" s="6">
        <v>45808</v>
      </c>
      <c r="K36" s="6">
        <v>45809</v>
      </c>
      <c r="L36" s="6">
        <v>45814</v>
      </c>
      <c r="M36" s="5" t="s">
        <v>53</v>
      </c>
      <c r="N36" s="5" t="s">
        <v>54</v>
      </c>
      <c r="O36" s="5" t="s">
        <v>41</v>
      </c>
      <c r="P36" s="30">
        <v>5</v>
      </c>
      <c r="Q36" s="7">
        <v>3807.6615384615384</v>
      </c>
      <c r="R36" s="7">
        <v>4500</v>
      </c>
      <c r="S36" s="8">
        <f t="shared" si="0"/>
        <v>692.33846153846162</v>
      </c>
    </row>
    <row r="37" spans="1:19">
      <c r="A37" s="5">
        <v>36</v>
      </c>
      <c r="B37" s="9">
        <v>2506011296</v>
      </c>
      <c r="C37" s="9" t="s">
        <v>411</v>
      </c>
      <c r="D37" s="9" t="s">
        <v>49</v>
      </c>
      <c r="E37" s="9" t="s">
        <v>50</v>
      </c>
      <c r="F37" s="9" t="s">
        <v>51</v>
      </c>
      <c r="G37" s="9" t="s">
        <v>52</v>
      </c>
      <c r="H37" s="9" t="s">
        <v>395</v>
      </c>
      <c r="I37" s="9">
        <v>202500224</v>
      </c>
      <c r="J37" s="10">
        <v>45808</v>
      </c>
      <c r="K37" s="10">
        <v>45809</v>
      </c>
      <c r="L37" s="10">
        <v>45814</v>
      </c>
      <c r="M37" s="9" t="s">
        <v>45</v>
      </c>
      <c r="N37" s="9" t="s">
        <v>94</v>
      </c>
      <c r="O37" s="9" t="s">
        <v>389</v>
      </c>
      <c r="P37" s="32">
        <v>5</v>
      </c>
      <c r="Q37" s="11">
        <v>3807.6615384615384</v>
      </c>
      <c r="R37" s="11">
        <v>5500</v>
      </c>
      <c r="S37" s="12">
        <f t="shared" si="0"/>
        <v>1692.3384615384616</v>
      </c>
    </row>
    <row r="38" spans="1:19">
      <c r="A38" s="5">
        <v>37</v>
      </c>
      <c r="B38" s="9">
        <v>2506011299</v>
      </c>
      <c r="C38" s="9" t="s">
        <v>412</v>
      </c>
      <c r="D38" s="9" t="s">
        <v>139</v>
      </c>
      <c r="E38" s="9" t="s">
        <v>413</v>
      </c>
      <c r="F38" s="9" t="s">
        <v>141</v>
      </c>
      <c r="G38" s="9" t="s">
        <v>52</v>
      </c>
      <c r="H38" s="9" t="s">
        <v>395</v>
      </c>
      <c r="I38" s="9">
        <v>202500225</v>
      </c>
      <c r="J38" s="10">
        <v>45808</v>
      </c>
      <c r="K38" s="10">
        <v>45809</v>
      </c>
      <c r="L38" s="10">
        <v>45814</v>
      </c>
      <c r="M38" s="9" t="s">
        <v>45</v>
      </c>
      <c r="N38" s="9" t="s">
        <v>94</v>
      </c>
      <c r="O38" s="9" t="s">
        <v>389</v>
      </c>
      <c r="P38" s="32">
        <v>5</v>
      </c>
      <c r="Q38" s="11">
        <v>3807.6615384615384</v>
      </c>
      <c r="R38" s="11">
        <v>6000</v>
      </c>
      <c r="S38" s="12">
        <f t="shared" si="0"/>
        <v>2192.3384615384616</v>
      </c>
    </row>
    <row r="39" spans="1:19">
      <c r="A39" s="5">
        <v>38</v>
      </c>
      <c r="B39" s="9">
        <v>2506251889</v>
      </c>
      <c r="C39" s="9" t="s">
        <v>414</v>
      </c>
      <c r="D39" s="9" t="s">
        <v>393</v>
      </c>
      <c r="E39" s="9" t="s">
        <v>394</v>
      </c>
      <c r="F39" s="9" t="s">
        <v>202</v>
      </c>
      <c r="G39" s="9" t="s">
        <v>43</v>
      </c>
      <c r="H39" s="9" t="s">
        <v>395</v>
      </c>
      <c r="I39" s="9">
        <v>202500226</v>
      </c>
      <c r="J39" s="10">
        <v>45809</v>
      </c>
      <c r="K39" s="10">
        <v>45810</v>
      </c>
      <c r="L39" s="10">
        <v>45814</v>
      </c>
      <c r="M39" s="9" t="s">
        <v>45</v>
      </c>
      <c r="N39" s="9" t="s">
        <v>94</v>
      </c>
      <c r="O39" s="9" t="s">
        <v>389</v>
      </c>
      <c r="P39" s="32">
        <v>4</v>
      </c>
      <c r="Q39" s="11">
        <v>3807.6615384615384</v>
      </c>
      <c r="R39" s="11">
        <v>13500</v>
      </c>
      <c r="S39" s="12">
        <f t="shared" si="0"/>
        <v>9692.3384615384621</v>
      </c>
    </row>
    <row r="40" spans="1:19">
      <c r="A40" s="5">
        <v>39</v>
      </c>
      <c r="B40" s="5">
        <v>2506021890</v>
      </c>
      <c r="C40" s="5" t="s">
        <v>415</v>
      </c>
      <c r="D40" s="5" t="s">
        <v>393</v>
      </c>
      <c r="E40" s="5" t="s">
        <v>394</v>
      </c>
      <c r="F40" s="5" t="s">
        <v>202</v>
      </c>
      <c r="G40" s="5" t="s">
        <v>43</v>
      </c>
      <c r="H40" s="5" t="s">
        <v>395</v>
      </c>
      <c r="I40" s="5">
        <v>202500227</v>
      </c>
      <c r="J40" s="6">
        <v>45809</v>
      </c>
      <c r="K40" s="6">
        <v>45810</v>
      </c>
      <c r="L40" s="6">
        <v>45814</v>
      </c>
      <c r="M40" s="5" t="s">
        <v>53</v>
      </c>
      <c r="N40" s="5" t="s">
        <v>54</v>
      </c>
      <c r="O40" s="5" t="s">
        <v>41</v>
      </c>
      <c r="P40" s="30">
        <v>4</v>
      </c>
      <c r="Q40" s="7">
        <v>3807.6615384615384</v>
      </c>
      <c r="R40" s="7">
        <v>13500</v>
      </c>
      <c r="S40" s="8">
        <f t="shared" si="0"/>
        <v>9692.3384615384621</v>
      </c>
    </row>
    <row r="41" spans="1:19">
      <c r="A41" s="5">
        <v>40</v>
      </c>
      <c r="B41" s="5">
        <v>2506030858</v>
      </c>
      <c r="C41" s="5" t="s">
        <v>416</v>
      </c>
      <c r="D41" s="5" t="s">
        <v>83</v>
      </c>
      <c r="E41" s="5" t="s">
        <v>84</v>
      </c>
      <c r="F41" s="5" t="s">
        <v>62</v>
      </c>
      <c r="G41" s="5" t="s">
        <v>52</v>
      </c>
      <c r="H41" s="5" t="s">
        <v>395</v>
      </c>
      <c r="I41" s="5">
        <v>202500228</v>
      </c>
      <c r="J41" s="6">
        <v>45808</v>
      </c>
      <c r="K41" s="6">
        <v>45811</v>
      </c>
      <c r="L41" s="6">
        <v>45814</v>
      </c>
      <c r="M41" s="5" t="s">
        <v>53</v>
      </c>
      <c r="N41" s="5" t="s">
        <v>54</v>
      </c>
      <c r="O41" s="5" t="s">
        <v>41</v>
      </c>
      <c r="P41" s="30">
        <v>3</v>
      </c>
      <c r="Q41" s="7">
        <v>3807.6615384615384</v>
      </c>
      <c r="R41" s="7">
        <v>6000</v>
      </c>
      <c r="S41" s="8">
        <f t="shared" si="0"/>
        <v>2192.3384615384616</v>
      </c>
    </row>
    <row r="42" spans="1:19">
      <c r="A42" s="5">
        <v>41</v>
      </c>
      <c r="B42" s="5">
        <v>2506030860</v>
      </c>
      <c r="C42" s="5" t="s">
        <v>417</v>
      </c>
      <c r="D42" s="5" t="s">
        <v>309</v>
      </c>
      <c r="E42" s="5" t="s">
        <v>310</v>
      </c>
      <c r="F42" s="5" t="s">
        <v>51</v>
      </c>
      <c r="G42" s="5" t="s">
        <v>52</v>
      </c>
      <c r="H42" s="5" t="s">
        <v>395</v>
      </c>
      <c r="I42" s="5">
        <v>202500229</v>
      </c>
      <c r="J42" s="6">
        <v>45810</v>
      </c>
      <c r="K42" s="6">
        <v>45811</v>
      </c>
      <c r="L42" s="6">
        <v>45814</v>
      </c>
      <c r="M42" s="5" t="s">
        <v>53</v>
      </c>
      <c r="N42" s="5" t="s">
        <v>54</v>
      </c>
      <c r="O42" s="5" t="s">
        <v>41</v>
      </c>
      <c r="P42" s="30">
        <v>3</v>
      </c>
      <c r="Q42" s="7">
        <v>3807.6615384615384</v>
      </c>
      <c r="R42" s="7">
        <v>5500</v>
      </c>
      <c r="S42" s="8">
        <f t="shared" si="0"/>
        <v>1692.3384615384616</v>
      </c>
    </row>
    <row r="43" spans="1:19">
      <c r="A43" s="5">
        <v>42</v>
      </c>
      <c r="B43" s="5">
        <v>2506030861</v>
      </c>
      <c r="C43" s="5" t="s">
        <v>418</v>
      </c>
      <c r="D43" s="5" t="s">
        <v>139</v>
      </c>
      <c r="E43" s="5" t="s">
        <v>140</v>
      </c>
      <c r="F43" s="5" t="s">
        <v>141</v>
      </c>
      <c r="G43" s="5" t="s">
        <v>52</v>
      </c>
      <c r="H43" s="5" t="s">
        <v>395</v>
      </c>
      <c r="I43" s="5">
        <v>202500230</v>
      </c>
      <c r="J43" s="6">
        <v>45809</v>
      </c>
      <c r="K43" s="6">
        <v>45811</v>
      </c>
      <c r="L43" s="6">
        <v>45814</v>
      </c>
      <c r="M43" s="5" t="s">
        <v>53</v>
      </c>
      <c r="N43" s="5" t="s">
        <v>54</v>
      </c>
      <c r="O43" s="5" t="s">
        <v>41</v>
      </c>
      <c r="P43" s="30">
        <v>3</v>
      </c>
      <c r="Q43" s="7">
        <v>3807.6615384615384</v>
      </c>
      <c r="R43" s="7">
        <v>6000</v>
      </c>
      <c r="S43" s="8">
        <f t="shared" si="0"/>
        <v>2192.3384615384616</v>
      </c>
    </row>
    <row r="44" spans="1:19">
      <c r="A44" s="5">
        <v>43</v>
      </c>
      <c r="B44" s="9">
        <v>2506030864</v>
      </c>
      <c r="C44" s="9" t="s">
        <v>419</v>
      </c>
      <c r="D44" s="9" t="s">
        <v>321</v>
      </c>
      <c r="E44" s="9" t="s">
        <v>420</v>
      </c>
      <c r="F44" s="9" t="s">
        <v>202</v>
      </c>
      <c r="G44" s="9" t="s">
        <v>52</v>
      </c>
      <c r="H44" s="9" t="s">
        <v>395</v>
      </c>
      <c r="I44" s="9">
        <v>202500231</v>
      </c>
      <c r="J44" s="10">
        <v>45811</v>
      </c>
      <c r="K44" s="10">
        <v>45811</v>
      </c>
      <c r="L44" s="10">
        <v>45814</v>
      </c>
      <c r="M44" s="9" t="s">
        <v>45</v>
      </c>
      <c r="N44" s="9" t="s">
        <v>94</v>
      </c>
      <c r="O44" s="9" t="s">
        <v>389</v>
      </c>
      <c r="P44" s="32">
        <v>3</v>
      </c>
      <c r="Q44" s="11">
        <v>3807.6615384615384</v>
      </c>
      <c r="R44" s="11">
        <v>7500</v>
      </c>
      <c r="S44" s="12">
        <f t="shared" si="0"/>
        <v>3692.3384615384616</v>
      </c>
    </row>
    <row r="45" spans="1:19">
      <c r="A45" s="5">
        <v>44</v>
      </c>
      <c r="B45" s="5">
        <v>2506030865</v>
      </c>
      <c r="C45" s="5" t="s">
        <v>421</v>
      </c>
      <c r="D45" s="5" t="s">
        <v>321</v>
      </c>
      <c r="E45" s="5" t="s">
        <v>420</v>
      </c>
      <c r="F45" s="5" t="s">
        <v>202</v>
      </c>
      <c r="G45" s="5" t="s">
        <v>43</v>
      </c>
      <c r="H45" s="5" t="s">
        <v>395</v>
      </c>
      <c r="I45" s="5">
        <v>202500232</v>
      </c>
      <c r="J45" s="6">
        <v>45810</v>
      </c>
      <c r="K45" s="6">
        <v>45811</v>
      </c>
      <c r="L45" s="6">
        <v>45814</v>
      </c>
      <c r="M45" s="5" t="s">
        <v>53</v>
      </c>
      <c r="N45" s="5" t="s">
        <v>54</v>
      </c>
      <c r="O45" s="5" t="s">
        <v>41</v>
      </c>
      <c r="P45" s="30">
        <v>3</v>
      </c>
      <c r="Q45" s="7">
        <v>3807.6615384615384</v>
      </c>
      <c r="R45" s="7">
        <v>12000</v>
      </c>
      <c r="S45" s="8">
        <f t="shared" si="0"/>
        <v>8192.3384615384621</v>
      </c>
    </row>
    <row r="46" spans="1:19">
      <c r="A46" s="5">
        <v>45</v>
      </c>
      <c r="B46" s="5">
        <v>2506030866</v>
      </c>
      <c r="C46" s="5" t="s">
        <v>422</v>
      </c>
      <c r="D46" s="5" t="s">
        <v>321</v>
      </c>
      <c r="E46" s="5" t="s">
        <v>420</v>
      </c>
      <c r="F46" s="5" t="s">
        <v>202</v>
      </c>
      <c r="G46" s="5" t="s">
        <v>52</v>
      </c>
      <c r="H46" s="5" t="s">
        <v>395</v>
      </c>
      <c r="I46" s="5">
        <v>202500233</v>
      </c>
      <c r="J46" s="6">
        <v>45810</v>
      </c>
      <c r="K46" s="6">
        <v>45811</v>
      </c>
      <c r="L46" s="6">
        <v>45814</v>
      </c>
      <c r="M46" s="5" t="s">
        <v>53</v>
      </c>
      <c r="N46" s="5" t="s">
        <v>54</v>
      </c>
      <c r="O46" s="5" t="s">
        <v>41</v>
      </c>
      <c r="P46" s="30">
        <v>3</v>
      </c>
      <c r="Q46" s="7">
        <v>3807.6615384615384</v>
      </c>
      <c r="R46" s="7">
        <v>7500</v>
      </c>
      <c r="S46" s="8">
        <f t="shared" si="0"/>
        <v>3692.3384615384616</v>
      </c>
    </row>
    <row r="47" spans="1:19">
      <c r="A47" s="5">
        <v>46</v>
      </c>
      <c r="B47" s="22">
        <v>2505140059</v>
      </c>
      <c r="C47" s="22" t="s">
        <v>423</v>
      </c>
      <c r="D47" s="22" t="s">
        <v>189</v>
      </c>
      <c r="E47" s="22" t="s">
        <v>424</v>
      </c>
      <c r="F47" s="22" t="s">
        <v>79</v>
      </c>
      <c r="G47" s="22" t="s">
        <v>190</v>
      </c>
      <c r="H47" s="22" t="s">
        <v>395</v>
      </c>
      <c r="I47" s="22">
        <v>202500234</v>
      </c>
      <c r="J47" s="23">
        <v>45811</v>
      </c>
      <c r="K47" s="23">
        <v>45812</v>
      </c>
      <c r="L47" s="23">
        <v>45814</v>
      </c>
      <c r="M47" s="22" t="s">
        <v>53</v>
      </c>
      <c r="N47" s="22" t="s">
        <v>54</v>
      </c>
      <c r="O47" s="22" t="s">
        <v>425</v>
      </c>
      <c r="P47" s="34">
        <v>2</v>
      </c>
      <c r="Q47" s="24">
        <v>3807.6615384615384</v>
      </c>
      <c r="R47" s="24">
        <v>0</v>
      </c>
      <c r="S47" s="25">
        <f t="shared" si="0"/>
        <v>-3807.6615384615384</v>
      </c>
    </row>
    <row r="48" spans="1:19">
      <c r="A48" s="5">
        <v>47</v>
      </c>
      <c r="B48" s="9">
        <v>2506040087</v>
      </c>
      <c r="C48" s="9" t="s">
        <v>426</v>
      </c>
      <c r="D48" s="9" t="s">
        <v>393</v>
      </c>
      <c r="E48" s="9" t="s">
        <v>394</v>
      </c>
      <c r="F48" s="9" t="s">
        <v>202</v>
      </c>
      <c r="G48" s="9" t="s">
        <v>43</v>
      </c>
      <c r="H48" s="9" t="s">
        <v>395</v>
      </c>
      <c r="I48" s="9">
        <v>202500235</v>
      </c>
      <c r="J48" s="10">
        <v>45811</v>
      </c>
      <c r="K48" s="10">
        <v>45812</v>
      </c>
      <c r="L48" s="10">
        <v>45814</v>
      </c>
      <c r="M48" s="9" t="s">
        <v>45</v>
      </c>
      <c r="N48" s="9" t="s">
        <v>94</v>
      </c>
      <c r="O48" s="9" t="s">
        <v>427</v>
      </c>
      <c r="P48" s="32">
        <v>2</v>
      </c>
      <c r="Q48" s="11">
        <v>3807.6615384615384</v>
      </c>
      <c r="R48" s="11">
        <v>13500</v>
      </c>
      <c r="S48" s="12">
        <f t="shared" si="0"/>
        <v>9692.3384615384621</v>
      </c>
    </row>
    <row r="49" spans="1:19">
      <c r="A49" s="5">
        <v>48</v>
      </c>
      <c r="B49" s="13">
        <v>2505311299</v>
      </c>
      <c r="C49" s="13" t="s">
        <v>382</v>
      </c>
      <c r="D49" s="13" t="s">
        <v>83</v>
      </c>
      <c r="E49" s="13" t="s">
        <v>84</v>
      </c>
      <c r="F49" s="13" t="s">
        <v>62</v>
      </c>
      <c r="G49" s="13" t="s">
        <v>52</v>
      </c>
      <c r="H49" s="13" t="s">
        <v>395</v>
      </c>
      <c r="I49" s="13">
        <v>202500236</v>
      </c>
      <c r="J49" s="14">
        <v>45806</v>
      </c>
      <c r="K49" s="14">
        <v>45808</v>
      </c>
      <c r="L49" s="14">
        <v>45814</v>
      </c>
      <c r="M49" s="13" t="s">
        <v>45</v>
      </c>
      <c r="N49" s="13" t="s">
        <v>46</v>
      </c>
      <c r="O49" s="13" t="s">
        <v>428</v>
      </c>
      <c r="P49" s="35">
        <v>6</v>
      </c>
      <c r="Q49" s="15">
        <v>3807.6615384615384</v>
      </c>
      <c r="R49" s="15">
        <v>0</v>
      </c>
      <c r="S49" s="16">
        <f t="shared" si="0"/>
        <v>-3807.6615384615384</v>
      </c>
    </row>
    <row r="50" spans="1:19">
      <c r="A50" s="5">
        <v>49</v>
      </c>
      <c r="B50" s="13">
        <v>2505312271</v>
      </c>
      <c r="C50" s="13" t="s">
        <v>388</v>
      </c>
      <c r="D50" s="13" t="s">
        <v>200</v>
      </c>
      <c r="E50" s="13" t="s">
        <v>201</v>
      </c>
      <c r="F50" s="13" t="s">
        <v>202</v>
      </c>
      <c r="G50" s="13" t="s">
        <v>43</v>
      </c>
      <c r="H50" s="13" t="s">
        <v>395</v>
      </c>
      <c r="I50" s="13">
        <v>202500237</v>
      </c>
      <c r="J50" s="14">
        <v>45808</v>
      </c>
      <c r="K50" s="14">
        <v>45808</v>
      </c>
      <c r="L50" s="14">
        <v>45814</v>
      </c>
      <c r="M50" s="13" t="s">
        <v>45</v>
      </c>
      <c r="N50" s="13" t="s">
        <v>46</v>
      </c>
      <c r="O50" s="13" t="s">
        <v>429</v>
      </c>
      <c r="P50" s="35">
        <v>6</v>
      </c>
      <c r="Q50" s="15">
        <v>3807.6615384615384</v>
      </c>
      <c r="R50" s="15">
        <v>0</v>
      </c>
      <c r="S50" s="16">
        <f t="shared" si="0"/>
        <v>-3807.6615384615384</v>
      </c>
    </row>
    <row r="51" spans="1:19">
      <c r="A51" s="5">
        <v>50</v>
      </c>
      <c r="B51" s="5" t="s">
        <v>430</v>
      </c>
      <c r="C51" s="5"/>
      <c r="D51" s="5"/>
      <c r="E51" s="5"/>
      <c r="F51" s="5"/>
      <c r="G51" s="5" t="s">
        <v>52</v>
      </c>
      <c r="H51" s="5" t="s">
        <v>395</v>
      </c>
      <c r="I51" s="5"/>
      <c r="J51" s="5"/>
      <c r="K51" s="5"/>
      <c r="L51" s="5"/>
      <c r="M51" s="5"/>
      <c r="N51" s="5"/>
      <c r="O51" s="5"/>
      <c r="P51" s="5"/>
      <c r="Q51" s="7">
        <v>3807.6615384615384</v>
      </c>
      <c r="R51" s="7">
        <v>0</v>
      </c>
      <c r="S51" s="8">
        <f t="shared" si="0"/>
        <v>-3807.6615384615384</v>
      </c>
    </row>
    <row r="52" spans="1:19">
      <c r="A52" s="5">
        <v>51</v>
      </c>
      <c r="B52" s="5" t="s">
        <v>431</v>
      </c>
      <c r="C52" s="5"/>
      <c r="D52" s="5"/>
      <c r="E52" s="5"/>
      <c r="F52" s="5"/>
      <c r="G52" s="5" t="s">
        <v>52</v>
      </c>
      <c r="H52" s="5" t="s">
        <v>395</v>
      </c>
      <c r="I52" s="5"/>
      <c r="J52" s="5"/>
      <c r="K52" s="5"/>
      <c r="L52" s="5"/>
      <c r="M52" s="5"/>
      <c r="N52" s="5"/>
      <c r="O52" s="5"/>
      <c r="P52" s="5"/>
      <c r="Q52" s="7">
        <v>3807.6615384615384</v>
      </c>
      <c r="R52" s="7">
        <v>0</v>
      </c>
      <c r="S52" s="8">
        <f t="shared" si="0"/>
        <v>-3807.6615384615384</v>
      </c>
    </row>
    <row r="53" spans="1:19">
      <c r="A53" s="5">
        <v>52</v>
      </c>
      <c r="B53" s="9">
        <v>2506010031</v>
      </c>
      <c r="C53" s="9" t="s">
        <v>396</v>
      </c>
      <c r="D53" s="9" t="s">
        <v>397</v>
      </c>
      <c r="E53" s="9" t="s">
        <v>398</v>
      </c>
      <c r="F53" s="9" t="s">
        <v>79</v>
      </c>
      <c r="G53" s="9" t="s">
        <v>75</v>
      </c>
      <c r="H53" s="9" t="s">
        <v>432</v>
      </c>
      <c r="I53" s="9">
        <v>202500238</v>
      </c>
      <c r="J53" s="10">
        <v>45807</v>
      </c>
      <c r="K53" s="10">
        <v>45809</v>
      </c>
      <c r="L53" s="10">
        <v>45816</v>
      </c>
      <c r="M53" s="9" t="s">
        <v>45</v>
      </c>
      <c r="N53" s="9" t="s">
        <v>94</v>
      </c>
      <c r="O53" s="9" t="s">
        <v>433</v>
      </c>
      <c r="P53" s="32">
        <v>7</v>
      </c>
      <c r="Q53" s="11">
        <v>3943.5679999999998</v>
      </c>
      <c r="R53" s="11">
        <v>0</v>
      </c>
      <c r="S53" s="12">
        <f t="shared" si="0"/>
        <v>-3943.5679999999998</v>
      </c>
    </row>
    <row r="54" spans="1:19">
      <c r="A54" s="5">
        <v>53</v>
      </c>
      <c r="B54" s="9">
        <v>2506011247</v>
      </c>
      <c r="C54" s="9" t="s">
        <v>400</v>
      </c>
      <c r="D54" s="9" t="s">
        <v>293</v>
      </c>
      <c r="E54" s="9" t="s">
        <v>294</v>
      </c>
      <c r="F54" s="9" t="s">
        <v>51</v>
      </c>
      <c r="G54" s="9" t="s">
        <v>52</v>
      </c>
      <c r="H54" s="9" t="s">
        <v>432</v>
      </c>
      <c r="I54" s="9">
        <v>202500239</v>
      </c>
      <c r="J54" s="10">
        <v>45808</v>
      </c>
      <c r="K54" s="10">
        <v>45809</v>
      </c>
      <c r="L54" s="10">
        <v>45816</v>
      </c>
      <c r="M54" s="9" t="s">
        <v>45</v>
      </c>
      <c r="N54" s="9" t="s">
        <v>94</v>
      </c>
      <c r="O54" s="9" t="s">
        <v>434</v>
      </c>
      <c r="P54" s="32">
        <v>7</v>
      </c>
      <c r="Q54" s="11">
        <v>3943.5679999999998</v>
      </c>
      <c r="R54" s="11">
        <v>0</v>
      </c>
      <c r="S54" s="12">
        <f t="shared" si="0"/>
        <v>-3943.5679999999998</v>
      </c>
    </row>
    <row r="55" spans="1:19">
      <c r="A55" s="5">
        <v>54</v>
      </c>
      <c r="B55" s="22">
        <v>2506011250</v>
      </c>
      <c r="C55" s="22" t="s">
        <v>401</v>
      </c>
      <c r="D55" s="22" t="s">
        <v>64</v>
      </c>
      <c r="E55" s="22" t="s">
        <v>65</v>
      </c>
      <c r="F55" s="22" t="s">
        <v>66</v>
      </c>
      <c r="G55" s="22" t="s">
        <v>52</v>
      </c>
      <c r="H55" s="22" t="s">
        <v>432</v>
      </c>
      <c r="I55" s="22">
        <v>202500240</v>
      </c>
      <c r="J55" s="23">
        <v>45808</v>
      </c>
      <c r="K55" s="23">
        <v>45809</v>
      </c>
      <c r="L55" s="23">
        <v>45816</v>
      </c>
      <c r="M55" s="22" t="s">
        <v>53</v>
      </c>
      <c r="N55" s="22" t="s">
        <v>54</v>
      </c>
      <c r="O55" s="22" t="s">
        <v>435</v>
      </c>
      <c r="P55" s="34">
        <v>7</v>
      </c>
      <c r="Q55" s="24">
        <v>3943.5679999999998</v>
      </c>
      <c r="R55" s="24">
        <v>0</v>
      </c>
      <c r="S55" s="25">
        <f t="shared" si="0"/>
        <v>-3943.5679999999998</v>
      </c>
    </row>
    <row r="56" spans="1:19">
      <c r="A56" s="5">
        <v>55</v>
      </c>
      <c r="B56" s="9">
        <v>2506011254</v>
      </c>
      <c r="C56" s="9" t="s">
        <v>402</v>
      </c>
      <c r="D56" s="9" t="s">
        <v>309</v>
      </c>
      <c r="E56" s="9" t="s">
        <v>310</v>
      </c>
      <c r="F56" s="9" t="s">
        <v>51</v>
      </c>
      <c r="G56" s="9" t="s">
        <v>52</v>
      </c>
      <c r="H56" s="9" t="s">
        <v>432</v>
      </c>
      <c r="I56" s="9">
        <v>202500241</v>
      </c>
      <c r="J56" s="10">
        <v>45809</v>
      </c>
      <c r="K56" s="10">
        <v>45809</v>
      </c>
      <c r="L56" s="10">
        <v>45816</v>
      </c>
      <c r="M56" s="9" t="s">
        <v>45</v>
      </c>
      <c r="N56" s="9" t="s">
        <v>94</v>
      </c>
      <c r="O56" s="9" t="s">
        <v>434</v>
      </c>
      <c r="P56" s="32">
        <v>7</v>
      </c>
      <c r="Q56" s="11">
        <v>3943.5679999999998</v>
      </c>
      <c r="R56" s="11">
        <v>0</v>
      </c>
      <c r="S56" s="12">
        <f t="shared" si="0"/>
        <v>-3943.5679999999998</v>
      </c>
    </row>
    <row r="57" spans="1:19">
      <c r="A57" s="5">
        <v>56</v>
      </c>
      <c r="B57" s="22">
        <v>2506011262</v>
      </c>
      <c r="C57" s="22" t="s">
        <v>404</v>
      </c>
      <c r="D57" s="22" t="s">
        <v>405</v>
      </c>
      <c r="E57" s="22" t="s">
        <v>406</v>
      </c>
      <c r="F57" s="22" t="s">
        <v>202</v>
      </c>
      <c r="G57" s="22" t="s">
        <v>52</v>
      </c>
      <c r="H57" s="22" t="s">
        <v>432</v>
      </c>
      <c r="I57" s="22">
        <v>202500242</v>
      </c>
      <c r="J57" s="23">
        <v>45809</v>
      </c>
      <c r="K57" s="23">
        <v>45809</v>
      </c>
      <c r="L57" s="23">
        <v>45816</v>
      </c>
      <c r="M57" s="22" t="s">
        <v>53</v>
      </c>
      <c r="N57" s="22" t="s">
        <v>54</v>
      </c>
      <c r="O57" s="22" t="s">
        <v>435</v>
      </c>
      <c r="P57" s="34">
        <v>7</v>
      </c>
      <c r="Q57" s="24">
        <v>3943.5679999999998</v>
      </c>
      <c r="R57" s="24">
        <v>0</v>
      </c>
      <c r="S57" s="25">
        <f t="shared" si="0"/>
        <v>-3943.5679999999998</v>
      </c>
    </row>
    <row r="58" spans="1:19">
      <c r="A58" s="5">
        <v>57</v>
      </c>
      <c r="B58" s="22">
        <v>1206011265</v>
      </c>
      <c r="C58" s="22" t="s">
        <v>407</v>
      </c>
      <c r="D58" s="22" t="s">
        <v>405</v>
      </c>
      <c r="E58" s="22" t="s">
        <v>408</v>
      </c>
      <c r="F58" s="22" t="s">
        <v>202</v>
      </c>
      <c r="G58" s="22" t="s">
        <v>52</v>
      </c>
      <c r="H58" s="22" t="s">
        <v>432</v>
      </c>
      <c r="I58" s="22">
        <v>202500243</v>
      </c>
      <c r="J58" s="23">
        <v>45809</v>
      </c>
      <c r="K58" s="23">
        <v>45809</v>
      </c>
      <c r="L58" s="23">
        <v>45816</v>
      </c>
      <c r="M58" s="22" t="s">
        <v>53</v>
      </c>
      <c r="N58" s="22" t="s">
        <v>54</v>
      </c>
      <c r="O58" s="22" t="s">
        <v>435</v>
      </c>
      <c r="P58" s="34">
        <v>7</v>
      </c>
      <c r="Q58" s="24">
        <v>3943.5679999999998</v>
      </c>
      <c r="R58" s="24">
        <v>0</v>
      </c>
      <c r="S58" s="25">
        <f t="shared" si="0"/>
        <v>-3943.5679999999998</v>
      </c>
    </row>
    <row r="59" spans="1:19">
      <c r="A59" s="5">
        <v>58</v>
      </c>
      <c r="B59" s="22">
        <v>2506011296</v>
      </c>
      <c r="C59" s="22" t="s">
        <v>411</v>
      </c>
      <c r="D59" s="22" t="s">
        <v>49</v>
      </c>
      <c r="E59" s="22" t="s">
        <v>50</v>
      </c>
      <c r="F59" s="22" t="s">
        <v>51</v>
      </c>
      <c r="G59" s="22" t="s">
        <v>52</v>
      </c>
      <c r="H59" s="22" t="s">
        <v>432</v>
      </c>
      <c r="I59" s="22">
        <v>202500244</v>
      </c>
      <c r="J59" s="23">
        <v>45808</v>
      </c>
      <c r="K59" s="23">
        <v>45809</v>
      </c>
      <c r="L59" s="23">
        <v>45816</v>
      </c>
      <c r="M59" s="22" t="s">
        <v>53</v>
      </c>
      <c r="N59" s="22" t="s">
        <v>54</v>
      </c>
      <c r="O59" s="22" t="s">
        <v>435</v>
      </c>
      <c r="P59" s="34">
        <v>7</v>
      </c>
      <c r="Q59" s="24">
        <v>3943.5679999999998</v>
      </c>
      <c r="R59" s="24">
        <v>0</v>
      </c>
      <c r="S59" s="25">
        <f t="shared" si="0"/>
        <v>-3943.5679999999998</v>
      </c>
    </row>
    <row r="60" spans="1:19">
      <c r="A60" s="5">
        <v>59</v>
      </c>
      <c r="B60" s="9">
        <v>2506011299</v>
      </c>
      <c r="C60" s="9" t="s">
        <v>412</v>
      </c>
      <c r="D60" s="9" t="s">
        <v>139</v>
      </c>
      <c r="E60" s="9" t="s">
        <v>413</v>
      </c>
      <c r="F60" s="9" t="s">
        <v>141</v>
      </c>
      <c r="G60" s="9" t="s">
        <v>52</v>
      </c>
      <c r="H60" s="9" t="s">
        <v>432</v>
      </c>
      <c r="I60" s="9">
        <v>202500245</v>
      </c>
      <c r="J60" s="10">
        <v>45808</v>
      </c>
      <c r="K60" s="10">
        <v>45809</v>
      </c>
      <c r="L60" s="10">
        <v>45816</v>
      </c>
      <c r="M60" s="9" t="s">
        <v>45</v>
      </c>
      <c r="N60" s="9" t="s">
        <v>94</v>
      </c>
      <c r="O60" s="9" t="s">
        <v>434</v>
      </c>
      <c r="P60" s="32">
        <v>7</v>
      </c>
      <c r="Q60" s="11">
        <v>3943.5679999999998</v>
      </c>
      <c r="R60" s="11">
        <v>0</v>
      </c>
      <c r="S60" s="12">
        <f t="shared" si="0"/>
        <v>-3943.5679999999998</v>
      </c>
    </row>
    <row r="61" spans="1:19">
      <c r="A61" s="5">
        <v>60</v>
      </c>
      <c r="B61" s="22">
        <v>2506251889</v>
      </c>
      <c r="C61" s="22" t="s">
        <v>414</v>
      </c>
      <c r="D61" s="22" t="s">
        <v>393</v>
      </c>
      <c r="E61" s="22" t="s">
        <v>394</v>
      </c>
      <c r="F61" s="22" t="s">
        <v>202</v>
      </c>
      <c r="G61" s="22" t="s">
        <v>43</v>
      </c>
      <c r="H61" s="22" t="s">
        <v>432</v>
      </c>
      <c r="I61" s="22">
        <v>202500246</v>
      </c>
      <c r="J61" s="23">
        <v>45809</v>
      </c>
      <c r="K61" s="23">
        <v>45810</v>
      </c>
      <c r="L61" s="23">
        <v>45816</v>
      </c>
      <c r="M61" s="22" t="s">
        <v>53</v>
      </c>
      <c r="N61" s="22" t="s">
        <v>54</v>
      </c>
      <c r="O61" s="22" t="s">
        <v>435</v>
      </c>
      <c r="P61" s="34">
        <v>6</v>
      </c>
      <c r="Q61" s="24">
        <v>3943.5679999999998</v>
      </c>
      <c r="R61" s="24">
        <v>0</v>
      </c>
      <c r="S61" s="25">
        <f t="shared" si="0"/>
        <v>-3943.5679999999998</v>
      </c>
    </row>
    <row r="62" spans="1:19">
      <c r="A62" s="5">
        <v>61</v>
      </c>
      <c r="B62" s="9">
        <v>2506030864</v>
      </c>
      <c r="C62" s="9" t="s">
        <v>419</v>
      </c>
      <c r="D62" s="9" t="s">
        <v>321</v>
      </c>
      <c r="E62" s="9" t="s">
        <v>420</v>
      </c>
      <c r="F62" s="9" t="s">
        <v>202</v>
      </c>
      <c r="G62" s="9" t="s">
        <v>52</v>
      </c>
      <c r="H62" s="9" t="s">
        <v>432</v>
      </c>
      <c r="I62" s="9">
        <v>202500247</v>
      </c>
      <c r="J62" s="10">
        <v>45811</v>
      </c>
      <c r="K62" s="10">
        <v>45811</v>
      </c>
      <c r="L62" s="10">
        <v>45816</v>
      </c>
      <c r="M62" s="9" t="s">
        <v>45</v>
      </c>
      <c r="N62" s="9" t="s">
        <v>94</v>
      </c>
      <c r="O62" s="9" t="s">
        <v>434</v>
      </c>
      <c r="P62" s="32">
        <v>5</v>
      </c>
      <c r="Q62" s="11">
        <v>3943.5679999999998</v>
      </c>
      <c r="R62" s="11">
        <v>0</v>
      </c>
      <c r="S62" s="12">
        <f t="shared" si="0"/>
        <v>-3943.5679999999998</v>
      </c>
    </row>
    <row r="63" spans="1:19">
      <c r="A63" s="5">
        <v>62</v>
      </c>
      <c r="B63" s="22">
        <v>2506040087</v>
      </c>
      <c r="C63" s="22" t="s">
        <v>426</v>
      </c>
      <c r="D63" s="22" t="s">
        <v>393</v>
      </c>
      <c r="E63" s="22" t="s">
        <v>394</v>
      </c>
      <c r="F63" s="22" t="s">
        <v>202</v>
      </c>
      <c r="G63" s="22" t="s">
        <v>43</v>
      </c>
      <c r="H63" s="22" t="s">
        <v>432</v>
      </c>
      <c r="I63" s="22">
        <v>202500248</v>
      </c>
      <c r="J63" s="23">
        <v>45811</v>
      </c>
      <c r="K63" s="23">
        <v>45812</v>
      </c>
      <c r="L63" s="23">
        <v>45816</v>
      </c>
      <c r="M63" s="22" t="s">
        <v>53</v>
      </c>
      <c r="N63" s="22" t="s">
        <v>54</v>
      </c>
      <c r="O63" s="22" t="s">
        <v>435</v>
      </c>
      <c r="P63" s="34">
        <v>4</v>
      </c>
      <c r="Q63" s="24">
        <v>3943.5679999999998</v>
      </c>
      <c r="R63" s="24">
        <v>0</v>
      </c>
      <c r="S63" s="25">
        <f t="shared" si="0"/>
        <v>-3943.5679999999998</v>
      </c>
    </row>
    <row r="64" spans="1:19">
      <c r="A64" s="5">
        <v>63</v>
      </c>
      <c r="B64" s="5">
        <v>2506040860</v>
      </c>
      <c r="C64" s="5" t="s">
        <v>436</v>
      </c>
      <c r="D64" s="5" t="s">
        <v>437</v>
      </c>
      <c r="E64" s="5" t="s">
        <v>438</v>
      </c>
      <c r="F64" s="5" t="s">
        <v>71</v>
      </c>
      <c r="G64" s="5" t="s">
        <v>52</v>
      </c>
      <c r="H64" s="5" t="s">
        <v>432</v>
      </c>
      <c r="I64" s="5">
        <v>202500249</v>
      </c>
      <c r="J64" s="6">
        <v>45811</v>
      </c>
      <c r="K64" s="6">
        <v>45812</v>
      </c>
      <c r="L64" s="6">
        <v>45816</v>
      </c>
      <c r="M64" s="5" t="s">
        <v>53</v>
      </c>
      <c r="N64" s="5" t="s">
        <v>54</v>
      </c>
      <c r="O64" s="5" t="s">
        <v>41</v>
      </c>
      <c r="P64" s="30">
        <v>4</v>
      </c>
      <c r="Q64" s="7">
        <v>3943.5679999999998</v>
      </c>
      <c r="R64" s="7">
        <v>8500</v>
      </c>
      <c r="S64" s="8">
        <f t="shared" si="0"/>
        <v>4556.4320000000007</v>
      </c>
    </row>
    <row r="65" spans="1:19">
      <c r="A65" s="5">
        <v>64</v>
      </c>
      <c r="B65" s="9">
        <v>2506042340</v>
      </c>
      <c r="C65" s="9" t="s">
        <v>439</v>
      </c>
      <c r="D65" s="9" t="s">
        <v>440</v>
      </c>
      <c r="E65" s="9" t="s">
        <v>441</v>
      </c>
      <c r="F65" s="9" t="s">
        <v>169</v>
      </c>
      <c r="G65" s="9" t="s">
        <v>75</v>
      </c>
      <c r="H65" s="9" t="s">
        <v>432</v>
      </c>
      <c r="I65" s="9">
        <v>202500250</v>
      </c>
      <c r="J65" s="10">
        <v>45812</v>
      </c>
      <c r="K65" s="10">
        <v>45812</v>
      </c>
      <c r="L65" s="10">
        <v>45816</v>
      </c>
      <c r="M65" s="9" t="s">
        <v>45</v>
      </c>
      <c r="N65" s="9" t="s">
        <v>94</v>
      </c>
      <c r="O65" s="9" t="s">
        <v>434</v>
      </c>
      <c r="P65" s="32">
        <v>4</v>
      </c>
      <c r="Q65" s="11">
        <v>3943.5679999999998</v>
      </c>
      <c r="R65" s="11">
        <v>4500</v>
      </c>
      <c r="S65" s="12">
        <f t="shared" si="0"/>
        <v>556.43200000000024</v>
      </c>
    </row>
    <row r="66" spans="1:19">
      <c r="A66" s="5">
        <v>65</v>
      </c>
      <c r="B66" s="9">
        <v>2505192196</v>
      </c>
      <c r="C66" s="9" t="s">
        <v>265</v>
      </c>
      <c r="D66" s="9" t="s">
        <v>266</v>
      </c>
      <c r="E66" s="9" t="s">
        <v>267</v>
      </c>
      <c r="F66" s="9" t="s">
        <v>169</v>
      </c>
      <c r="G66" s="9" t="s">
        <v>52</v>
      </c>
      <c r="H66" s="9" t="s">
        <v>432</v>
      </c>
      <c r="I66" s="9">
        <v>202500251</v>
      </c>
      <c r="J66" s="10">
        <v>45812</v>
      </c>
      <c r="K66" s="10">
        <v>45812</v>
      </c>
      <c r="L66" s="10">
        <v>45816</v>
      </c>
      <c r="M66" s="9" t="s">
        <v>45</v>
      </c>
      <c r="N66" s="9" t="s">
        <v>94</v>
      </c>
      <c r="O66" s="9" t="s">
        <v>442</v>
      </c>
      <c r="P66" s="32">
        <v>4</v>
      </c>
      <c r="Q66" s="11">
        <v>3943.5679999999998</v>
      </c>
      <c r="R66" s="11">
        <v>0</v>
      </c>
      <c r="S66" s="12">
        <f t="shared" si="0"/>
        <v>-3943.5679999999998</v>
      </c>
    </row>
    <row r="67" spans="1:19">
      <c r="A67" s="5">
        <v>66</v>
      </c>
      <c r="B67" s="9">
        <v>2506042346</v>
      </c>
      <c r="C67" s="9" t="s">
        <v>443</v>
      </c>
      <c r="D67" s="9" t="s">
        <v>444</v>
      </c>
      <c r="E67" s="9" t="s">
        <v>445</v>
      </c>
      <c r="F67" s="9" t="s">
        <v>109</v>
      </c>
      <c r="G67" s="9" t="s">
        <v>75</v>
      </c>
      <c r="H67" s="9" t="s">
        <v>432</v>
      </c>
      <c r="I67" s="9">
        <v>202500252</v>
      </c>
      <c r="J67" s="10">
        <v>45812</v>
      </c>
      <c r="K67" s="10">
        <v>45812</v>
      </c>
      <c r="L67" s="10">
        <v>45816</v>
      </c>
      <c r="M67" s="9" t="s">
        <v>45</v>
      </c>
      <c r="N67" s="9" t="s">
        <v>94</v>
      </c>
      <c r="O67" s="9" t="s">
        <v>446</v>
      </c>
      <c r="P67" s="32">
        <v>4</v>
      </c>
      <c r="Q67" s="11">
        <v>3943.5679999999998</v>
      </c>
      <c r="R67" s="11">
        <v>4500</v>
      </c>
      <c r="S67" s="12">
        <f t="shared" ref="S67:S130" si="1">R67-Q67</f>
        <v>556.43200000000024</v>
      </c>
    </row>
    <row r="68" spans="1:19">
      <c r="A68" s="5">
        <v>67</v>
      </c>
      <c r="B68" s="5">
        <v>2506042358</v>
      </c>
      <c r="C68" s="5" t="s">
        <v>447</v>
      </c>
      <c r="D68" s="5" t="s">
        <v>448</v>
      </c>
      <c r="E68" s="5" t="s">
        <v>449</v>
      </c>
      <c r="F68" s="5" t="s">
        <v>109</v>
      </c>
      <c r="G68" s="5" t="s">
        <v>52</v>
      </c>
      <c r="H68" s="5" t="s">
        <v>432</v>
      </c>
      <c r="I68" s="5">
        <v>202500253</v>
      </c>
      <c r="J68" s="6">
        <v>45812</v>
      </c>
      <c r="K68" s="6">
        <v>45812</v>
      </c>
      <c r="L68" s="6">
        <v>45816</v>
      </c>
      <c r="M68" s="5" t="s">
        <v>53</v>
      </c>
      <c r="N68" s="5" t="s">
        <v>54</v>
      </c>
      <c r="O68" s="5" t="s">
        <v>41</v>
      </c>
      <c r="P68" s="30">
        <v>4</v>
      </c>
      <c r="Q68" s="7">
        <v>3943.5679999999998</v>
      </c>
      <c r="R68" s="7">
        <v>6500</v>
      </c>
      <c r="S68" s="8">
        <f t="shared" si="1"/>
        <v>2556.4320000000002</v>
      </c>
    </row>
    <row r="69" spans="1:19">
      <c r="A69" s="5">
        <v>68</v>
      </c>
      <c r="B69" s="5">
        <v>2506053560</v>
      </c>
      <c r="C69" s="5" t="s">
        <v>450</v>
      </c>
      <c r="D69" s="5" t="s">
        <v>159</v>
      </c>
      <c r="E69" s="5" t="s">
        <v>451</v>
      </c>
      <c r="F69" s="5" t="s">
        <v>452</v>
      </c>
      <c r="G69" s="5" t="s">
        <v>52</v>
      </c>
      <c r="H69" s="5" t="s">
        <v>432</v>
      </c>
      <c r="I69" s="5">
        <v>202500254</v>
      </c>
      <c r="J69" s="6">
        <v>45812</v>
      </c>
      <c r="K69" s="6">
        <v>45813</v>
      </c>
      <c r="L69" s="6">
        <v>45816</v>
      </c>
      <c r="M69" s="5" t="s">
        <v>53</v>
      </c>
      <c r="N69" s="5" t="s">
        <v>54</v>
      </c>
      <c r="O69" s="5" t="s">
        <v>41</v>
      </c>
      <c r="P69" s="30">
        <v>3</v>
      </c>
      <c r="Q69" s="7">
        <v>3943.5679999999998</v>
      </c>
      <c r="R69" s="7">
        <v>7000</v>
      </c>
      <c r="S69" s="8">
        <f t="shared" si="1"/>
        <v>3056.4320000000002</v>
      </c>
    </row>
    <row r="70" spans="1:19">
      <c r="A70" s="5">
        <v>69</v>
      </c>
      <c r="B70" s="5">
        <v>2506053568</v>
      </c>
      <c r="C70" s="5" t="s">
        <v>453</v>
      </c>
      <c r="D70" s="5" t="s">
        <v>77</v>
      </c>
      <c r="E70" s="5" t="s">
        <v>78</v>
      </c>
      <c r="F70" s="5" t="s">
        <v>79</v>
      </c>
      <c r="G70" s="5" t="s">
        <v>75</v>
      </c>
      <c r="H70" s="5" t="s">
        <v>432</v>
      </c>
      <c r="I70" s="5">
        <v>202500255</v>
      </c>
      <c r="J70" s="6">
        <v>45811</v>
      </c>
      <c r="K70" s="6">
        <v>45813</v>
      </c>
      <c r="L70" s="6">
        <v>45816</v>
      </c>
      <c r="M70" s="5" t="s">
        <v>53</v>
      </c>
      <c r="N70" s="5" t="s">
        <v>54</v>
      </c>
      <c r="O70" s="5" t="s">
        <v>41</v>
      </c>
      <c r="P70" s="30">
        <v>3</v>
      </c>
      <c r="Q70" s="7">
        <v>3943.5679999999998</v>
      </c>
      <c r="R70" s="7">
        <v>4500</v>
      </c>
      <c r="S70" s="8">
        <f t="shared" si="1"/>
        <v>556.43200000000024</v>
      </c>
    </row>
    <row r="71" spans="1:19">
      <c r="A71" s="5">
        <v>70</v>
      </c>
      <c r="B71" s="5">
        <v>2506053601</v>
      </c>
      <c r="C71" s="5" t="s">
        <v>454</v>
      </c>
      <c r="D71" s="5" t="s">
        <v>455</v>
      </c>
      <c r="E71" s="5" t="s">
        <v>456</v>
      </c>
      <c r="F71" s="5" t="s">
        <v>457</v>
      </c>
      <c r="G71" s="5" t="s">
        <v>75</v>
      </c>
      <c r="H71" s="5" t="s">
        <v>432</v>
      </c>
      <c r="I71" s="5">
        <v>202500256</v>
      </c>
      <c r="J71" s="6">
        <v>45812</v>
      </c>
      <c r="K71" s="6">
        <v>45813</v>
      </c>
      <c r="L71" s="6">
        <v>45816</v>
      </c>
      <c r="M71" s="5" t="s">
        <v>53</v>
      </c>
      <c r="N71" s="5" t="s">
        <v>54</v>
      </c>
      <c r="O71" s="5" t="s">
        <v>41</v>
      </c>
      <c r="P71" s="30">
        <v>3</v>
      </c>
      <c r="Q71" s="7">
        <v>3943.5679999999998</v>
      </c>
      <c r="R71" s="7">
        <v>4900</v>
      </c>
      <c r="S71" s="8">
        <f t="shared" si="1"/>
        <v>956.43200000000024</v>
      </c>
    </row>
    <row r="72" spans="1:19">
      <c r="A72" s="5">
        <v>71</v>
      </c>
      <c r="B72" s="5">
        <v>2506053603</v>
      </c>
      <c r="C72" s="5" t="s">
        <v>458</v>
      </c>
      <c r="D72" s="5" t="s">
        <v>405</v>
      </c>
      <c r="E72" s="5" t="s">
        <v>459</v>
      </c>
      <c r="F72" s="5" t="s">
        <v>202</v>
      </c>
      <c r="G72" s="5" t="s">
        <v>52</v>
      </c>
      <c r="H72" s="5" t="s">
        <v>432</v>
      </c>
      <c r="I72" s="5">
        <v>202500257</v>
      </c>
      <c r="J72" s="6">
        <v>45813</v>
      </c>
      <c r="K72" s="6">
        <v>45813</v>
      </c>
      <c r="L72" s="6">
        <v>45816</v>
      </c>
      <c r="M72" s="5" t="s">
        <v>53</v>
      </c>
      <c r="N72" s="5" t="s">
        <v>54</v>
      </c>
      <c r="O72" s="5" t="s">
        <v>41</v>
      </c>
      <c r="P72" s="30">
        <v>3</v>
      </c>
      <c r="Q72" s="7">
        <v>3943.5679999999998</v>
      </c>
      <c r="R72" s="7">
        <v>6450</v>
      </c>
      <c r="S72" s="8">
        <f t="shared" si="1"/>
        <v>2506.4320000000002</v>
      </c>
    </row>
    <row r="73" spans="1:19">
      <c r="A73" s="5">
        <v>72</v>
      </c>
      <c r="B73" s="5">
        <v>2506053607</v>
      </c>
      <c r="C73" s="5" t="s">
        <v>460</v>
      </c>
      <c r="D73" s="5" t="s">
        <v>440</v>
      </c>
      <c r="E73" s="5" t="s">
        <v>441</v>
      </c>
      <c r="F73" s="5" t="s">
        <v>169</v>
      </c>
      <c r="G73" s="5" t="s">
        <v>52</v>
      </c>
      <c r="H73" s="5" t="s">
        <v>432</v>
      </c>
      <c r="I73" s="5">
        <v>202500258</v>
      </c>
      <c r="J73" s="6">
        <v>45812</v>
      </c>
      <c r="K73" s="6">
        <v>45813</v>
      </c>
      <c r="L73" s="6">
        <v>45816</v>
      </c>
      <c r="M73" s="5" t="s">
        <v>53</v>
      </c>
      <c r="N73" s="5" t="s">
        <v>54</v>
      </c>
      <c r="O73" s="5" t="s">
        <v>41</v>
      </c>
      <c r="P73" s="30">
        <v>3</v>
      </c>
      <c r="Q73" s="7">
        <v>3943.5679999999998</v>
      </c>
      <c r="R73" s="7">
        <v>5500</v>
      </c>
      <c r="S73" s="8">
        <f t="shared" si="1"/>
        <v>1556.4320000000002</v>
      </c>
    </row>
    <row r="74" spans="1:19">
      <c r="A74" s="5">
        <v>73</v>
      </c>
      <c r="B74" s="5">
        <v>2506053614</v>
      </c>
      <c r="C74" s="5" t="s">
        <v>461</v>
      </c>
      <c r="D74" s="5" t="s">
        <v>257</v>
      </c>
      <c r="E74" s="5" t="s">
        <v>258</v>
      </c>
      <c r="F74" s="5" t="s">
        <v>62</v>
      </c>
      <c r="G74" s="5" t="s">
        <v>52</v>
      </c>
      <c r="H74" s="5" t="s">
        <v>432</v>
      </c>
      <c r="I74" s="5">
        <v>202500259</v>
      </c>
      <c r="J74" s="6">
        <v>45812</v>
      </c>
      <c r="K74" s="6">
        <v>45813</v>
      </c>
      <c r="L74" s="6">
        <v>45816</v>
      </c>
      <c r="M74" s="5" t="s">
        <v>53</v>
      </c>
      <c r="N74" s="5" t="s">
        <v>54</v>
      </c>
      <c r="O74" s="5" t="s">
        <v>41</v>
      </c>
      <c r="P74" s="30">
        <v>3</v>
      </c>
      <c r="Q74" s="7">
        <v>3943.5679999999998</v>
      </c>
      <c r="R74" s="7">
        <v>5100</v>
      </c>
      <c r="S74" s="8">
        <f t="shared" si="1"/>
        <v>1156.4320000000002</v>
      </c>
    </row>
    <row r="75" spans="1:19">
      <c r="A75" s="5">
        <v>74</v>
      </c>
      <c r="B75" s="9">
        <v>2506060085</v>
      </c>
      <c r="C75" s="9" t="s">
        <v>462</v>
      </c>
      <c r="D75" s="9" t="s">
        <v>200</v>
      </c>
      <c r="E75" s="9" t="s">
        <v>201</v>
      </c>
      <c r="F75" s="9" t="s">
        <v>202</v>
      </c>
      <c r="G75" s="9" t="s">
        <v>43</v>
      </c>
      <c r="H75" s="9" t="s">
        <v>432</v>
      </c>
      <c r="I75" s="9">
        <v>202500260</v>
      </c>
      <c r="J75" s="10">
        <v>45813</v>
      </c>
      <c r="K75" s="10">
        <v>45814</v>
      </c>
      <c r="L75" s="10">
        <v>45816</v>
      </c>
      <c r="M75" s="9" t="s">
        <v>45</v>
      </c>
      <c r="N75" s="9" t="s">
        <v>94</v>
      </c>
      <c r="O75" s="9" t="s">
        <v>67</v>
      </c>
      <c r="P75" s="32">
        <v>2</v>
      </c>
      <c r="Q75" s="11">
        <v>3943.5679999999998</v>
      </c>
      <c r="R75" s="11">
        <v>13500</v>
      </c>
      <c r="S75" s="12">
        <f t="shared" si="1"/>
        <v>9556.4320000000007</v>
      </c>
    </row>
    <row r="76" spans="1:19">
      <c r="A76" s="5">
        <v>75</v>
      </c>
      <c r="B76" s="5" t="s">
        <v>463</v>
      </c>
      <c r="C76" s="5"/>
      <c r="D76" s="5"/>
      <c r="E76" s="5"/>
      <c r="F76" s="5"/>
      <c r="G76" s="5" t="s">
        <v>52</v>
      </c>
      <c r="H76" s="5"/>
      <c r="I76" s="5"/>
      <c r="J76" s="5"/>
      <c r="K76" s="5"/>
      <c r="L76" s="5"/>
      <c r="M76" s="5"/>
      <c r="N76" s="5"/>
      <c r="O76" s="5"/>
      <c r="P76" s="5"/>
      <c r="Q76" s="7">
        <v>3943.5679999999998</v>
      </c>
      <c r="R76" s="7">
        <v>0</v>
      </c>
      <c r="S76" s="8">
        <f t="shared" si="1"/>
        <v>-3943.5679999999998</v>
      </c>
    </row>
    <row r="77" spans="1:19">
      <c r="A77" s="5">
        <v>76</v>
      </c>
      <c r="B77" s="5" t="s">
        <v>464</v>
      </c>
      <c r="C77" s="5"/>
      <c r="D77" s="5"/>
      <c r="E77" s="5"/>
      <c r="F77" s="5"/>
      <c r="G77" s="5" t="s">
        <v>52</v>
      </c>
      <c r="H77" s="5"/>
      <c r="I77" s="5"/>
      <c r="J77" s="5"/>
      <c r="K77" s="5"/>
      <c r="L77" s="5"/>
      <c r="M77" s="5"/>
      <c r="N77" s="5"/>
      <c r="O77" s="5"/>
      <c r="P77" s="5"/>
      <c r="Q77" s="7">
        <v>3943.5679999999998</v>
      </c>
      <c r="R77" s="7">
        <v>0</v>
      </c>
      <c r="S77" s="8">
        <f t="shared" si="1"/>
        <v>-3943.5679999999998</v>
      </c>
    </row>
    <row r="78" spans="1:19">
      <c r="A78" s="5">
        <v>77</v>
      </c>
      <c r="B78" s="22">
        <v>2506010031</v>
      </c>
      <c r="C78" s="22" t="s">
        <v>396</v>
      </c>
      <c r="D78" s="22" t="s">
        <v>397</v>
      </c>
      <c r="E78" s="22" t="s">
        <v>398</v>
      </c>
      <c r="F78" s="22" t="s">
        <v>79</v>
      </c>
      <c r="G78" s="22" t="s">
        <v>75</v>
      </c>
      <c r="H78" s="22" t="s">
        <v>465</v>
      </c>
      <c r="I78" s="22">
        <v>202500261</v>
      </c>
      <c r="J78" s="23">
        <v>45807</v>
      </c>
      <c r="K78" s="23">
        <v>45809</v>
      </c>
      <c r="L78" s="23">
        <v>45818</v>
      </c>
      <c r="M78" s="22" t="s">
        <v>53</v>
      </c>
      <c r="N78" s="22" t="s">
        <v>54</v>
      </c>
      <c r="O78" s="22" t="s">
        <v>466</v>
      </c>
      <c r="P78" s="34">
        <v>9</v>
      </c>
      <c r="Q78" s="24">
        <v>5317.7333333333336</v>
      </c>
      <c r="R78" s="24">
        <v>0</v>
      </c>
      <c r="S78" s="25">
        <f t="shared" si="1"/>
        <v>-5317.7333333333336</v>
      </c>
    </row>
    <row r="79" spans="1:19">
      <c r="A79" s="5">
        <v>78</v>
      </c>
      <c r="B79" s="22">
        <v>2506011247</v>
      </c>
      <c r="C79" s="22" t="s">
        <v>400</v>
      </c>
      <c r="D79" s="22" t="s">
        <v>293</v>
      </c>
      <c r="E79" s="22" t="s">
        <v>294</v>
      </c>
      <c r="F79" s="22" t="s">
        <v>51</v>
      </c>
      <c r="G79" s="22" t="s">
        <v>52</v>
      </c>
      <c r="H79" s="22" t="s">
        <v>465</v>
      </c>
      <c r="I79" s="22">
        <v>202500262</v>
      </c>
      <c r="J79" s="23">
        <v>45808</v>
      </c>
      <c r="K79" s="23">
        <v>45809</v>
      </c>
      <c r="L79" s="23">
        <v>45818</v>
      </c>
      <c r="M79" s="22" t="s">
        <v>53</v>
      </c>
      <c r="N79" s="22" t="s">
        <v>54</v>
      </c>
      <c r="O79" s="22" t="s">
        <v>242</v>
      </c>
      <c r="P79" s="34">
        <v>9</v>
      </c>
      <c r="Q79" s="24">
        <v>5317.7333333333336</v>
      </c>
      <c r="R79" s="24">
        <v>0</v>
      </c>
      <c r="S79" s="25">
        <f t="shared" si="1"/>
        <v>-5317.7333333333336</v>
      </c>
    </row>
    <row r="80" spans="1:19">
      <c r="A80" s="5">
        <v>79</v>
      </c>
      <c r="B80" s="22">
        <v>2506011254</v>
      </c>
      <c r="C80" s="22" t="s">
        <v>402</v>
      </c>
      <c r="D80" s="22" t="s">
        <v>309</v>
      </c>
      <c r="E80" s="22" t="s">
        <v>310</v>
      </c>
      <c r="F80" s="22" t="s">
        <v>51</v>
      </c>
      <c r="G80" s="22" t="s">
        <v>52</v>
      </c>
      <c r="H80" s="22" t="s">
        <v>465</v>
      </c>
      <c r="I80" s="22">
        <v>202500263</v>
      </c>
      <c r="J80" s="23">
        <v>45809</v>
      </c>
      <c r="K80" s="23">
        <v>45809</v>
      </c>
      <c r="L80" s="23">
        <v>45818</v>
      </c>
      <c r="M80" s="22" t="s">
        <v>53</v>
      </c>
      <c r="N80" s="22" t="s">
        <v>54</v>
      </c>
      <c r="O80" s="22" t="s">
        <v>242</v>
      </c>
      <c r="P80" s="34">
        <v>9</v>
      </c>
      <c r="Q80" s="24">
        <v>5317.7333333333336</v>
      </c>
      <c r="R80" s="24">
        <v>0</v>
      </c>
      <c r="S80" s="25">
        <f t="shared" si="1"/>
        <v>-5317.7333333333336</v>
      </c>
    </row>
    <row r="81" spans="1:19">
      <c r="A81" s="5">
        <v>80</v>
      </c>
      <c r="B81" s="22">
        <v>2506011299</v>
      </c>
      <c r="C81" s="22" t="s">
        <v>412</v>
      </c>
      <c r="D81" s="22" t="s">
        <v>139</v>
      </c>
      <c r="E81" s="22" t="s">
        <v>413</v>
      </c>
      <c r="F81" s="22" t="s">
        <v>141</v>
      </c>
      <c r="G81" s="22" t="s">
        <v>52</v>
      </c>
      <c r="H81" s="22" t="s">
        <v>465</v>
      </c>
      <c r="I81" s="22">
        <v>202500264</v>
      </c>
      <c r="J81" s="23">
        <v>45808</v>
      </c>
      <c r="K81" s="23">
        <v>45809</v>
      </c>
      <c r="L81" s="23">
        <v>45818</v>
      </c>
      <c r="M81" s="22" t="s">
        <v>53</v>
      </c>
      <c r="N81" s="22" t="s">
        <v>54</v>
      </c>
      <c r="O81" s="22" t="s">
        <v>242</v>
      </c>
      <c r="P81" s="34">
        <v>9</v>
      </c>
      <c r="Q81" s="24">
        <v>5317.7333333333336</v>
      </c>
      <c r="R81" s="24">
        <v>0</v>
      </c>
      <c r="S81" s="25">
        <f t="shared" si="1"/>
        <v>-5317.7333333333336</v>
      </c>
    </row>
    <row r="82" spans="1:19">
      <c r="A82" s="5">
        <v>81</v>
      </c>
      <c r="B82" s="22">
        <v>2506030864</v>
      </c>
      <c r="C82" s="22" t="s">
        <v>419</v>
      </c>
      <c r="D82" s="22" t="s">
        <v>321</v>
      </c>
      <c r="E82" s="22" t="s">
        <v>420</v>
      </c>
      <c r="F82" s="22" t="s">
        <v>202</v>
      </c>
      <c r="G82" s="22" t="s">
        <v>52</v>
      </c>
      <c r="H82" s="22" t="s">
        <v>465</v>
      </c>
      <c r="I82" s="22">
        <v>202500265</v>
      </c>
      <c r="J82" s="23">
        <v>45811</v>
      </c>
      <c r="K82" s="23">
        <v>45811</v>
      </c>
      <c r="L82" s="23">
        <v>45818</v>
      </c>
      <c r="M82" s="22" t="s">
        <v>53</v>
      </c>
      <c r="N82" s="22" t="s">
        <v>54</v>
      </c>
      <c r="O82" s="22" t="s">
        <v>242</v>
      </c>
      <c r="P82" s="34">
        <v>7</v>
      </c>
      <c r="Q82" s="24">
        <v>5317.7333333333336</v>
      </c>
      <c r="R82" s="24">
        <v>0</v>
      </c>
      <c r="S82" s="25">
        <f t="shared" si="1"/>
        <v>-5317.7333333333336</v>
      </c>
    </row>
    <row r="83" spans="1:19">
      <c r="A83" s="5">
        <v>82</v>
      </c>
      <c r="B83" s="22">
        <v>2506042340</v>
      </c>
      <c r="C83" s="22" t="s">
        <v>439</v>
      </c>
      <c r="D83" s="22" t="s">
        <v>440</v>
      </c>
      <c r="E83" s="22" t="s">
        <v>441</v>
      </c>
      <c r="F83" s="22" t="s">
        <v>169</v>
      </c>
      <c r="G83" s="22" t="s">
        <v>75</v>
      </c>
      <c r="H83" s="22" t="s">
        <v>465</v>
      </c>
      <c r="I83" s="22">
        <v>202500266</v>
      </c>
      <c r="J83" s="23">
        <v>45812</v>
      </c>
      <c r="K83" s="23">
        <v>45812</v>
      </c>
      <c r="L83" s="23">
        <v>45818</v>
      </c>
      <c r="M83" s="22" t="s">
        <v>53</v>
      </c>
      <c r="N83" s="22" t="s">
        <v>54</v>
      </c>
      <c r="O83" s="22" t="s">
        <v>242</v>
      </c>
      <c r="P83" s="34">
        <v>6</v>
      </c>
      <c r="Q83" s="24">
        <v>5317.7333333333336</v>
      </c>
      <c r="R83" s="24">
        <v>0</v>
      </c>
      <c r="S83" s="25">
        <f t="shared" si="1"/>
        <v>-5317.7333333333336</v>
      </c>
    </row>
    <row r="84" spans="1:19">
      <c r="A84" s="5">
        <v>83</v>
      </c>
      <c r="B84" s="17">
        <v>2505192196</v>
      </c>
      <c r="C84" s="17" t="s">
        <v>265</v>
      </c>
      <c r="D84" s="17" t="s">
        <v>266</v>
      </c>
      <c r="E84" s="17" t="s">
        <v>267</v>
      </c>
      <c r="F84" s="17" t="s">
        <v>169</v>
      </c>
      <c r="G84" s="17" t="s">
        <v>52</v>
      </c>
      <c r="H84" s="17" t="s">
        <v>465</v>
      </c>
      <c r="I84" s="17">
        <v>202500267</v>
      </c>
      <c r="J84" s="18">
        <v>45812</v>
      </c>
      <c r="K84" s="18">
        <v>45812</v>
      </c>
      <c r="L84" s="18">
        <v>45818</v>
      </c>
      <c r="M84" s="17" t="s">
        <v>53</v>
      </c>
      <c r="N84" s="17" t="s">
        <v>480</v>
      </c>
      <c r="O84" s="17" t="s">
        <v>479</v>
      </c>
      <c r="P84" s="31">
        <v>6</v>
      </c>
      <c r="Q84" s="19">
        <v>5317.7333333333336</v>
      </c>
      <c r="R84" s="19">
        <v>0</v>
      </c>
      <c r="S84" s="20">
        <f t="shared" si="1"/>
        <v>-5317.7333333333336</v>
      </c>
    </row>
    <row r="85" spans="1:19">
      <c r="A85" s="5">
        <v>84</v>
      </c>
      <c r="B85" s="22">
        <v>2506042346</v>
      </c>
      <c r="C85" s="22" t="s">
        <v>443</v>
      </c>
      <c r="D85" s="22" t="s">
        <v>444</v>
      </c>
      <c r="E85" s="22" t="s">
        <v>445</v>
      </c>
      <c r="F85" s="22" t="s">
        <v>109</v>
      </c>
      <c r="G85" s="22" t="s">
        <v>75</v>
      </c>
      <c r="H85" s="22" t="s">
        <v>465</v>
      </c>
      <c r="I85" s="22">
        <v>202500268</v>
      </c>
      <c r="J85" s="23">
        <v>45812</v>
      </c>
      <c r="K85" s="23">
        <v>45812</v>
      </c>
      <c r="L85" s="23">
        <v>45818</v>
      </c>
      <c r="M85" s="22" t="s">
        <v>53</v>
      </c>
      <c r="N85" s="22" t="s">
        <v>54</v>
      </c>
      <c r="O85" s="22" t="s">
        <v>435</v>
      </c>
      <c r="P85" s="34">
        <v>6</v>
      </c>
      <c r="Q85" s="24">
        <v>5317.7333333333336</v>
      </c>
      <c r="R85" s="24">
        <v>0</v>
      </c>
      <c r="S85" s="25">
        <f t="shared" si="1"/>
        <v>-5317.7333333333336</v>
      </c>
    </row>
    <row r="86" spans="1:19">
      <c r="A86" s="5">
        <v>85</v>
      </c>
      <c r="B86" s="17">
        <v>2506060085</v>
      </c>
      <c r="C86" s="17" t="s">
        <v>462</v>
      </c>
      <c r="D86" s="17" t="s">
        <v>200</v>
      </c>
      <c r="E86" s="17" t="s">
        <v>201</v>
      </c>
      <c r="F86" s="17" t="s">
        <v>202</v>
      </c>
      <c r="G86" s="17" t="s">
        <v>43</v>
      </c>
      <c r="H86" s="17" t="s">
        <v>465</v>
      </c>
      <c r="I86" s="17">
        <v>202500269</v>
      </c>
      <c r="J86" s="18">
        <v>45813</v>
      </c>
      <c r="K86" s="18">
        <v>45814</v>
      </c>
      <c r="L86" s="18">
        <v>45818</v>
      </c>
      <c r="M86" s="17" t="s">
        <v>53</v>
      </c>
      <c r="N86" s="17" t="s">
        <v>480</v>
      </c>
      <c r="O86" s="17" t="s">
        <v>481</v>
      </c>
      <c r="P86" s="31">
        <v>4</v>
      </c>
      <c r="Q86" s="19">
        <v>5317.7333333333336</v>
      </c>
      <c r="R86" s="19">
        <v>0</v>
      </c>
      <c r="S86" s="20">
        <f t="shared" si="1"/>
        <v>-5317.7333333333336</v>
      </c>
    </row>
    <row r="87" spans="1:19">
      <c r="A87" s="5">
        <v>86</v>
      </c>
      <c r="B87" s="5">
        <v>2506061110</v>
      </c>
      <c r="C87" s="5" t="s">
        <v>467</v>
      </c>
      <c r="D87" s="5" t="s">
        <v>64</v>
      </c>
      <c r="E87" s="5" t="s">
        <v>65</v>
      </c>
      <c r="F87" s="5" t="s">
        <v>66</v>
      </c>
      <c r="G87" s="5" t="s">
        <v>52</v>
      </c>
      <c r="H87" s="5" t="s">
        <v>465</v>
      </c>
      <c r="I87" s="5">
        <v>202500270</v>
      </c>
      <c r="J87" s="5"/>
      <c r="K87" s="6">
        <v>45814</v>
      </c>
      <c r="L87" s="6">
        <v>45818</v>
      </c>
      <c r="M87" s="5" t="s">
        <v>53</v>
      </c>
      <c r="N87" s="5" t="s">
        <v>54</v>
      </c>
      <c r="O87" s="5" t="s">
        <v>41</v>
      </c>
      <c r="P87" s="30">
        <v>4</v>
      </c>
      <c r="Q87" s="7">
        <v>5317.7333333333336</v>
      </c>
      <c r="R87" s="7">
        <v>5500</v>
      </c>
      <c r="S87" s="8">
        <f t="shared" si="1"/>
        <v>182.26666666666642</v>
      </c>
    </row>
    <row r="88" spans="1:19">
      <c r="A88" s="5">
        <v>87</v>
      </c>
      <c r="B88" s="5">
        <v>2506061118</v>
      </c>
      <c r="C88" s="5" t="s">
        <v>468</v>
      </c>
      <c r="D88" s="5" t="s">
        <v>64</v>
      </c>
      <c r="E88" s="5" t="s">
        <v>65</v>
      </c>
      <c r="F88" s="5" t="s">
        <v>66</v>
      </c>
      <c r="G88" s="5" t="s">
        <v>52</v>
      </c>
      <c r="H88" s="5" t="s">
        <v>465</v>
      </c>
      <c r="I88" s="5">
        <v>202500271</v>
      </c>
      <c r="J88" s="5"/>
      <c r="K88" s="6">
        <v>45814</v>
      </c>
      <c r="L88" s="6">
        <v>45818</v>
      </c>
      <c r="M88" s="5" t="s">
        <v>53</v>
      </c>
      <c r="N88" s="5" t="s">
        <v>54</v>
      </c>
      <c r="O88" s="5" t="s">
        <v>41</v>
      </c>
      <c r="P88" s="30">
        <v>4</v>
      </c>
      <c r="Q88" s="7">
        <v>5317.7333333333336</v>
      </c>
      <c r="R88" s="7">
        <v>5500</v>
      </c>
      <c r="S88" s="8">
        <f t="shared" si="1"/>
        <v>182.26666666666642</v>
      </c>
    </row>
    <row r="89" spans="1:19">
      <c r="A89" s="5">
        <v>88</v>
      </c>
      <c r="B89" s="5">
        <v>2506061125</v>
      </c>
      <c r="C89" s="5" t="s">
        <v>469</v>
      </c>
      <c r="D89" s="5" t="s">
        <v>167</v>
      </c>
      <c r="E89" s="5" t="s">
        <v>168</v>
      </c>
      <c r="F89" s="5" t="s">
        <v>169</v>
      </c>
      <c r="G89" s="5" t="s">
        <v>43</v>
      </c>
      <c r="H89" s="5" t="s">
        <v>465</v>
      </c>
      <c r="I89" s="5">
        <v>202500272</v>
      </c>
      <c r="J89" s="5"/>
      <c r="K89" s="6">
        <v>45814</v>
      </c>
      <c r="L89" s="6">
        <v>45818</v>
      </c>
      <c r="M89" s="5" t="s">
        <v>53</v>
      </c>
      <c r="N89" s="5" t="s">
        <v>54</v>
      </c>
      <c r="O89" s="5" t="s">
        <v>41</v>
      </c>
      <c r="P89" s="30">
        <v>4</v>
      </c>
      <c r="Q89" s="7">
        <v>5317.7333333333336</v>
      </c>
      <c r="R89" s="7">
        <v>11000</v>
      </c>
      <c r="S89" s="8">
        <f t="shared" si="1"/>
        <v>5682.2666666666664</v>
      </c>
    </row>
    <row r="90" spans="1:19">
      <c r="A90" s="5">
        <v>89</v>
      </c>
      <c r="B90" s="5">
        <v>2506063431</v>
      </c>
      <c r="C90" s="5" t="s">
        <v>470</v>
      </c>
      <c r="D90" s="5" t="s">
        <v>354</v>
      </c>
      <c r="E90" s="5" t="s">
        <v>355</v>
      </c>
      <c r="F90" s="5" t="s">
        <v>141</v>
      </c>
      <c r="G90" s="5" t="s">
        <v>52</v>
      </c>
      <c r="H90" s="5" t="s">
        <v>465</v>
      </c>
      <c r="I90" s="5">
        <v>202500273</v>
      </c>
      <c r="J90" s="5"/>
      <c r="K90" s="6">
        <v>45814</v>
      </c>
      <c r="L90" s="6">
        <v>45818</v>
      </c>
      <c r="M90" s="5" t="s">
        <v>53</v>
      </c>
      <c r="N90" s="5" t="s">
        <v>54</v>
      </c>
      <c r="O90" s="5" t="s">
        <v>41</v>
      </c>
      <c r="P90" s="30">
        <v>4</v>
      </c>
      <c r="Q90" s="7">
        <v>5317.7333333333336</v>
      </c>
      <c r="R90" s="7">
        <v>7000</v>
      </c>
      <c r="S90" s="8">
        <f t="shared" si="1"/>
        <v>1682.2666666666664</v>
      </c>
    </row>
    <row r="91" spans="1:19">
      <c r="A91" s="5">
        <v>90</v>
      </c>
      <c r="B91" s="5">
        <v>2506063438</v>
      </c>
      <c r="C91" s="5" t="s">
        <v>471</v>
      </c>
      <c r="D91" s="5" t="s">
        <v>107</v>
      </c>
      <c r="E91" s="5" t="s">
        <v>205</v>
      </c>
      <c r="F91" s="5" t="s">
        <v>109</v>
      </c>
      <c r="G91" s="5" t="s">
        <v>52</v>
      </c>
      <c r="H91" s="5" t="s">
        <v>465</v>
      </c>
      <c r="I91" s="5">
        <v>202500274</v>
      </c>
      <c r="J91" s="5"/>
      <c r="K91" s="6">
        <v>45814</v>
      </c>
      <c r="L91" s="6">
        <v>45818</v>
      </c>
      <c r="M91" s="5" t="s">
        <v>53</v>
      </c>
      <c r="N91" s="5" t="s">
        <v>54</v>
      </c>
      <c r="O91" s="5" t="s">
        <v>41</v>
      </c>
      <c r="P91" s="30">
        <v>4</v>
      </c>
      <c r="Q91" s="7">
        <v>5317.7333333333336</v>
      </c>
      <c r="R91" s="7">
        <v>5500</v>
      </c>
      <c r="S91" s="8">
        <f t="shared" si="1"/>
        <v>182.26666666666642</v>
      </c>
    </row>
    <row r="92" spans="1:19">
      <c r="A92" s="5">
        <v>91</v>
      </c>
      <c r="B92" s="5">
        <v>2506063442</v>
      </c>
      <c r="C92" s="5" t="s">
        <v>472</v>
      </c>
      <c r="D92" s="5" t="s">
        <v>376</v>
      </c>
      <c r="E92" s="5" t="s">
        <v>335</v>
      </c>
      <c r="F92" s="5" t="s">
        <v>71</v>
      </c>
      <c r="G92" s="5" t="s">
        <v>190</v>
      </c>
      <c r="H92" s="5" t="s">
        <v>465</v>
      </c>
      <c r="I92" s="5">
        <v>202500275</v>
      </c>
      <c r="J92" s="5"/>
      <c r="K92" s="6">
        <v>45814</v>
      </c>
      <c r="L92" s="6">
        <v>45818</v>
      </c>
      <c r="M92" s="5" t="s">
        <v>53</v>
      </c>
      <c r="N92" s="5" t="s">
        <v>54</v>
      </c>
      <c r="O92" s="5" t="s">
        <v>41</v>
      </c>
      <c r="P92" s="30">
        <v>4</v>
      </c>
      <c r="Q92" s="7">
        <v>5317.7333333333336</v>
      </c>
      <c r="R92" s="7">
        <v>11500</v>
      </c>
      <c r="S92" s="8">
        <f t="shared" si="1"/>
        <v>6182.2666666666664</v>
      </c>
    </row>
    <row r="93" spans="1:19">
      <c r="A93" s="5">
        <v>92</v>
      </c>
      <c r="B93" s="13">
        <v>2506070692</v>
      </c>
      <c r="C93" s="13" t="s">
        <v>473</v>
      </c>
      <c r="D93" s="13" t="s">
        <v>474</v>
      </c>
      <c r="E93" s="13" t="s">
        <v>475</v>
      </c>
      <c r="F93" s="13" t="s">
        <v>169</v>
      </c>
      <c r="G93" s="13" t="s">
        <v>75</v>
      </c>
      <c r="H93" s="13" t="s">
        <v>465</v>
      </c>
      <c r="I93" s="13">
        <v>202500276</v>
      </c>
      <c r="J93" s="13"/>
      <c r="K93" s="14">
        <v>45815</v>
      </c>
      <c r="L93" s="14">
        <v>45818</v>
      </c>
      <c r="M93" s="13" t="s">
        <v>45</v>
      </c>
      <c r="N93" s="13" t="s">
        <v>46</v>
      </c>
      <c r="O93" s="13" t="s">
        <v>476</v>
      </c>
      <c r="P93" s="35">
        <v>3</v>
      </c>
      <c r="Q93" s="15">
        <v>5317.7333333333336</v>
      </c>
      <c r="R93" s="15">
        <v>4500</v>
      </c>
      <c r="S93" s="16">
        <f t="shared" si="1"/>
        <v>-817.73333333333358</v>
      </c>
    </row>
    <row r="94" spans="1:19">
      <c r="A94" s="5">
        <v>93</v>
      </c>
      <c r="B94" s="5" t="s">
        <v>477</v>
      </c>
      <c r="C94" s="5"/>
      <c r="D94" s="5"/>
      <c r="E94" s="5"/>
      <c r="F94" s="5"/>
      <c r="G94" s="5" t="s">
        <v>52</v>
      </c>
      <c r="H94" s="5"/>
      <c r="I94" s="5"/>
      <c r="J94" s="5"/>
      <c r="K94" s="5"/>
      <c r="L94" s="5"/>
      <c r="M94" s="5"/>
      <c r="N94" s="5"/>
      <c r="O94" s="5"/>
      <c r="P94" s="5"/>
      <c r="Q94" s="7">
        <v>5317.7333333333336</v>
      </c>
      <c r="R94" s="7">
        <v>0</v>
      </c>
      <c r="S94" s="8">
        <f t="shared" si="1"/>
        <v>-5317.7333333333336</v>
      </c>
    </row>
    <row r="95" spans="1:19">
      <c r="A95" s="5">
        <v>94</v>
      </c>
      <c r="B95" s="5" t="s">
        <v>478</v>
      </c>
      <c r="C95" s="5"/>
      <c r="D95" s="5"/>
      <c r="E95" s="5"/>
      <c r="F95" s="5"/>
      <c r="G95" s="5" t="s">
        <v>52</v>
      </c>
      <c r="H95" s="5"/>
      <c r="I95" s="5"/>
      <c r="J95" s="5"/>
      <c r="K95" s="5"/>
      <c r="L95" s="5"/>
      <c r="M95" s="5"/>
      <c r="N95" s="5"/>
      <c r="O95" s="5"/>
      <c r="P95" s="5"/>
      <c r="Q95" s="7">
        <v>5317.7333333333336</v>
      </c>
      <c r="R95" s="7">
        <v>0</v>
      </c>
      <c r="S95" s="8">
        <f t="shared" si="1"/>
        <v>-5317.7333333333336</v>
      </c>
    </row>
    <row r="96" spans="1:19">
      <c r="A96" s="5">
        <v>95</v>
      </c>
      <c r="B96" s="5">
        <v>2506071607</v>
      </c>
      <c r="C96" s="5" t="s">
        <v>482</v>
      </c>
      <c r="D96" s="5" t="s">
        <v>309</v>
      </c>
      <c r="E96" s="5" t="s">
        <v>310</v>
      </c>
      <c r="F96" s="5" t="s">
        <v>51</v>
      </c>
      <c r="G96" s="5" t="s">
        <v>52</v>
      </c>
      <c r="H96" s="5" t="s">
        <v>483</v>
      </c>
      <c r="I96" s="5">
        <v>202500277</v>
      </c>
      <c r="J96" s="6">
        <v>45815</v>
      </c>
      <c r="K96" s="6">
        <v>45815</v>
      </c>
      <c r="L96" s="6">
        <v>45821</v>
      </c>
      <c r="M96" s="5" t="s">
        <v>53</v>
      </c>
      <c r="N96" s="5" t="s">
        <v>54</v>
      </c>
      <c r="O96" s="5" t="s">
        <v>41</v>
      </c>
      <c r="P96" s="30">
        <v>6</v>
      </c>
      <c r="Q96" s="7">
        <v>5059.4315789473685</v>
      </c>
      <c r="R96" s="7">
        <v>5500</v>
      </c>
      <c r="S96" s="8">
        <f t="shared" si="1"/>
        <v>440.56842105263149</v>
      </c>
    </row>
    <row r="97" spans="1:19">
      <c r="A97" s="5">
        <v>96</v>
      </c>
      <c r="B97" s="5">
        <v>2506072495</v>
      </c>
      <c r="C97" s="5" t="s">
        <v>484</v>
      </c>
      <c r="D97" s="5" t="s">
        <v>405</v>
      </c>
      <c r="E97" s="5" t="s">
        <v>485</v>
      </c>
      <c r="F97" s="5" t="s">
        <v>202</v>
      </c>
      <c r="G97" s="5" t="s">
        <v>52</v>
      </c>
      <c r="H97" s="5" t="s">
        <v>483</v>
      </c>
      <c r="I97" s="5">
        <v>202500278</v>
      </c>
      <c r="J97" s="6">
        <v>45815</v>
      </c>
      <c r="K97" s="6">
        <v>45815</v>
      </c>
      <c r="L97" s="6">
        <v>45821</v>
      </c>
      <c r="M97" s="5" t="s">
        <v>53</v>
      </c>
      <c r="N97" s="5" t="s">
        <v>54</v>
      </c>
      <c r="O97" s="5" t="s">
        <v>41</v>
      </c>
      <c r="P97" s="30">
        <v>6</v>
      </c>
      <c r="Q97" s="7">
        <v>5059.4315789473685</v>
      </c>
      <c r="R97" s="7">
        <v>6450</v>
      </c>
      <c r="S97" s="8">
        <f t="shared" si="1"/>
        <v>1390.5684210526315</v>
      </c>
    </row>
    <row r="98" spans="1:19">
      <c r="A98" s="5">
        <v>97</v>
      </c>
      <c r="B98" s="5">
        <v>2506072497</v>
      </c>
      <c r="C98" s="5" t="s">
        <v>486</v>
      </c>
      <c r="D98" s="5" t="s">
        <v>49</v>
      </c>
      <c r="E98" s="5" t="s">
        <v>50</v>
      </c>
      <c r="F98" s="5" t="s">
        <v>51</v>
      </c>
      <c r="G98" s="5" t="s">
        <v>52</v>
      </c>
      <c r="H98" s="5" t="s">
        <v>483</v>
      </c>
      <c r="I98" s="5">
        <v>202500279</v>
      </c>
      <c r="J98" s="6">
        <v>45813</v>
      </c>
      <c r="K98" s="6">
        <v>45815</v>
      </c>
      <c r="L98" s="6">
        <v>45821</v>
      </c>
      <c r="M98" s="5" t="s">
        <v>53</v>
      </c>
      <c r="N98" s="5" t="s">
        <v>54</v>
      </c>
      <c r="O98" s="5" t="s">
        <v>41</v>
      </c>
      <c r="P98" s="30">
        <v>6</v>
      </c>
      <c r="Q98" s="7">
        <v>5059.4315789473685</v>
      </c>
      <c r="R98" s="7">
        <v>5500</v>
      </c>
      <c r="S98" s="8">
        <f t="shared" si="1"/>
        <v>440.56842105263149</v>
      </c>
    </row>
    <row r="99" spans="1:19">
      <c r="A99" s="5">
        <v>98</v>
      </c>
      <c r="B99" s="22">
        <v>2505251314</v>
      </c>
      <c r="C99" s="22" t="s">
        <v>330</v>
      </c>
      <c r="D99" s="22" t="s">
        <v>107</v>
      </c>
      <c r="E99" s="22" t="s">
        <v>205</v>
      </c>
      <c r="F99" s="22" t="s">
        <v>109</v>
      </c>
      <c r="G99" s="22" t="s">
        <v>52</v>
      </c>
      <c r="H99" s="22" t="s">
        <v>483</v>
      </c>
      <c r="I99" s="22">
        <v>202500280</v>
      </c>
      <c r="J99" s="23">
        <v>45814</v>
      </c>
      <c r="K99" s="23">
        <v>45816</v>
      </c>
      <c r="L99" s="23">
        <v>45821</v>
      </c>
      <c r="M99" s="22" t="s">
        <v>53</v>
      </c>
      <c r="N99" s="22" t="s">
        <v>54</v>
      </c>
      <c r="O99" s="22" t="s">
        <v>425</v>
      </c>
      <c r="P99" s="34">
        <v>5</v>
      </c>
      <c r="Q99" s="24">
        <v>5059.4315789473685</v>
      </c>
      <c r="R99" s="24">
        <v>0</v>
      </c>
      <c r="S99" s="25">
        <f t="shared" si="1"/>
        <v>-5059.4315789473685</v>
      </c>
    </row>
    <row r="100" spans="1:19">
      <c r="A100" s="5">
        <v>99</v>
      </c>
      <c r="B100" s="5">
        <v>2506080347</v>
      </c>
      <c r="C100" s="5" t="s">
        <v>487</v>
      </c>
      <c r="D100" s="5" t="s">
        <v>64</v>
      </c>
      <c r="E100" s="5" t="s">
        <v>65</v>
      </c>
      <c r="F100" s="5" t="s">
        <v>66</v>
      </c>
      <c r="G100" s="5" t="s">
        <v>52</v>
      </c>
      <c r="H100" s="5" t="s">
        <v>483</v>
      </c>
      <c r="I100" s="5">
        <v>202500281</v>
      </c>
      <c r="J100" s="6">
        <v>45814</v>
      </c>
      <c r="K100" s="6">
        <v>45816</v>
      </c>
      <c r="L100" s="6">
        <v>45821</v>
      </c>
      <c r="M100" s="5" t="s">
        <v>53</v>
      </c>
      <c r="N100" s="5" t="s">
        <v>54</v>
      </c>
      <c r="O100" s="5" t="s">
        <v>41</v>
      </c>
      <c r="P100" s="30">
        <v>5</v>
      </c>
      <c r="Q100" s="7">
        <v>5059.4315789473685</v>
      </c>
      <c r="R100" s="7">
        <v>5500</v>
      </c>
      <c r="S100" s="8">
        <f t="shared" si="1"/>
        <v>440.56842105263149</v>
      </c>
    </row>
    <row r="101" spans="1:19">
      <c r="A101" s="5">
        <v>100</v>
      </c>
      <c r="B101" s="5">
        <v>2506080355</v>
      </c>
      <c r="C101" s="5" t="s">
        <v>488</v>
      </c>
      <c r="D101" s="5" t="s">
        <v>64</v>
      </c>
      <c r="E101" s="5" t="s">
        <v>65</v>
      </c>
      <c r="F101" s="5" t="s">
        <v>66</v>
      </c>
      <c r="G101" s="5" t="s">
        <v>52</v>
      </c>
      <c r="H101" s="5" t="s">
        <v>483</v>
      </c>
      <c r="I101" s="5">
        <v>202500282</v>
      </c>
      <c r="J101" s="6">
        <v>45814</v>
      </c>
      <c r="K101" s="6">
        <v>45816</v>
      </c>
      <c r="L101" s="6">
        <v>45821</v>
      </c>
      <c r="M101" s="5" t="s">
        <v>53</v>
      </c>
      <c r="N101" s="5" t="s">
        <v>54</v>
      </c>
      <c r="O101" s="5" t="s">
        <v>41</v>
      </c>
      <c r="P101" s="30">
        <v>5</v>
      </c>
      <c r="Q101" s="7">
        <v>5059.4315789473685</v>
      </c>
      <c r="R101" s="7">
        <v>5500</v>
      </c>
      <c r="S101" s="8">
        <f t="shared" si="1"/>
        <v>440.56842105263149</v>
      </c>
    </row>
    <row r="102" spans="1:19">
      <c r="A102" s="5">
        <v>101</v>
      </c>
      <c r="B102" s="5">
        <v>2506080703</v>
      </c>
      <c r="C102" s="5" t="s">
        <v>489</v>
      </c>
      <c r="D102" s="5" t="s">
        <v>405</v>
      </c>
      <c r="E102" s="5" t="s">
        <v>485</v>
      </c>
      <c r="F102" s="5" t="s">
        <v>202</v>
      </c>
      <c r="G102" s="5" t="s">
        <v>52</v>
      </c>
      <c r="H102" s="5" t="s">
        <v>483</v>
      </c>
      <c r="I102" s="5">
        <v>202500283</v>
      </c>
      <c r="J102" s="6">
        <v>45816</v>
      </c>
      <c r="K102" s="6">
        <v>45816</v>
      </c>
      <c r="L102" s="6">
        <v>45821</v>
      </c>
      <c r="M102" s="5" t="s">
        <v>53</v>
      </c>
      <c r="N102" s="5" t="s">
        <v>54</v>
      </c>
      <c r="O102" s="5" t="s">
        <v>41</v>
      </c>
      <c r="P102" s="30">
        <v>5</v>
      </c>
      <c r="Q102" s="7">
        <v>5059.4315789473685</v>
      </c>
      <c r="R102" s="7">
        <v>6450</v>
      </c>
      <c r="S102" s="8">
        <f t="shared" si="1"/>
        <v>1390.5684210526315</v>
      </c>
    </row>
    <row r="103" spans="1:19">
      <c r="A103" s="5">
        <v>102</v>
      </c>
      <c r="B103" s="5">
        <v>2506081455</v>
      </c>
      <c r="C103" s="5" t="s">
        <v>490</v>
      </c>
      <c r="D103" s="5" t="s">
        <v>83</v>
      </c>
      <c r="E103" s="5" t="s">
        <v>84</v>
      </c>
      <c r="F103" s="5" t="s">
        <v>62</v>
      </c>
      <c r="G103" s="5" t="s">
        <v>52</v>
      </c>
      <c r="H103" s="5" t="s">
        <v>483</v>
      </c>
      <c r="I103" s="5">
        <v>202500284</v>
      </c>
      <c r="J103" s="5"/>
      <c r="K103" s="6">
        <v>45816</v>
      </c>
      <c r="L103" s="6">
        <v>45821</v>
      </c>
      <c r="M103" s="5" t="s">
        <v>53</v>
      </c>
      <c r="N103" s="5" t="s">
        <v>54</v>
      </c>
      <c r="O103" s="5" t="s">
        <v>41</v>
      </c>
      <c r="P103" s="30">
        <v>5</v>
      </c>
      <c r="Q103" s="7">
        <v>5059.4315789473685</v>
      </c>
      <c r="R103" s="7">
        <v>6000</v>
      </c>
      <c r="S103" s="8">
        <f t="shared" si="1"/>
        <v>940.56842105263149</v>
      </c>
    </row>
    <row r="104" spans="1:19">
      <c r="A104" s="5">
        <v>103</v>
      </c>
      <c r="B104" s="5">
        <v>2506092097</v>
      </c>
      <c r="C104" s="5" t="s">
        <v>491</v>
      </c>
      <c r="D104" s="5" t="s">
        <v>257</v>
      </c>
      <c r="E104" s="5" t="s">
        <v>258</v>
      </c>
      <c r="F104" s="5" t="s">
        <v>62</v>
      </c>
      <c r="G104" s="5" t="s">
        <v>52</v>
      </c>
      <c r="H104" s="5" t="s">
        <v>483</v>
      </c>
      <c r="I104" s="5">
        <v>202500285</v>
      </c>
      <c r="J104" s="5"/>
      <c r="K104" s="6">
        <v>45816</v>
      </c>
      <c r="L104" s="6">
        <v>45821</v>
      </c>
      <c r="M104" s="5" t="s">
        <v>53</v>
      </c>
      <c r="N104" s="5" t="s">
        <v>54</v>
      </c>
      <c r="O104" s="5" t="s">
        <v>41</v>
      </c>
      <c r="P104" s="30">
        <v>5</v>
      </c>
      <c r="Q104" s="7">
        <v>5059.4315789473685</v>
      </c>
      <c r="R104" s="7">
        <v>5100</v>
      </c>
      <c r="S104" s="8">
        <f t="shared" si="1"/>
        <v>40.568421052631493</v>
      </c>
    </row>
    <row r="105" spans="1:19">
      <c r="A105" s="5">
        <v>104</v>
      </c>
      <c r="B105" s="5">
        <v>2506092107</v>
      </c>
      <c r="C105" s="5" t="s">
        <v>492</v>
      </c>
      <c r="D105" s="5" t="s">
        <v>89</v>
      </c>
      <c r="E105" s="5" t="s">
        <v>90</v>
      </c>
      <c r="F105" s="5" t="s">
        <v>79</v>
      </c>
      <c r="G105" s="5" t="s">
        <v>52</v>
      </c>
      <c r="H105" s="5" t="s">
        <v>483</v>
      </c>
      <c r="I105" s="5">
        <v>202500286</v>
      </c>
      <c r="J105" s="5"/>
      <c r="K105" s="6">
        <v>45817</v>
      </c>
      <c r="L105" s="6">
        <v>45821</v>
      </c>
      <c r="M105" s="5" t="s">
        <v>53</v>
      </c>
      <c r="N105" s="5" t="s">
        <v>54</v>
      </c>
      <c r="O105" s="5" t="s">
        <v>41</v>
      </c>
      <c r="P105" s="30">
        <v>4</v>
      </c>
      <c r="Q105" s="7">
        <v>5059.4315789473685</v>
      </c>
      <c r="R105" s="7">
        <v>5500</v>
      </c>
      <c r="S105" s="8">
        <f t="shared" si="1"/>
        <v>440.56842105263149</v>
      </c>
    </row>
    <row r="106" spans="1:19">
      <c r="A106" s="5">
        <v>105</v>
      </c>
      <c r="B106" s="22">
        <v>2505312271</v>
      </c>
      <c r="C106" s="22" t="s">
        <v>493</v>
      </c>
      <c r="D106" s="22" t="s">
        <v>200</v>
      </c>
      <c r="E106" s="22" t="s">
        <v>201</v>
      </c>
      <c r="F106" s="22" t="s">
        <v>202</v>
      </c>
      <c r="G106" s="22" t="s">
        <v>43</v>
      </c>
      <c r="H106" s="22" t="s">
        <v>483</v>
      </c>
      <c r="I106" s="22">
        <v>202500287</v>
      </c>
      <c r="J106" s="22"/>
      <c r="K106" s="23">
        <v>45817</v>
      </c>
      <c r="L106" s="23">
        <v>45821</v>
      </c>
      <c r="M106" s="22" t="s">
        <v>53</v>
      </c>
      <c r="N106" s="22" t="s">
        <v>54</v>
      </c>
      <c r="O106" s="22" t="s">
        <v>425</v>
      </c>
      <c r="P106" s="34">
        <v>4</v>
      </c>
      <c r="Q106" s="24">
        <v>5059.4315789473685</v>
      </c>
      <c r="R106" s="24">
        <v>0</v>
      </c>
      <c r="S106" s="25">
        <f t="shared" si="1"/>
        <v>-5059.4315789473685</v>
      </c>
    </row>
    <row r="107" spans="1:19">
      <c r="A107" s="5">
        <v>106</v>
      </c>
      <c r="B107" s="5">
        <v>2506100848</v>
      </c>
      <c r="C107" s="5" t="s">
        <v>494</v>
      </c>
      <c r="D107" s="5" t="s">
        <v>495</v>
      </c>
      <c r="E107" s="5" t="s">
        <v>496</v>
      </c>
      <c r="F107" s="5" t="s">
        <v>141</v>
      </c>
      <c r="G107" s="5" t="s">
        <v>43</v>
      </c>
      <c r="H107" s="5" t="s">
        <v>483</v>
      </c>
      <c r="I107" s="5">
        <v>202500288</v>
      </c>
      <c r="J107" s="5"/>
      <c r="K107" s="6">
        <v>45818</v>
      </c>
      <c r="L107" s="6">
        <v>45821</v>
      </c>
      <c r="M107" s="5" t="s">
        <v>53</v>
      </c>
      <c r="N107" s="5" t="s">
        <v>54</v>
      </c>
      <c r="O107" s="5" t="s">
        <v>41</v>
      </c>
      <c r="P107" s="30">
        <v>3</v>
      </c>
      <c r="Q107" s="7">
        <v>5059.4315789473685</v>
      </c>
      <c r="R107" s="7">
        <v>12500</v>
      </c>
      <c r="S107" s="8">
        <f t="shared" si="1"/>
        <v>7440.5684210526315</v>
      </c>
    </row>
    <row r="108" spans="1:19">
      <c r="A108" s="5">
        <v>107</v>
      </c>
      <c r="B108" s="5">
        <v>2506100860</v>
      </c>
      <c r="C108" s="5" t="s">
        <v>497</v>
      </c>
      <c r="D108" s="5" t="s">
        <v>139</v>
      </c>
      <c r="E108" s="5" t="s">
        <v>140</v>
      </c>
      <c r="F108" s="5" t="s">
        <v>141</v>
      </c>
      <c r="G108" s="5" t="s">
        <v>52</v>
      </c>
      <c r="H108" s="5" t="s">
        <v>483</v>
      </c>
      <c r="I108" s="5">
        <v>202500289</v>
      </c>
      <c r="J108" s="5"/>
      <c r="K108" s="6">
        <v>45818</v>
      </c>
      <c r="L108" s="6">
        <v>45821</v>
      </c>
      <c r="M108" s="5" t="s">
        <v>53</v>
      </c>
      <c r="N108" s="5" t="s">
        <v>54</v>
      </c>
      <c r="O108" s="5" t="s">
        <v>41</v>
      </c>
      <c r="P108" s="30">
        <v>3</v>
      </c>
      <c r="Q108" s="7">
        <v>5059.4315789473685</v>
      </c>
      <c r="R108" s="7">
        <v>6000</v>
      </c>
      <c r="S108" s="8">
        <f t="shared" si="1"/>
        <v>940.56842105263149</v>
      </c>
    </row>
    <row r="109" spans="1:19">
      <c r="A109" s="5">
        <v>108</v>
      </c>
      <c r="B109" s="5">
        <v>2506103626</v>
      </c>
      <c r="C109" s="5" t="s">
        <v>498</v>
      </c>
      <c r="D109" s="5" t="s">
        <v>437</v>
      </c>
      <c r="E109" s="5" t="s">
        <v>438</v>
      </c>
      <c r="F109" s="5" t="s">
        <v>71</v>
      </c>
      <c r="G109" s="5" t="s">
        <v>52</v>
      </c>
      <c r="H109" s="5" t="s">
        <v>483</v>
      </c>
      <c r="I109" s="5">
        <v>202500290</v>
      </c>
      <c r="J109" s="5"/>
      <c r="K109" s="6">
        <v>45818</v>
      </c>
      <c r="L109" s="6">
        <v>45821</v>
      </c>
      <c r="M109" s="5" t="s">
        <v>53</v>
      </c>
      <c r="N109" s="5" t="s">
        <v>54</v>
      </c>
      <c r="O109" s="5" t="s">
        <v>41</v>
      </c>
      <c r="P109" s="30">
        <v>3</v>
      </c>
      <c r="Q109" s="7">
        <v>5059.4315789473685</v>
      </c>
      <c r="R109" s="7">
        <v>8500</v>
      </c>
      <c r="S109" s="8">
        <f t="shared" si="1"/>
        <v>3440.5684210526315</v>
      </c>
    </row>
    <row r="110" spans="1:19">
      <c r="A110" s="5">
        <v>109</v>
      </c>
      <c r="B110" s="5">
        <v>2506101917</v>
      </c>
      <c r="C110" s="5" t="s">
        <v>499</v>
      </c>
      <c r="D110" s="5" t="s">
        <v>40</v>
      </c>
      <c r="E110" s="5" t="s">
        <v>41</v>
      </c>
      <c r="F110" s="5" t="s">
        <v>42</v>
      </c>
      <c r="G110" s="5" t="s">
        <v>43</v>
      </c>
      <c r="H110" s="5" t="s">
        <v>483</v>
      </c>
      <c r="I110" s="5">
        <v>202500291</v>
      </c>
      <c r="J110" s="5"/>
      <c r="K110" s="6">
        <v>45818</v>
      </c>
      <c r="L110" s="6">
        <v>45821</v>
      </c>
      <c r="M110" s="5" t="s">
        <v>53</v>
      </c>
      <c r="N110" s="5" t="s">
        <v>54</v>
      </c>
      <c r="O110" s="5" t="s">
        <v>41</v>
      </c>
      <c r="P110" s="30">
        <v>3</v>
      </c>
      <c r="Q110" s="7">
        <v>5059.4315789473685</v>
      </c>
      <c r="R110" s="7">
        <v>14500</v>
      </c>
      <c r="S110" s="8">
        <f t="shared" si="1"/>
        <v>9440.5684210526306</v>
      </c>
    </row>
    <row r="111" spans="1:19">
      <c r="A111" s="5">
        <v>110</v>
      </c>
      <c r="B111" s="9">
        <v>2506110024</v>
      </c>
      <c r="C111" s="9" t="s">
        <v>500</v>
      </c>
      <c r="D111" s="9" t="s">
        <v>405</v>
      </c>
      <c r="E111" s="9" t="s">
        <v>485</v>
      </c>
      <c r="F111" s="9" t="s">
        <v>202</v>
      </c>
      <c r="G111" s="9" t="s">
        <v>52</v>
      </c>
      <c r="H111" s="9" t="s">
        <v>483</v>
      </c>
      <c r="I111" s="9">
        <v>202500292</v>
      </c>
      <c r="J111" s="9"/>
      <c r="K111" s="10">
        <v>45819</v>
      </c>
      <c r="L111" s="10">
        <v>45821</v>
      </c>
      <c r="M111" s="9" t="s">
        <v>45</v>
      </c>
      <c r="N111" s="9" t="s">
        <v>94</v>
      </c>
      <c r="O111" s="9" t="s">
        <v>389</v>
      </c>
      <c r="P111" s="32">
        <v>2</v>
      </c>
      <c r="Q111" s="11">
        <v>5059.4315789473685</v>
      </c>
      <c r="R111" s="11">
        <v>6450</v>
      </c>
      <c r="S111" s="12">
        <f t="shared" si="1"/>
        <v>1390.5684210526315</v>
      </c>
    </row>
    <row r="112" spans="1:19">
      <c r="A112" s="5">
        <v>111</v>
      </c>
      <c r="B112" s="5">
        <v>2506120009</v>
      </c>
      <c r="C112" s="5" t="s">
        <v>501</v>
      </c>
      <c r="D112" s="5" t="s">
        <v>69</v>
      </c>
      <c r="E112" s="5" t="s">
        <v>502</v>
      </c>
      <c r="F112" s="5" t="s">
        <v>71</v>
      </c>
      <c r="G112" s="5" t="s">
        <v>43</v>
      </c>
      <c r="H112" s="5" t="s">
        <v>483</v>
      </c>
      <c r="I112" s="5">
        <v>202500293</v>
      </c>
      <c r="J112" s="6">
        <v>45818</v>
      </c>
      <c r="K112" s="6">
        <v>45820</v>
      </c>
      <c r="L112" s="6">
        <v>45821</v>
      </c>
      <c r="M112" s="5" t="s">
        <v>53</v>
      </c>
      <c r="N112" s="5" t="s">
        <v>54</v>
      </c>
      <c r="O112" s="5" t="s">
        <v>41</v>
      </c>
      <c r="P112" s="30">
        <v>1</v>
      </c>
      <c r="Q112" s="7">
        <v>5059.4315789473685</v>
      </c>
      <c r="R112" s="7">
        <v>12000</v>
      </c>
      <c r="S112" s="8">
        <f t="shared" si="1"/>
        <v>6940.5684210526315</v>
      </c>
    </row>
    <row r="113" spans="1:19">
      <c r="A113" s="5">
        <v>112</v>
      </c>
      <c r="B113" s="5" t="s">
        <v>503</v>
      </c>
      <c r="C113" s="5"/>
      <c r="D113" s="5"/>
      <c r="E113" s="5"/>
      <c r="F113" s="5"/>
      <c r="G113" s="5" t="s">
        <v>52</v>
      </c>
      <c r="H113" s="5"/>
      <c r="I113" s="5"/>
      <c r="J113" s="5"/>
      <c r="K113" s="5"/>
      <c r="L113" s="5"/>
      <c r="M113" s="5"/>
      <c r="N113" s="5"/>
      <c r="O113" s="5"/>
      <c r="P113" s="5"/>
      <c r="Q113" s="7">
        <v>5059.4315789473685</v>
      </c>
      <c r="R113" s="7">
        <v>0</v>
      </c>
      <c r="S113" s="8">
        <f t="shared" si="1"/>
        <v>-5059.4315789473685</v>
      </c>
    </row>
    <row r="114" spans="1:19">
      <c r="A114" s="5">
        <v>113</v>
      </c>
      <c r="B114" s="5" t="s">
        <v>504</v>
      </c>
      <c r="C114" s="5"/>
      <c r="D114" s="5"/>
      <c r="E114" s="5"/>
      <c r="F114" s="5"/>
      <c r="G114" s="5" t="s">
        <v>52</v>
      </c>
      <c r="H114" s="5"/>
      <c r="I114" s="5"/>
      <c r="J114" s="5"/>
      <c r="K114" s="5"/>
      <c r="L114" s="5"/>
      <c r="M114" s="5"/>
      <c r="N114" s="5"/>
      <c r="O114" s="5"/>
      <c r="P114" s="5"/>
      <c r="Q114" s="7">
        <v>5059.4315789473685</v>
      </c>
      <c r="R114" s="7">
        <v>0</v>
      </c>
      <c r="S114" s="8">
        <f t="shared" si="1"/>
        <v>-5059.4315789473685</v>
      </c>
    </row>
    <row r="115" spans="1:19">
      <c r="A115" s="5">
        <v>114</v>
      </c>
      <c r="B115" s="5">
        <v>2506113428</v>
      </c>
      <c r="C115" s="5" t="s">
        <v>505</v>
      </c>
      <c r="D115" s="5" t="s">
        <v>506</v>
      </c>
      <c r="E115" s="5" t="s">
        <v>507</v>
      </c>
      <c r="F115" s="5" t="s">
        <v>169</v>
      </c>
      <c r="G115" s="5" t="s">
        <v>52</v>
      </c>
      <c r="H115" s="5" t="s">
        <v>508</v>
      </c>
      <c r="I115" s="5">
        <v>202500294</v>
      </c>
      <c r="J115" s="6">
        <v>45818</v>
      </c>
      <c r="K115" s="6">
        <v>45819</v>
      </c>
      <c r="L115" s="6">
        <v>45825</v>
      </c>
      <c r="M115" s="5" t="s">
        <v>53</v>
      </c>
      <c r="N115" s="5" t="s">
        <v>54</v>
      </c>
      <c r="O115" s="5" t="s">
        <v>41</v>
      </c>
      <c r="P115" s="30">
        <v>6</v>
      </c>
      <c r="Q115" s="7">
        <v>4250.8347826086956</v>
      </c>
      <c r="R115" s="7">
        <v>6000</v>
      </c>
      <c r="S115" s="8">
        <f t="shared" si="1"/>
        <v>1749.1652173913044</v>
      </c>
    </row>
    <row r="116" spans="1:19">
      <c r="A116" s="5">
        <v>115</v>
      </c>
      <c r="B116" s="5">
        <v>2506120144</v>
      </c>
      <c r="C116" s="5" t="s">
        <v>509</v>
      </c>
      <c r="D116" s="5" t="s">
        <v>64</v>
      </c>
      <c r="E116" s="5" t="s">
        <v>65</v>
      </c>
      <c r="F116" s="5" t="s">
        <v>66</v>
      </c>
      <c r="G116" s="5" t="s">
        <v>52</v>
      </c>
      <c r="H116" s="5" t="s">
        <v>508</v>
      </c>
      <c r="I116" s="5">
        <v>202500295</v>
      </c>
      <c r="J116" s="5"/>
      <c r="K116" s="6">
        <v>45820</v>
      </c>
      <c r="L116" s="6">
        <v>45825</v>
      </c>
      <c r="M116" s="5" t="s">
        <v>53</v>
      </c>
      <c r="N116" s="5" t="s">
        <v>54</v>
      </c>
      <c r="O116" s="5" t="s">
        <v>41</v>
      </c>
      <c r="P116" s="30">
        <v>5</v>
      </c>
      <c r="Q116" s="7">
        <v>4250.8347826086956</v>
      </c>
      <c r="R116" s="7">
        <v>5500</v>
      </c>
      <c r="S116" s="8">
        <f t="shared" si="1"/>
        <v>1249.1652173913044</v>
      </c>
    </row>
    <row r="117" spans="1:19">
      <c r="A117" s="5">
        <v>116</v>
      </c>
      <c r="B117" s="5">
        <v>2506120145</v>
      </c>
      <c r="C117" s="5" t="s">
        <v>510</v>
      </c>
      <c r="D117" s="5" t="s">
        <v>511</v>
      </c>
      <c r="E117" s="5" t="s">
        <v>512</v>
      </c>
      <c r="F117" s="5" t="s">
        <v>79</v>
      </c>
      <c r="G117" s="5" t="s">
        <v>52</v>
      </c>
      <c r="H117" s="5" t="s">
        <v>508</v>
      </c>
      <c r="I117" s="5">
        <v>202500296</v>
      </c>
      <c r="J117" s="5"/>
      <c r="K117" s="6">
        <v>45820</v>
      </c>
      <c r="L117" s="6">
        <v>45825</v>
      </c>
      <c r="M117" s="5" t="s">
        <v>53</v>
      </c>
      <c r="N117" s="5" t="s">
        <v>54</v>
      </c>
      <c r="O117" s="5" t="s">
        <v>41</v>
      </c>
      <c r="P117" s="30">
        <v>5</v>
      </c>
      <c r="Q117" s="7">
        <v>4250.8347826086956</v>
      </c>
      <c r="R117" s="7">
        <v>5500</v>
      </c>
      <c r="S117" s="8">
        <f t="shared" si="1"/>
        <v>1249.1652173913044</v>
      </c>
    </row>
    <row r="118" spans="1:19">
      <c r="A118" s="5">
        <v>117</v>
      </c>
      <c r="B118" s="5">
        <v>2506123110</v>
      </c>
      <c r="C118" s="5" t="s">
        <v>513</v>
      </c>
      <c r="D118" s="5" t="s">
        <v>514</v>
      </c>
      <c r="E118" s="5" t="s">
        <v>515</v>
      </c>
      <c r="F118" s="5" t="s">
        <v>516</v>
      </c>
      <c r="G118" s="5" t="s">
        <v>52</v>
      </c>
      <c r="H118" s="5" t="s">
        <v>508</v>
      </c>
      <c r="I118" s="5">
        <v>202500297</v>
      </c>
      <c r="J118" s="5"/>
      <c r="K118" s="6">
        <v>45820</v>
      </c>
      <c r="L118" s="6">
        <v>45825</v>
      </c>
      <c r="M118" s="5" t="s">
        <v>53</v>
      </c>
      <c r="N118" s="5" t="s">
        <v>54</v>
      </c>
      <c r="O118" s="5" t="s">
        <v>41</v>
      </c>
      <c r="P118" s="30">
        <v>5</v>
      </c>
      <c r="Q118" s="7">
        <v>4250.8347826086956</v>
      </c>
      <c r="R118" s="7">
        <v>8500</v>
      </c>
      <c r="S118" s="8">
        <f t="shared" si="1"/>
        <v>4249.1652173913044</v>
      </c>
    </row>
    <row r="119" spans="1:19">
      <c r="A119" s="5">
        <v>118</v>
      </c>
      <c r="B119" s="5">
        <v>2506133151</v>
      </c>
      <c r="C119" s="5" t="s">
        <v>517</v>
      </c>
      <c r="D119" s="5" t="s">
        <v>77</v>
      </c>
      <c r="E119" s="5" t="s">
        <v>78</v>
      </c>
      <c r="F119" s="5" t="s">
        <v>79</v>
      </c>
      <c r="G119" s="5" t="s">
        <v>52</v>
      </c>
      <c r="H119" s="5" t="s">
        <v>508</v>
      </c>
      <c r="I119" s="5">
        <v>202500298</v>
      </c>
      <c r="J119" s="5"/>
      <c r="K119" s="6">
        <v>45821</v>
      </c>
      <c r="L119" s="6">
        <v>45825</v>
      </c>
      <c r="M119" s="5" t="s">
        <v>53</v>
      </c>
      <c r="N119" s="5" t="s">
        <v>54</v>
      </c>
      <c r="O119" s="5" t="s">
        <v>41</v>
      </c>
      <c r="P119" s="30">
        <v>4</v>
      </c>
      <c r="Q119" s="7">
        <v>4250.8347826086956</v>
      </c>
      <c r="R119" s="7">
        <v>5500</v>
      </c>
      <c r="S119" s="8">
        <f t="shared" si="1"/>
        <v>1249.1652173913044</v>
      </c>
    </row>
    <row r="120" spans="1:19">
      <c r="A120" s="5">
        <v>119</v>
      </c>
      <c r="B120" s="5">
        <v>2506123121</v>
      </c>
      <c r="C120" s="5" t="s">
        <v>518</v>
      </c>
      <c r="D120" s="5" t="s">
        <v>249</v>
      </c>
      <c r="E120" s="5" t="s">
        <v>250</v>
      </c>
      <c r="F120" s="5" t="s">
        <v>141</v>
      </c>
      <c r="G120" s="5" t="s">
        <v>52</v>
      </c>
      <c r="H120" s="5" t="s">
        <v>508</v>
      </c>
      <c r="I120" s="5">
        <v>202500299</v>
      </c>
      <c r="J120" s="5"/>
      <c r="K120" s="6">
        <v>45820</v>
      </c>
      <c r="L120" s="6">
        <v>45825</v>
      </c>
      <c r="M120" s="5" t="s">
        <v>53</v>
      </c>
      <c r="N120" s="5" t="s">
        <v>54</v>
      </c>
      <c r="O120" s="5" t="s">
        <v>41</v>
      </c>
      <c r="P120" s="30">
        <v>5</v>
      </c>
      <c r="Q120" s="7">
        <v>4250.8347826086956</v>
      </c>
      <c r="R120" s="7">
        <v>5500</v>
      </c>
      <c r="S120" s="8">
        <f t="shared" si="1"/>
        <v>1249.1652173913044</v>
      </c>
    </row>
    <row r="121" spans="1:19">
      <c r="A121" s="5">
        <v>120</v>
      </c>
      <c r="B121" s="5">
        <v>2506123122</v>
      </c>
      <c r="C121" s="5" t="s">
        <v>519</v>
      </c>
      <c r="D121" s="5" t="s">
        <v>334</v>
      </c>
      <c r="E121" s="5" t="s">
        <v>335</v>
      </c>
      <c r="F121" s="5" t="s">
        <v>71</v>
      </c>
      <c r="G121" s="5" t="s">
        <v>43</v>
      </c>
      <c r="H121" s="5" t="s">
        <v>508</v>
      </c>
      <c r="I121" s="5">
        <v>202500300</v>
      </c>
      <c r="J121" s="5"/>
      <c r="K121" s="6">
        <v>45820</v>
      </c>
      <c r="L121" s="6">
        <v>45825</v>
      </c>
      <c r="M121" s="5" t="s">
        <v>53</v>
      </c>
      <c r="N121" s="5" t="s">
        <v>54</v>
      </c>
      <c r="O121" s="5" t="s">
        <v>41</v>
      </c>
      <c r="P121" s="30">
        <v>5</v>
      </c>
      <c r="Q121" s="7">
        <v>4250.8347826086956</v>
      </c>
      <c r="R121" s="7">
        <v>12000</v>
      </c>
      <c r="S121" s="8">
        <f t="shared" si="1"/>
        <v>7749.1652173913044</v>
      </c>
    </row>
    <row r="122" spans="1:19">
      <c r="A122" s="5">
        <v>121</v>
      </c>
      <c r="B122" s="5">
        <v>2506100060</v>
      </c>
      <c r="C122" s="5" t="s">
        <v>520</v>
      </c>
      <c r="D122" s="5" t="s">
        <v>153</v>
      </c>
      <c r="E122" s="5" t="s">
        <v>154</v>
      </c>
      <c r="F122" s="5" t="s">
        <v>141</v>
      </c>
      <c r="G122" s="5" t="s">
        <v>52</v>
      </c>
      <c r="H122" s="5" t="s">
        <v>508</v>
      </c>
      <c r="I122" s="5">
        <v>202500301</v>
      </c>
      <c r="J122" s="5"/>
      <c r="K122" s="6">
        <v>45821</v>
      </c>
      <c r="L122" s="6">
        <v>45825</v>
      </c>
      <c r="M122" s="5" t="s">
        <v>53</v>
      </c>
      <c r="N122" s="5" t="s">
        <v>54</v>
      </c>
      <c r="O122" s="5" t="s">
        <v>41</v>
      </c>
      <c r="P122" s="30">
        <v>4</v>
      </c>
      <c r="Q122" s="7">
        <v>4250.8347826086956</v>
      </c>
      <c r="R122" s="7">
        <v>5500</v>
      </c>
      <c r="S122" s="8">
        <f t="shared" si="1"/>
        <v>1249.1652173913044</v>
      </c>
    </row>
    <row r="123" spans="1:19">
      <c r="A123" s="5">
        <v>122</v>
      </c>
      <c r="B123" s="5">
        <v>2506123124</v>
      </c>
      <c r="C123" s="5" t="s">
        <v>521</v>
      </c>
      <c r="D123" s="5" t="s">
        <v>448</v>
      </c>
      <c r="E123" s="5" t="s">
        <v>522</v>
      </c>
      <c r="F123" s="5" t="s">
        <v>109</v>
      </c>
      <c r="G123" s="5" t="s">
        <v>52</v>
      </c>
      <c r="H123" s="5" t="s">
        <v>508</v>
      </c>
      <c r="I123" s="5">
        <v>202500302</v>
      </c>
      <c r="J123" s="5"/>
      <c r="K123" s="6">
        <v>45820</v>
      </c>
      <c r="L123" s="6">
        <v>45825</v>
      </c>
      <c r="M123" s="5" t="s">
        <v>53</v>
      </c>
      <c r="N123" s="5" t="s">
        <v>54</v>
      </c>
      <c r="O123" s="5" t="s">
        <v>41</v>
      </c>
      <c r="P123" s="30">
        <v>5</v>
      </c>
      <c r="Q123" s="7">
        <v>4250.8347826086956</v>
      </c>
      <c r="R123" s="7">
        <v>6500</v>
      </c>
      <c r="S123" s="8">
        <f t="shared" si="1"/>
        <v>2249.1652173913044</v>
      </c>
    </row>
    <row r="124" spans="1:19">
      <c r="A124" s="5">
        <v>123</v>
      </c>
      <c r="B124" s="5">
        <v>2506131182</v>
      </c>
      <c r="C124" s="5" t="s">
        <v>523</v>
      </c>
      <c r="D124" s="5" t="s">
        <v>107</v>
      </c>
      <c r="E124" s="5" t="s">
        <v>205</v>
      </c>
      <c r="F124" s="5" t="s">
        <v>109</v>
      </c>
      <c r="G124" s="5" t="s">
        <v>75</v>
      </c>
      <c r="H124" s="5" t="s">
        <v>508</v>
      </c>
      <c r="I124" s="5">
        <v>202500303</v>
      </c>
      <c r="J124" s="5"/>
      <c r="K124" s="6">
        <v>45821</v>
      </c>
      <c r="L124" s="6">
        <v>45825</v>
      </c>
      <c r="M124" s="5" t="s">
        <v>53</v>
      </c>
      <c r="N124" s="5" t="s">
        <v>54</v>
      </c>
      <c r="O124" s="5" t="s">
        <v>41</v>
      </c>
      <c r="P124" s="30">
        <v>4</v>
      </c>
      <c r="Q124" s="7">
        <v>4250.8347826086956</v>
      </c>
      <c r="R124" s="7">
        <v>4500</v>
      </c>
      <c r="S124" s="8">
        <f t="shared" si="1"/>
        <v>249.1652173913044</v>
      </c>
    </row>
    <row r="125" spans="1:19">
      <c r="A125" s="5">
        <v>124</v>
      </c>
      <c r="B125" s="5">
        <v>2506131189</v>
      </c>
      <c r="C125" s="5" t="s">
        <v>524</v>
      </c>
      <c r="D125" s="5" t="s">
        <v>107</v>
      </c>
      <c r="E125" s="5" t="s">
        <v>205</v>
      </c>
      <c r="F125" s="5" t="s">
        <v>109</v>
      </c>
      <c r="G125" s="5" t="s">
        <v>75</v>
      </c>
      <c r="H125" s="5" t="s">
        <v>508</v>
      </c>
      <c r="I125" s="5">
        <v>202500304</v>
      </c>
      <c r="J125" s="5"/>
      <c r="K125" s="6">
        <v>45821</v>
      </c>
      <c r="L125" s="6">
        <v>45825</v>
      </c>
      <c r="M125" s="5" t="s">
        <v>53</v>
      </c>
      <c r="N125" s="5" t="s">
        <v>54</v>
      </c>
      <c r="O125" s="5" t="s">
        <v>41</v>
      </c>
      <c r="P125" s="30">
        <v>4</v>
      </c>
      <c r="Q125" s="7">
        <v>4250.8347826086956</v>
      </c>
      <c r="R125" s="7">
        <v>4500</v>
      </c>
      <c r="S125" s="8">
        <f t="shared" si="1"/>
        <v>249.1652173913044</v>
      </c>
    </row>
    <row r="126" spans="1:19">
      <c r="A126" s="5">
        <v>125</v>
      </c>
      <c r="B126" s="5">
        <v>2506133157</v>
      </c>
      <c r="C126" s="5" t="s">
        <v>525</v>
      </c>
      <c r="D126" s="5" t="s">
        <v>405</v>
      </c>
      <c r="E126" s="5" t="s">
        <v>526</v>
      </c>
      <c r="F126" s="5" t="s">
        <v>202</v>
      </c>
      <c r="G126" s="5" t="s">
        <v>52</v>
      </c>
      <c r="H126" s="5" t="s">
        <v>508</v>
      </c>
      <c r="I126" s="5">
        <v>202500305</v>
      </c>
      <c r="J126" s="5"/>
      <c r="K126" s="6">
        <v>45821</v>
      </c>
      <c r="L126" s="6">
        <v>45825</v>
      </c>
      <c r="M126" s="5" t="s">
        <v>53</v>
      </c>
      <c r="N126" s="5" t="s">
        <v>54</v>
      </c>
      <c r="O126" s="5" t="s">
        <v>41</v>
      </c>
      <c r="P126" s="30">
        <v>4</v>
      </c>
      <c r="Q126" s="7">
        <v>4250.8347826086956</v>
      </c>
      <c r="R126" s="7">
        <v>6450</v>
      </c>
      <c r="S126" s="8">
        <f t="shared" si="1"/>
        <v>2199.1652173913044</v>
      </c>
    </row>
    <row r="127" spans="1:19">
      <c r="A127" s="5">
        <v>126</v>
      </c>
      <c r="B127" s="5">
        <v>2506142207</v>
      </c>
      <c r="C127" s="5" t="s">
        <v>527</v>
      </c>
      <c r="D127" s="5" t="s">
        <v>528</v>
      </c>
      <c r="E127" s="5" t="s">
        <v>529</v>
      </c>
      <c r="F127" s="5" t="s">
        <v>202</v>
      </c>
      <c r="G127" s="5" t="s">
        <v>52</v>
      </c>
      <c r="H127" s="5" t="s">
        <v>508</v>
      </c>
      <c r="I127" s="5">
        <v>202500306</v>
      </c>
      <c r="J127" s="5"/>
      <c r="K127" s="6">
        <v>45822</v>
      </c>
      <c r="L127" s="6">
        <v>45825</v>
      </c>
      <c r="M127" s="5" t="s">
        <v>53</v>
      </c>
      <c r="N127" s="5" t="s">
        <v>54</v>
      </c>
      <c r="O127" s="5" t="s">
        <v>41</v>
      </c>
      <c r="P127" s="30">
        <v>3</v>
      </c>
      <c r="Q127" s="7">
        <v>4250.8347826086956</v>
      </c>
      <c r="R127" s="7">
        <v>7500</v>
      </c>
      <c r="S127" s="8">
        <f t="shared" si="1"/>
        <v>3249.1652173913044</v>
      </c>
    </row>
    <row r="128" spans="1:19">
      <c r="A128" s="5">
        <v>127</v>
      </c>
      <c r="B128" s="5">
        <v>2506140720</v>
      </c>
      <c r="C128" s="5" t="s">
        <v>530</v>
      </c>
      <c r="D128" s="5" t="s">
        <v>139</v>
      </c>
      <c r="E128" s="5" t="s">
        <v>413</v>
      </c>
      <c r="F128" s="5" t="s">
        <v>141</v>
      </c>
      <c r="G128" s="5" t="s">
        <v>52</v>
      </c>
      <c r="H128" s="5" t="s">
        <v>508</v>
      </c>
      <c r="I128" s="5">
        <v>202500307</v>
      </c>
      <c r="J128" s="5"/>
      <c r="K128" s="6">
        <v>45822</v>
      </c>
      <c r="L128" s="6">
        <v>45825</v>
      </c>
      <c r="M128" s="5" t="s">
        <v>53</v>
      </c>
      <c r="N128" s="5" t="s">
        <v>54</v>
      </c>
      <c r="O128" s="5" t="s">
        <v>41</v>
      </c>
      <c r="P128" s="30">
        <v>3</v>
      </c>
      <c r="Q128" s="7">
        <v>4250.8347826086956</v>
      </c>
      <c r="R128" s="7">
        <v>6000</v>
      </c>
      <c r="S128" s="8">
        <f t="shared" si="1"/>
        <v>1749.1652173913044</v>
      </c>
    </row>
    <row r="129" spans="1:23">
      <c r="A129" s="5">
        <v>128</v>
      </c>
      <c r="B129" s="5">
        <v>2506141113</v>
      </c>
      <c r="C129" s="5" t="s">
        <v>531</v>
      </c>
      <c r="D129" s="5" t="s">
        <v>64</v>
      </c>
      <c r="E129" s="5" t="s">
        <v>65</v>
      </c>
      <c r="F129" s="5" t="s">
        <v>66</v>
      </c>
      <c r="G129" s="5" t="s">
        <v>43</v>
      </c>
      <c r="H129" s="5" t="s">
        <v>508</v>
      </c>
      <c r="I129" s="5">
        <v>202500308</v>
      </c>
      <c r="J129" s="5"/>
      <c r="K129" s="6">
        <v>45822</v>
      </c>
      <c r="L129" s="6">
        <v>45825</v>
      </c>
      <c r="M129" s="5" t="s">
        <v>53</v>
      </c>
      <c r="N129" s="5" t="s">
        <v>54</v>
      </c>
      <c r="O129" s="5" t="s">
        <v>41</v>
      </c>
      <c r="P129" s="30">
        <v>3</v>
      </c>
      <c r="Q129" s="7">
        <v>4250.8347826086956</v>
      </c>
      <c r="R129" s="7">
        <v>11000</v>
      </c>
      <c r="S129" s="8">
        <f t="shared" si="1"/>
        <v>6749.1652173913044</v>
      </c>
    </row>
    <row r="130" spans="1:23">
      <c r="A130" s="5">
        <v>129</v>
      </c>
      <c r="B130" s="5">
        <v>2506141124</v>
      </c>
      <c r="C130" s="5" t="s">
        <v>532</v>
      </c>
      <c r="D130" s="5" t="s">
        <v>528</v>
      </c>
      <c r="E130" s="5" t="s">
        <v>529</v>
      </c>
      <c r="F130" s="5" t="s">
        <v>202</v>
      </c>
      <c r="G130" s="5" t="s">
        <v>52</v>
      </c>
      <c r="H130" s="5" t="s">
        <v>508</v>
      </c>
      <c r="I130" s="5">
        <v>202500309</v>
      </c>
      <c r="J130" s="5"/>
      <c r="K130" s="6">
        <v>45822</v>
      </c>
      <c r="L130" s="6">
        <v>45825</v>
      </c>
      <c r="M130" s="5" t="s">
        <v>53</v>
      </c>
      <c r="N130" s="5" t="s">
        <v>54</v>
      </c>
      <c r="O130" s="5" t="s">
        <v>41</v>
      </c>
      <c r="P130" s="30">
        <v>3</v>
      </c>
      <c r="Q130" s="7">
        <v>4250.8347826086956</v>
      </c>
      <c r="R130" s="7">
        <v>7500</v>
      </c>
      <c r="S130" s="8">
        <f t="shared" si="1"/>
        <v>3249.1652173913044</v>
      </c>
    </row>
    <row r="131" spans="1:23">
      <c r="A131" s="5">
        <v>130</v>
      </c>
      <c r="B131" s="5">
        <v>2506141141</v>
      </c>
      <c r="C131" s="5" t="s">
        <v>533</v>
      </c>
      <c r="D131" s="5" t="s">
        <v>177</v>
      </c>
      <c r="E131" s="5" t="s">
        <v>98</v>
      </c>
      <c r="F131" s="5" t="s">
        <v>71</v>
      </c>
      <c r="G131" s="5" t="s">
        <v>75</v>
      </c>
      <c r="H131" s="5" t="s">
        <v>508</v>
      </c>
      <c r="I131" s="5">
        <v>202500310</v>
      </c>
      <c r="J131" s="5"/>
      <c r="K131" s="6">
        <v>45822</v>
      </c>
      <c r="L131" s="6">
        <v>45825</v>
      </c>
      <c r="M131" s="5" t="s">
        <v>53</v>
      </c>
      <c r="N131" s="5" t="s">
        <v>54</v>
      </c>
      <c r="O131" s="5" t="s">
        <v>41</v>
      </c>
      <c r="P131" s="30">
        <v>3</v>
      </c>
      <c r="Q131" s="7">
        <v>4250.8347826086956</v>
      </c>
      <c r="R131" s="7">
        <v>4900</v>
      </c>
      <c r="S131" s="8">
        <f t="shared" ref="S131:S194" si="2">R131-Q131</f>
        <v>649.1652173913044</v>
      </c>
    </row>
    <row r="132" spans="1:23">
      <c r="A132" s="5">
        <v>131</v>
      </c>
      <c r="B132" s="5">
        <v>2506141158</v>
      </c>
      <c r="C132" s="5" t="s">
        <v>534</v>
      </c>
      <c r="D132" s="5" t="s">
        <v>321</v>
      </c>
      <c r="E132" s="5" t="s">
        <v>322</v>
      </c>
      <c r="F132" s="5" t="s">
        <v>202</v>
      </c>
      <c r="G132" s="5" t="s">
        <v>75</v>
      </c>
      <c r="H132" s="5" t="s">
        <v>508</v>
      </c>
      <c r="I132" s="5">
        <v>202500311</v>
      </c>
      <c r="J132" s="5"/>
      <c r="K132" s="6">
        <v>45822</v>
      </c>
      <c r="L132" s="6">
        <v>45825</v>
      </c>
      <c r="M132" s="5" t="s">
        <v>53</v>
      </c>
      <c r="N132" s="5" t="s">
        <v>54</v>
      </c>
      <c r="O132" s="5" t="s">
        <v>41</v>
      </c>
      <c r="P132" s="30">
        <v>3</v>
      </c>
      <c r="Q132" s="7">
        <v>4250.8347826086956</v>
      </c>
      <c r="R132" s="7">
        <v>4900</v>
      </c>
      <c r="S132" s="8">
        <f t="shared" si="2"/>
        <v>649.1652173913044</v>
      </c>
    </row>
    <row r="133" spans="1:23">
      <c r="A133" s="5">
        <v>132</v>
      </c>
      <c r="B133" s="5">
        <v>2506142187</v>
      </c>
      <c r="C133" s="5" t="s">
        <v>535</v>
      </c>
      <c r="D133" s="5" t="s">
        <v>218</v>
      </c>
      <c r="E133" s="5" t="s">
        <v>219</v>
      </c>
      <c r="F133" s="5" t="s">
        <v>51</v>
      </c>
      <c r="G133" s="5" t="s">
        <v>52</v>
      </c>
      <c r="H133" s="5" t="s">
        <v>508</v>
      </c>
      <c r="I133" s="5">
        <v>202500312</v>
      </c>
      <c r="J133" s="5"/>
      <c r="K133" s="6">
        <v>45822</v>
      </c>
      <c r="L133" s="6">
        <v>45825</v>
      </c>
      <c r="M133" s="5" t="s">
        <v>53</v>
      </c>
      <c r="N133" s="5" t="s">
        <v>54</v>
      </c>
      <c r="O133" s="5" t="s">
        <v>41</v>
      </c>
      <c r="P133" s="30">
        <v>3</v>
      </c>
      <c r="Q133" s="7">
        <v>4250.8347826086956</v>
      </c>
      <c r="R133" s="7">
        <v>5500</v>
      </c>
      <c r="S133" s="8">
        <f t="shared" si="2"/>
        <v>1249.1652173913044</v>
      </c>
    </row>
    <row r="134" spans="1:23">
      <c r="A134" s="5">
        <v>133</v>
      </c>
      <c r="B134" s="13">
        <v>2506142199</v>
      </c>
      <c r="C134" s="13" t="s">
        <v>536</v>
      </c>
      <c r="D134" s="13" t="s">
        <v>537</v>
      </c>
      <c r="E134" s="13" t="s">
        <v>538</v>
      </c>
      <c r="F134" s="13" t="s">
        <v>66</v>
      </c>
      <c r="G134" s="13" t="s">
        <v>75</v>
      </c>
      <c r="H134" s="13" t="s">
        <v>508</v>
      </c>
      <c r="I134" s="13">
        <v>202500313</v>
      </c>
      <c r="J134" s="13"/>
      <c r="K134" s="14">
        <v>45822</v>
      </c>
      <c r="L134" s="14">
        <v>45825</v>
      </c>
      <c r="M134" s="13" t="s">
        <v>45</v>
      </c>
      <c r="N134" s="13" t="s">
        <v>46</v>
      </c>
      <c r="O134" s="13" t="s">
        <v>539</v>
      </c>
      <c r="P134" s="35">
        <v>3</v>
      </c>
      <c r="Q134" s="15">
        <v>4250.8347826086956</v>
      </c>
      <c r="R134" s="15">
        <v>4900</v>
      </c>
      <c r="S134" s="16">
        <f t="shared" si="2"/>
        <v>649.1652173913044</v>
      </c>
    </row>
    <row r="135" spans="1:23">
      <c r="A135" s="5">
        <v>134</v>
      </c>
      <c r="B135" s="22">
        <v>2506110024</v>
      </c>
      <c r="C135" s="22" t="s">
        <v>500</v>
      </c>
      <c r="D135" s="22" t="s">
        <v>405</v>
      </c>
      <c r="E135" s="22" t="s">
        <v>485</v>
      </c>
      <c r="F135" s="22" t="s">
        <v>202</v>
      </c>
      <c r="G135" s="22" t="s">
        <v>52</v>
      </c>
      <c r="H135" s="22" t="s">
        <v>508</v>
      </c>
      <c r="I135" s="22">
        <v>202500314</v>
      </c>
      <c r="J135" s="22"/>
      <c r="K135" s="23">
        <v>45819</v>
      </c>
      <c r="L135" s="23">
        <v>45825</v>
      </c>
      <c r="M135" s="22" t="s">
        <v>53</v>
      </c>
      <c r="N135" s="22" t="s">
        <v>54</v>
      </c>
      <c r="O135" s="22" t="s">
        <v>435</v>
      </c>
      <c r="P135" s="34">
        <v>6</v>
      </c>
      <c r="Q135" s="24">
        <v>4250.8347826086956</v>
      </c>
      <c r="R135" s="24">
        <v>0</v>
      </c>
      <c r="S135" s="25">
        <f t="shared" si="2"/>
        <v>-4250.8347826086956</v>
      </c>
    </row>
    <row r="136" spans="1:23">
      <c r="A136" s="5">
        <v>135</v>
      </c>
      <c r="B136" s="5" t="s">
        <v>540</v>
      </c>
      <c r="C136" s="5"/>
      <c r="D136" s="5"/>
      <c r="E136" s="5"/>
      <c r="F136" s="5"/>
      <c r="G136" s="5" t="s">
        <v>52</v>
      </c>
      <c r="H136" s="5"/>
      <c r="I136" s="5"/>
      <c r="J136" s="5"/>
      <c r="K136" s="5"/>
      <c r="L136" s="5"/>
      <c r="M136" s="5"/>
      <c r="N136" s="5"/>
      <c r="O136" s="5"/>
      <c r="P136" s="5"/>
      <c r="Q136" s="7">
        <v>4250.8347826086956</v>
      </c>
      <c r="R136" s="7">
        <v>0</v>
      </c>
      <c r="S136" s="8">
        <f t="shared" si="2"/>
        <v>-4250.8347826086956</v>
      </c>
    </row>
    <row r="137" spans="1:23">
      <c r="A137" s="5">
        <v>136</v>
      </c>
      <c r="B137" s="5" t="s">
        <v>541</v>
      </c>
      <c r="C137" s="5"/>
      <c r="D137" s="5"/>
      <c r="E137" s="5"/>
      <c r="F137" s="5"/>
      <c r="G137" s="5" t="s">
        <v>52</v>
      </c>
      <c r="H137" s="5"/>
      <c r="I137" s="5"/>
      <c r="J137" s="5"/>
      <c r="K137" s="5"/>
      <c r="L137" s="5"/>
      <c r="M137" s="5"/>
      <c r="N137" s="5"/>
      <c r="O137" s="5"/>
      <c r="P137" s="5"/>
      <c r="Q137" s="7">
        <v>4250.8347826086956</v>
      </c>
      <c r="R137" s="7">
        <v>0</v>
      </c>
      <c r="S137" s="8">
        <f t="shared" si="2"/>
        <v>-4250.8347826086956</v>
      </c>
    </row>
    <row r="138" spans="1:23">
      <c r="A138" s="5">
        <v>137</v>
      </c>
      <c r="B138" s="5">
        <v>2506150735</v>
      </c>
      <c r="C138" s="5" t="s">
        <v>542</v>
      </c>
      <c r="D138" s="5" t="s">
        <v>64</v>
      </c>
      <c r="E138" s="5" t="s">
        <v>65</v>
      </c>
      <c r="F138" s="5" t="s">
        <v>66</v>
      </c>
      <c r="G138" s="5" t="s">
        <v>52</v>
      </c>
      <c r="H138" s="5" t="s">
        <v>543</v>
      </c>
      <c r="I138" s="5">
        <v>202500315</v>
      </c>
      <c r="J138" s="5"/>
      <c r="K138" s="6">
        <v>45823</v>
      </c>
      <c r="L138" s="6">
        <v>45827</v>
      </c>
      <c r="M138" s="5" t="s">
        <v>53</v>
      </c>
      <c r="N138" s="5" t="s">
        <v>54</v>
      </c>
      <c r="O138" s="5" t="s">
        <v>41</v>
      </c>
      <c r="P138" s="30">
        <v>4</v>
      </c>
      <c r="Q138" s="41">
        <v>3807.6615384615384</v>
      </c>
      <c r="R138" s="41">
        <v>5500</v>
      </c>
      <c r="S138" s="8">
        <f t="shared" si="2"/>
        <v>1692.3384615384616</v>
      </c>
    </row>
    <row r="139" spans="1:23">
      <c r="A139" s="5">
        <v>138</v>
      </c>
      <c r="B139" s="5">
        <v>2506150745</v>
      </c>
      <c r="C139" s="5" t="s">
        <v>544</v>
      </c>
      <c r="D139" s="5" t="s">
        <v>64</v>
      </c>
      <c r="E139" s="5" t="s">
        <v>65</v>
      </c>
      <c r="F139" s="5" t="s">
        <v>66</v>
      </c>
      <c r="G139" s="5" t="s">
        <v>52</v>
      </c>
      <c r="H139" s="5" t="s">
        <v>543</v>
      </c>
      <c r="I139" s="5">
        <v>202500316</v>
      </c>
      <c r="J139" s="5"/>
      <c r="K139" s="6">
        <v>45823</v>
      </c>
      <c r="L139" s="6">
        <v>45827</v>
      </c>
      <c r="M139" s="5" t="s">
        <v>53</v>
      </c>
      <c r="N139" s="5" t="s">
        <v>54</v>
      </c>
      <c r="O139" s="5" t="s">
        <v>41</v>
      </c>
      <c r="P139" s="30">
        <v>4</v>
      </c>
      <c r="Q139" s="41">
        <v>3807.6615384615384</v>
      </c>
      <c r="R139" s="41">
        <v>5500</v>
      </c>
      <c r="S139" s="8">
        <f t="shared" si="2"/>
        <v>1692.3384615384616</v>
      </c>
    </row>
    <row r="140" spans="1:23">
      <c r="A140" s="5">
        <v>139</v>
      </c>
      <c r="B140" s="5">
        <v>2506150756</v>
      </c>
      <c r="C140" s="5" t="s">
        <v>545</v>
      </c>
      <c r="D140" s="5" t="s">
        <v>64</v>
      </c>
      <c r="E140" s="5" t="s">
        <v>65</v>
      </c>
      <c r="F140" s="5" t="s">
        <v>66</v>
      </c>
      <c r="G140" s="5" t="s">
        <v>52</v>
      </c>
      <c r="H140" s="5" t="s">
        <v>543</v>
      </c>
      <c r="I140" s="5">
        <v>202500317</v>
      </c>
      <c r="J140" s="5"/>
      <c r="K140" s="6">
        <v>45823</v>
      </c>
      <c r="L140" s="6">
        <v>45827</v>
      </c>
      <c r="M140" s="5" t="s">
        <v>53</v>
      </c>
      <c r="N140" s="5" t="s">
        <v>54</v>
      </c>
      <c r="O140" s="5" t="s">
        <v>41</v>
      </c>
      <c r="P140" s="30">
        <v>4</v>
      </c>
      <c r="Q140" s="41">
        <v>3807.6615384615384</v>
      </c>
      <c r="R140" s="41">
        <v>5500</v>
      </c>
      <c r="S140" s="8">
        <f t="shared" si="2"/>
        <v>1692.3384615384616</v>
      </c>
      <c r="W140" s="36"/>
    </row>
    <row r="141" spans="1:23">
      <c r="A141" s="5">
        <v>140</v>
      </c>
      <c r="B141" s="5">
        <v>2506150765</v>
      </c>
      <c r="C141" s="5" t="s">
        <v>546</v>
      </c>
      <c r="D141" s="5" t="s">
        <v>64</v>
      </c>
      <c r="E141" s="5" t="s">
        <v>65</v>
      </c>
      <c r="F141" s="5" t="s">
        <v>66</v>
      </c>
      <c r="G141" s="5" t="s">
        <v>52</v>
      </c>
      <c r="H141" s="5" t="s">
        <v>543</v>
      </c>
      <c r="I141" s="5">
        <v>202500318</v>
      </c>
      <c r="J141" s="5"/>
      <c r="K141" s="6">
        <v>45823</v>
      </c>
      <c r="L141" s="6">
        <v>45827</v>
      </c>
      <c r="M141" s="5" t="s">
        <v>53</v>
      </c>
      <c r="N141" s="5" t="s">
        <v>54</v>
      </c>
      <c r="O141" s="5" t="s">
        <v>41</v>
      </c>
      <c r="P141" s="30">
        <v>4</v>
      </c>
      <c r="Q141" s="41">
        <v>3807.6615384615384</v>
      </c>
      <c r="R141" s="41">
        <v>5500</v>
      </c>
      <c r="S141" s="8">
        <f t="shared" si="2"/>
        <v>1692.3384615384616</v>
      </c>
    </row>
    <row r="142" spans="1:23">
      <c r="A142" s="5">
        <v>141</v>
      </c>
      <c r="B142" s="5">
        <v>2506150774</v>
      </c>
      <c r="C142" s="5" t="s">
        <v>547</v>
      </c>
      <c r="D142" s="5" t="s">
        <v>64</v>
      </c>
      <c r="E142" s="5" t="s">
        <v>65</v>
      </c>
      <c r="F142" s="5" t="s">
        <v>66</v>
      </c>
      <c r="G142" s="5" t="s">
        <v>52</v>
      </c>
      <c r="H142" s="5" t="s">
        <v>543</v>
      </c>
      <c r="I142" s="5">
        <v>202500319</v>
      </c>
      <c r="J142" s="5"/>
      <c r="K142" s="6">
        <v>45823</v>
      </c>
      <c r="L142" s="6">
        <v>45827</v>
      </c>
      <c r="M142" s="5" t="s">
        <v>53</v>
      </c>
      <c r="N142" s="5" t="s">
        <v>54</v>
      </c>
      <c r="O142" s="5" t="s">
        <v>41</v>
      </c>
      <c r="P142" s="30">
        <v>4</v>
      </c>
      <c r="Q142" s="41">
        <v>3807.6615384615384</v>
      </c>
      <c r="R142" s="41">
        <v>5500</v>
      </c>
      <c r="S142" s="8">
        <f t="shared" si="2"/>
        <v>1692.3384615384616</v>
      </c>
    </row>
    <row r="143" spans="1:23">
      <c r="A143" s="5">
        <v>142</v>
      </c>
      <c r="B143" s="5">
        <v>2506150780</v>
      </c>
      <c r="C143" s="5" t="s">
        <v>548</v>
      </c>
      <c r="D143" s="5" t="s">
        <v>64</v>
      </c>
      <c r="E143" s="5" t="s">
        <v>65</v>
      </c>
      <c r="F143" s="5" t="s">
        <v>66</v>
      </c>
      <c r="G143" s="5" t="s">
        <v>52</v>
      </c>
      <c r="H143" s="5" t="s">
        <v>543</v>
      </c>
      <c r="I143" s="5">
        <v>202500320</v>
      </c>
      <c r="J143" s="5"/>
      <c r="K143" s="6">
        <v>45823</v>
      </c>
      <c r="L143" s="6">
        <v>45827</v>
      </c>
      <c r="M143" s="5" t="s">
        <v>53</v>
      </c>
      <c r="N143" s="5" t="s">
        <v>54</v>
      </c>
      <c r="O143" s="5" t="s">
        <v>41</v>
      </c>
      <c r="P143" s="30">
        <v>4</v>
      </c>
      <c r="Q143" s="41">
        <v>3807.6615384615384</v>
      </c>
      <c r="R143" s="41">
        <v>5500</v>
      </c>
      <c r="S143" s="8">
        <f t="shared" si="2"/>
        <v>1692.3384615384616</v>
      </c>
    </row>
    <row r="144" spans="1:23">
      <c r="A144" s="5">
        <v>143</v>
      </c>
      <c r="B144" s="5">
        <v>2506150795</v>
      </c>
      <c r="C144" s="5" t="s">
        <v>549</v>
      </c>
      <c r="D144" s="5" t="s">
        <v>550</v>
      </c>
      <c r="E144" s="5" t="s">
        <v>551</v>
      </c>
      <c r="F144" s="5" t="s">
        <v>51</v>
      </c>
      <c r="G144" s="5" t="s">
        <v>52</v>
      </c>
      <c r="H144" s="5" t="s">
        <v>543</v>
      </c>
      <c r="I144" s="5">
        <v>202500321</v>
      </c>
      <c r="J144" s="5"/>
      <c r="K144" s="6">
        <v>45823</v>
      </c>
      <c r="L144" s="6">
        <v>45827</v>
      </c>
      <c r="M144" s="5" t="s">
        <v>53</v>
      </c>
      <c r="N144" s="5" t="s">
        <v>54</v>
      </c>
      <c r="O144" s="5" t="s">
        <v>41</v>
      </c>
      <c r="P144" s="30">
        <v>4</v>
      </c>
      <c r="Q144" s="41">
        <v>3807.6615384615384</v>
      </c>
      <c r="R144" s="41">
        <v>7000</v>
      </c>
      <c r="S144" s="8">
        <f t="shared" si="2"/>
        <v>3192.3384615384616</v>
      </c>
    </row>
    <row r="145" spans="1:19">
      <c r="A145" s="5">
        <v>144</v>
      </c>
      <c r="B145" s="5">
        <v>2506123119</v>
      </c>
      <c r="C145" s="5" t="s">
        <v>552</v>
      </c>
      <c r="D145" s="5" t="s">
        <v>249</v>
      </c>
      <c r="E145" s="5" t="s">
        <v>250</v>
      </c>
      <c r="F145" s="5" t="s">
        <v>141</v>
      </c>
      <c r="G145" s="5" t="s">
        <v>52</v>
      </c>
      <c r="H145" s="5" t="s">
        <v>543</v>
      </c>
      <c r="I145" s="5">
        <v>202500322</v>
      </c>
      <c r="J145" s="5"/>
      <c r="K145" s="6">
        <v>45822</v>
      </c>
      <c r="L145" s="6">
        <v>45827</v>
      </c>
      <c r="M145" s="5" t="s">
        <v>53</v>
      </c>
      <c r="N145" s="5" t="s">
        <v>54</v>
      </c>
      <c r="O145" s="5" t="s">
        <v>41</v>
      </c>
      <c r="P145" s="30">
        <v>5</v>
      </c>
      <c r="Q145" s="41">
        <v>3807.6615384615384</v>
      </c>
      <c r="R145" s="41">
        <v>5500</v>
      </c>
      <c r="S145" s="8">
        <f t="shared" si="2"/>
        <v>1692.3384615384616</v>
      </c>
    </row>
    <row r="146" spans="1:19">
      <c r="A146" s="5">
        <v>145</v>
      </c>
      <c r="B146" s="5">
        <v>2506151288</v>
      </c>
      <c r="C146" s="5" t="s">
        <v>553</v>
      </c>
      <c r="D146" s="5" t="s">
        <v>139</v>
      </c>
      <c r="E146" s="5" t="s">
        <v>140</v>
      </c>
      <c r="F146" s="5" t="s">
        <v>141</v>
      </c>
      <c r="G146" s="5" t="s">
        <v>52</v>
      </c>
      <c r="H146" s="5" t="s">
        <v>543</v>
      </c>
      <c r="I146" s="5">
        <v>202500323</v>
      </c>
      <c r="J146" s="5"/>
      <c r="K146" s="6">
        <v>45823</v>
      </c>
      <c r="L146" s="6">
        <v>45827</v>
      </c>
      <c r="M146" s="5" t="s">
        <v>53</v>
      </c>
      <c r="N146" s="5" t="s">
        <v>54</v>
      </c>
      <c r="O146" s="5" t="s">
        <v>41</v>
      </c>
      <c r="P146" s="30">
        <v>4</v>
      </c>
      <c r="Q146" s="41">
        <v>3807.6615384615384</v>
      </c>
      <c r="R146" s="41">
        <v>6000</v>
      </c>
      <c r="S146" s="8">
        <f t="shared" si="2"/>
        <v>2192.3384615384616</v>
      </c>
    </row>
    <row r="147" spans="1:19">
      <c r="A147" s="5">
        <v>146</v>
      </c>
      <c r="B147" s="5">
        <v>2506151292</v>
      </c>
      <c r="C147" s="5" t="s">
        <v>554</v>
      </c>
      <c r="D147" s="5" t="s">
        <v>49</v>
      </c>
      <c r="E147" s="5" t="s">
        <v>50</v>
      </c>
      <c r="F147" s="5" t="s">
        <v>51</v>
      </c>
      <c r="G147" s="5" t="s">
        <v>52</v>
      </c>
      <c r="H147" s="5" t="s">
        <v>543</v>
      </c>
      <c r="I147" s="5">
        <v>202500324</v>
      </c>
      <c r="J147" s="5"/>
      <c r="K147" s="6">
        <v>45823</v>
      </c>
      <c r="L147" s="6">
        <v>45827</v>
      </c>
      <c r="M147" s="5" t="s">
        <v>53</v>
      </c>
      <c r="N147" s="5" t="s">
        <v>54</v>
      </c>
      <c r="O147" s="5" t="s">
        <v>41</v>
      </c>
      <c r="P147" s="30">
        <v>4</v>
      </c>
      <c r="Q147" s="41">
        <v>3807.6615384615384</v>
      </c>
      <c r="R147" s="41">
        <v>5500</v>
      </c>
      <c r="S147" s="8">
        <f t="shared" si="2"/>
        <v>1692.3384615384616</v>
      </c>
    </row>
    <row r="148" spans="1:19">
      <c r="A148" s="5">
        <v>147</v>
      </c>
      <c r="B148" s="5">
        <v>2506162430</v>
      </c>
      <c r="C148" s="5" t="s">
        <v>555</v>
      </c>
      <c r="D148" s="5" t="s">
        <v>64</v>
      </c>
      <c r="E148" s="5" t="s">
        <v>65</v>
      </c>
      <c r="F148" s="5" t="s">
        <v>66</v>
      </c>
      <c r="G148" s="5" t="s">
        <v>52</v>
      </c>
      <c r="H148" s="5" t="s">
        <v>543</v>
      </c>
      <c r="I148" s="5">
        <v>202500325</v>
      </c>
      <c r="J148" s="5"/>
      <c r="K148" s="6">
        <v>45824</v>
      </c>
      <c r="L148" s="6">
        <v>45827</v>
      </c>
      <c r="M148" s="5" t="s">
        <v>53</v>
      </c>
      <c r="N148" s="5" t="s">
        <v>54</v>
      </c>
      <c r="O148" s="5" t="s">
        <v>41</v>
      </c>
      <c r="P148" s="30">
        <v>3</v>
      </c>
      <c r="Q148" s="41">
        <v>3807.6615384615384</v>
      </c>
      <c r="R148" s="41">
        <v>5500</v>
      </c>
      <c r="S148" s="8">
        <f t="shared" si="2"/>
        <v>1692.3384615384616</v>
      </c>
    </row>
    <row r="149" spans="1:19">
      <c r="A149" s="5">
        <v>148</v>
      </c>
      <c r="B149" s="5">
        <v>2506162431</v>
      </c>
      <c r="C149" s="5" t="s">
        <v>556</v>
      </c>
      <c r="D149" s="5" t="s">
        <v>64</v>
      </c>
      <c r="E149" s="5" t="s">
        <v>65</v>
      </c>
      <c r="F149" s="5" t="s">
        <v>66</v>
      </c>
      <c r="G149" s="5" t="s">
        <v>52</v>
      </c>
      <c r="H149" s="5" t="s">
        <v>543</v>
      </c>
      <c r="I149" s="5">
        <v>202500326</v>
      </c>
      <c r="J149" s="5"/>
      <c r="K149" s="6">
        <v>45824</v>
      </c>
      <c r="L149" s="6">
        <v>45827</v>
      </c>
      <c r="M149" s="5" t="s">
        <v>53</v>
      </c>
      <c r="N149" s="5" t="s">
        <v>54</v>
      </c>
      <c r="O149" s="5" t="s">
        <v>41</v>
      </c>
      <c r="P149" s="30">
        <v>3</v>
      </c>
      <c r="Q149" s="41">
        <v>3807.6615384615384</v>
      </c>
      <c r="R149" s="41">
        <v>5500</v>
      </c>
      <c r="S149" s="8">
        <f t="shared" si="2"/>
        <v>1692.3384615384616</v>
      </c>
    </row>
    <row r="150" spans="1:19">
      <c r="A150" s="5">
        <v>149</v>
      </c>
      <c r="B150" s="5">
        <v>2506162432</v>
      </c>
      <c r="C150" s="5" t="s">
        <v>557</v>
      </c>
      <c r="D150" s="5" t="s">
        <v>528</v>
      </c>
      <c r="E150" s="5" t="s">
        <v>529</v>
      </c>
      <c r="F150" s="5" t="s">
        <v>202</v>
      </c>
      <c r="G150" s="5" t="s">
        <v>52</v>
      </c>
      <c r="H150" s="5" t="s">
        <v>543</v>
      </c>
      <c r="I150" s="5">
        <v>202500327</v>
      </c>
      <c r="J150" s="5"/>
      <c r="K150" s="6">
        <v>45824</v>
      </c>
      <c r="L150" s="6">
        <v>45827</v>
      </c>
      <c r="M150" s="5" t="s">
        <v>53</v>
      </c>
      <c r="N150" s="5" t="s">
        <v>54</v>
      </c>
      <c r="O150" s="5" t="s">
        <v>41</v>
      </c>
      <c r="P150" s="30">
        <v>3</v>
      </c>
      <c r="Q150" s="41">
        <v>3807.6615384615384</v>
      </c>
      <c r="R150" s="41">
        <v>7500</v>
      </c>
      <c r="S150" s="8">
        <f t="shared" si="2"/>
        <v>3692.3384615384616</v>
      </c>
    </row>
    <row r="151" spans="1:19">
      <c r="A151" s="5">
        <v>150</v>
      </c>
      <c r="B151" s="5">
        <v>2506162433</v>
      </c>
      <c r="C151" s="5" t="s">
        <v>558</v>
      </c>
      <c r="D151" s="5" t="s">
        <v>348</v>
      </c>
      <c r="E151" s="5" t="s">
        <v>349</v>
      </c>
      <c r="F151" s="5" t="s">
        <v>71</v>
      </c>
      <c r="G151" s="5" t="s">
        <v>52</v>
      </c>
      <c r="H151" s="5" t="s">
        <v>543</v>
      </c>
      <c r="I151" s="5">
        <v>202500328</v>
      </c>
      <c r="J151" s="5"/>
      <c r="K151" s="6">
        <v>45824</v>
      </c>
      <c r="L151" s="6">
        <v>45827</v>
      </c>
      <c r="M151" s="5" t="s">
        <v>53</v>
      </c>
      <c r="N151" s="5" t="s">
        <v>54</v>
      </c>
      <c r="O151" s="5" t="s">
        <v>41</v>
      </c>
      <c r="P151" s="30">
        <v>3</v>
      </c>
      <c r="Q151" s="41">
        <v>3807.6615384615384</v>
      </c>
      <c r="R151" s="41">
        <v>7000</v>
      </c>
      <c r="S151" s="8">
        <f t="shared" si="2"/>
        <v>3192.3384615384616</v>
      </c>
    </row>
    <row r="152" spans="1:19">
      <c r="A152" s="5">
        <v>151</v>
      </c>
      <c r="B152" s="9">
        <v>2506162334</v>
      </c>
      <c r="C152" s="9" t="s">
        <v>559</v>
      </c>
      <c r="D152" s="9" t="s">
        <v>77</v>
      </c>
      <c r="E152" s="9" t="s">
        <v>78</v>
      </c>
      <c r="F152" s="9" t="s">
        <v>79</v>
      </c>
      <c r="G152" s="9" t="s">
        <v>52</v>
      </c>
      <c r="H152" s="9" t="s">
        <v>543</v>
      </c>
      <c r="I152" s="9">
        <v>202500329</v>
      </c>
      <c r="J152" s="9"/>
      <c r="K152" s="10">
        <v>45824</v>
      </c>
      <c r="L152" s="10">
        <v>45827</v>
      </c>
      <c r="M152" s="9" t="s">
        <v>45</v>
      </c>
      <c r="N152" s="9" t="s">
        <v>94</v>
      </c>
      <c r="O152" s="9" t="s">
        <v>560</v>
      </c>
      <c r="P152" s="32">
        <v>3</v>
      </c>
      <c r="Q152" s="11">
        <v>3807.6615384615384</v>
      </c>
      <c r="R152" s="11">
        <v>5500</v>
      </c>
      <c r="S152" s="12">
        <f t="shared" si="2"/>
        <v>1692.3384615384616</v>
      </c>
    </row>
    <row r="153" spans="1:19">
      <c r="A153" s="5">
        <v>152</v>
      </c>
      <c r="B153" s="5">
        <v>2506162348</v>
      </c>
      <c r="C153" s="5" t="s">
        <v>561</v>
      </c>
      <c r="D153" s="5" t="s">
        <v>537</v>
      </c>
      <c r="E153" s="5" t="s">
        <v>538</v>
      </c>
      <c r="F153" s="5" t="s">
        <v>66</v>
      </c>
      <c r="G153" s="5" t="s">
        <v>75</v>
      </c>
      <c r="H153" s="5" t="s">
        <v>543</v>
      </c>
      <c r="I153" s="5">
        <v>202500330</v>
      </c>
      <c r="J153" s="5"/>
      <c r="K153" s="6">
        <v>45824</v>
      </c>
      <c r="L153" s="6">
        <v>45827</v>
      </c>
      <c r="M153" s="5" t="s">
        <v>53</v>
      </c>
      <c r="N153" s="5" t="s">
        <v>54</v>
      </c>
      <c r="O153" s="5" t="s">
        <v>41</v>
      </c>
      <c r="P153" s="30">
        <v>3</v>
      </c>
      <c r="Q153" s="41">
        <v>3807.6615384615384</v>
      </c>
      <c r="R153" s="41">
        <v>4900</v>
      </c>
      <c r="S153" s="8">
        <f t="shared" si="2"/>
        <v>1092.3384615384616</v>
      </c>
    </row>
    <row r="154" spans="1:19">
      <c r="A154" s="5">
        <v>153</v>
      </c>
      <c r="B154" s="5">
        <v>2506160885</v>
      </c>
      <c r="C154" s="5" t="s">
        <v>562</v>
      </c>
      <c r="D154" s="5" t="s">
        <v>40</v>
      </c>
      <c r="E154" s="5" t="s">
        <v>41</v>
      </c>
      <c r="F154" s="5" t="s">
        <v>42</v>
      </c>
      <c r="G154" s="5" t="s">
        <v>52</v>
      </c>
      <c r="H154" s="5" t="s">
        <v>543</v>
      </c>
      <c r="I154" s="5">
        <v>202500331</v>
      </c>
      <c r="J154" s="5"/>
      <c r="K154" s="6">
        <v>45824</v>
      </c>
      <c r="L154" s="6">
        <v>45827</v>
      </c>
      <c r="M154" s="5" t="s">
        <v>53</v>
      </c>
      <c r="N154" s="5" t="s">
        <v>54</v>
      </c>
      <c r="O154" s="5" t="s">
        <v>41</v>
      </c>
      <c r="P154" s="30">
        <v>3</v>
      </c>
      <c r="Q154" s="41">
        <v>3807.6615384615384</v>
      </c>
      <c r="R154" s="41">
        <v>7600</v>
      </c>
      <c r="S154" s="8">
        <f t="shared" si="2"/>
        <v>3792.3384615384616</v>
      </c>
    </row>
    <row r="155" spans="1:19">
      <c r="A155" s="5">
        <v>154</v>
      </c>
      <c r="B155" s="5">
        <v>2506162360</v>
      </c>
      <c r="C155" s="5" t="s">
        <v>563</v>
      </c>
      <c r="D155" s="5" t="s">
        <v>564</v>
      </c>
      <c r="E155" s="5" t="s">
        <v>565</v>
      </c>
      <c r="F155" s="5" t="s">
        <v>71</v>
      </c>
      <c r="G155" s="5" t="s">
        <v>52</v>
      </c>
      <c r="H155" s="5" t="s">
        <v>543</v>
      </c>
      <c r="I155" s="5">
        <v>202500332</v>
      </c>
      <c r="J155" s="5"/>
      <c r="K155" s="6">
        <v>45824</v>
      </c>
      <c r="L155" s="6">
        <v>45827</v>
      </c>
      <c r="M155" s="5" t="s">
        <v>53</v>
      </c>
      <c r="N155" s="5" t="s">
        <v>54</v>
      </c>
      <c r="O155" s="5" t="s">
        <v>41</v>
      </c>
      <c r="P155" s="30">
        <v>3</v>
      </c>
      <c r="Q155" s="41">
        <v>3807.6615384615384</v>
      </c>
      <c r="R155" s="41">
        <v>8500</v>
      </c>
      <c r="S155" s="8">
        <f t="shared" si="2"/>
        <v>4692.3384615384621</v>
      </c>
    </row>
    <row r="156" spans="1:19">
      <c r="A156" s="5">
        <v>155</v>
      </c>
      <c r="B156" s="5">
        <v>2505162428</v>
      </c>
      <c r="C156" s="5" t="s">
        <v>566</v>
      </c>
      <c r="D156" s="5" t="s">
        <v>567</v>
      </c>
      <c r="E156" s="5" t="s">
        <v>568</v>
      </c>
      <c r="F156" s="5" t="s">
        <v>169</v>
      </c>
      <c r="G156" s="5" t="s">
        <v>52</v>
      </c>
      <c r="H156" s="5" t="s">
        <v>543</v>
      </c>
      <c r="I156" s="5">
        <v>202500333</v>
      </c>
      <c r="J156" s="5"/>
      <c r="K156" s="6">
        <v>45824</v>
      </c>
      <c r="L156" s="6">
        <v>45827</v>
      </c>
      <c r="M156" s="5" t="s">
        <v>53</v>
      </c>
      <c r="N156" s="5" t="s">
        <v>54</v>
      </c>
      <c r="O156" s="5" t="s">
        <v>41</v>
      </c>
      <c r="P156" s="30">
        <v>3</v>
      </c>
      <c r="Q156" s="41">
        <v>3807.6615384615384</v>
      </c>
      <c r="R156" s="41">
        <v>6000</v>
      </c>
      <c r="S156" s="8">
        <f t="shared" si="2"/>
        <v>2192.3384615384616</v>
      </c>
    </row>
    <row r="157" spans="1:19">
      <c r="A157" s="5">
        <v>156</v>
      </c>
      <c r="B157" s="5">
        <v>2506162386</v>
      </c>
      <c r="C157" s="5" t="s">
        <v>569</v>
      </c>
      <c r="D157" s="5" t="s">
        <v>228</v>
      </c>
      <c r="E157" s="5" t="s">
        <v>229</v>
      </c>
      <c r="F157" s="5" t="s">
        <v>169</v>
      </c>
      <c r="G157" s="5" t="s">
        <v>75</v>
      </c>
      <c r="H157" s="5" t="s">
        <v>543</v>
      </c>
      <c r="I157" s="5">
        <v>202500334</v>
      </c>
      <c r="J157" s="5"/>
      <c r="K157" s="6">
        <v>45824</v>
      </c>
      <c r="L157" s="6">
        <v>45827</v>
      </c>
      <c r="M157" s="5" t="s">
        <v>53</v>
      </c>
      <c r="N157" s="5" t="s">
        <v>54</v>
      </c>
      <c r="O157" s="5" t="s">
        <v>41</v>
      </c>
      <c r="P157" s="30">
        <v>3</v>
      </c>
      <c r="Q157" s="41">
        <v>3807.6615384615384</v>
      </c>
      <c r="R157" s="41">
        <v>4500</v>
      </c>
      <c r="S157" s="8">
        <f t="shared" si="2"/>
        <v>692.33846153846162</v>
      </c>
    </row>
    <row r="158" spans="1:19">
      <c r="A158" s="5">
        <v>157</v>
      </c>
      <c r="B158" s="5">
        <v>2506162395</v>
      </c>
      <c r="C158" s="5" t="s">
        <v>570</v>
      </c>
      <c r="D158" s="5" t="s">
        <v>444</v>
      </c>
      <c r="E158" s="5" t="s">
        <v>445</v>
      </c>
      <c r="F158" s="5" t="s">
        <v>109</v>
      </c>
      <c r="G158" s="5" t="s">
        <v>52</v>
      </c>
      <c r="H158" s="5" t="s">
        <v>543</v>
      </c>
      <c r="I158" s="5">
        <v>202500335</v>
      </c>
      <c r="J158" s="5"/>
      <c r="K158" s="6">
        <v>45824</v>
      </c>
      <c r="L158" s="6">
        <v>45827</v>
      </c>
      <c r="M158" s="5" t="s">
        <v>53</v>
      </c>
      <c r="N158" s="5" t="s">
        <v>54</v>
      </c>
      <c r="O158" s="5" t="s">
        <v>41</v>
      </c>
      <c r="P158" s="30">
        <v>3</v>
      </c>
      <c r="Q158" s="41">
        <v>3807.6615384615384</v>
      </c>
      <c r="R158" s="41">
        <v>5950</v>
      </c>
      <c r="S158" s="8">
        <f t="shared" si="2"/>
        <v>2142.3384615384616</v>
      </c>
    </row>
    <row r="159" spans="1:19">
      <c r="A159" s="5">
        <v>158</v>
      </c>
      <c r="B159" s="5">
        <v>2506162402</v>
      </c>
      <c r="C159" s="5" t="s">
        <v>571</v>
      </c>
      <c r="D159" s="5" t="s">
        <v>572</v>
      </c>
      <c r="E159" s="5" t="s">
        <v>573</v>
      </c>
      <c r="F159" s="5" t="s">
        <v>87</v>
      </c>
      <c r="G159" s="5" t="s">
        <v>52</v>
      </c>
      <c r="H159" s="5" t="s">
        <v>543</v>
      </c>
      <c r="I159" s="5">
        <v>202500336</v>
      </c>
      <c r="J159" s="5"/>
      <c r="K159" s="6">
        <v>45824</v>
      </c>
      <c r="L159" s="6">
        <v>45827</v>
      </c>
      <c r="M159" s="5" t="s">
        <v>53</v>
      </c>
      <c r="N159" s="5" t="s">
        <v>54</v>
      </c>
      <c r="O159" s="5" t="s">
        <v>41</v>
      </c>
      <c r="P159" s="30">
        <v>3</v>
      </c>
      <c r="Q159" s="41">
        <v>3807.6615384615384</v>
      </c>
      <c r="R159" s="41">
        <v>6000</v>
      </c>
      <c r="S159" s="8">
        <f t="shared" si="2"/>
        <v>2192.3384615384616</v>
      </c>
    </row>
    <row r="160" spans="1:19">
      <c r="A160" s="5">
        <v>159</v>
      </c>
      <c r="B160" s="5">
        <v>2506170023</v>
      </c>
      <c r="C160" s="5" t="s">
        <v>574</v>
      </c>
      <c r="D160" s="5" t="s">
        <v>405</v>
      </c>
      <c r="E160" s="5" t="s">
        <v>459</v>
      </c>
      <c r="F160" s="5" t="s">
        <v>202</v>
      </c>
      <c r="G160" s="5" t="s">
        <v>52</v>
      </c>
      <c r="H160" s="5" t="s">
        <v>543</v>
      </c>
      <c r="I160" s="5">
        <v>202500337</v>
      </c>
      <c r="J160" s="5"/>
      <c r="K160" s="6">
        <v>45825</v>
      </c>
      <c r="L160" s="6">
        <v>45827</v>
      </c>
      <c r="M160" s="5" t="s">
        <v>53</v>
      </c>
      <c r="N160" s="5" t="s">
        <v>54</v>
      </c>
      <c r="O160" s="5" t="s">
        <v>41</v>
      </c>
      <c r="P160" s="30">
        <v>2</v>
      </c>
      <c r="Q160" s="41">
        <v>3807.6615384615384</v>
      </c>
      <c r="R160" s="41">
        <v>6450</v>
      </c>
      <c r="S160" s="8">
        <f t="shared" si="2"/>
        <v>2642.3384615384616</v>
      </c>
    </row>
    <row r="161" spans="1:19">
      <c r="A161" s="5">
        <v>160</v>
      </c>
      <c r="B161" s="5">
        <v>2506170783</v>
      </c>
      <c r="C161" s="5" t="s">
        <v>575</v>
      </c>
      <c r="D161" s="5" t="s">
        <v>136</v>
      </c>
      <c r="E161" s="5" t="s">
        <v>137</v>
      </c>
      <c r="F161" s="5" t="s">
        <v>87</v>
      </c>
      <c r="G161" s="5" t="s">
        <v>52</v>
      </c>
      <c r="H161" s="5" t="s">
        <v>543</v>
      </c>
      <c r="I161" s="5">
        <v>202500338</v>
      </c>
      <c r="J161" s="5"/>
      <c r="K161" s="6">
        <v>45825</v>
      </c>
      <c r="L161" s="6">
        <v>45827</v>
      </c>
      <c r="M161" s="5" t="s">
        <v>53</v>
      </c>
      <c r="N161" s="5" t="s">
        <v>54</v>
      </c>
      <c r="O161" s="5" t="s">
        <v>41</v>
      </c>
      <c r="P161" s="30">
        <v>2</v>
      </c>
      <c r="Q161" s="41">
        <v>3807.6615384615384</v>
      </c>
      <c r="R161" s="41">
        <v>6000</v>
      </c>
      <c r="S161" s="8">
        <f t="shared" si="2"/>
        <v>2192.3384615384616</v>
      </c>
    </row>
    <row r="162" spans="1:19">
      <c r="A162" s="5">
        <v>161</v>
      </c>
      <c r="B162" s="5" t="s">
        <v>576</v>
      </c>
      <c r="C162" s="5"/>
      <c r="D162" s="5"/>
      <c r="E162" s="5"/>
      <c r="F162" s="5"/>
      <c r="G162" s="5" t="s">
        <v>52</v>
      </c>
      <c r="H162" s="5"/>
      <c r="I162" s="5"/>
      <c r="J162" s="5"/>
      <c r="K162" s="5"/>
      <c r="L162" s="5"/>
      <c r="M162" s="5"/>
      <c r="N162" s="5"/>
      <c r="O162" s="5"/>
      <c r="P162" s="5"/>
      <c r="Q162" s="41">
        <v>3807.6615384615384</v>
      </c>
      <c r="R162" s="41">
        <v>0</v>
      </c>
      <c r="S162" s="8">
        <f t="shared" si="2"/>
        <v>-3807.6615384615384</v>
      </c>
    </row>
    <row r="163" spans="1:19">
      <c r="A163" s="5">
        <v>162</v>
      </c>
      <c r="B163" s="5" t="s">
        <v>577</v>
      </c>
      <c r="C163" s="5"/>
      <c r="D163" s="5"/>
      <c r="E163" s="5"/>
      <c r="F163" s="5"/>
      <c r="G163" s="5" t="s">
        <v>52</v>
      </c>
      <c r="H163" s="5"/>
      <c r="I163" s="5"/>
      <c r="J163" s="5"/>
      <c r="K163" s="5"/>
      <c r="L163" s="5"/>
      <c r="M163" s="5"/>
      <c r="N163" s="5"/>
      <c r="O163" s="5"/>
      <c r="P163" s="5"/>
      <c r="Q163" s="41">
        <v>3807.6615384615384</v>
      </c>
      <c r="R163" s="41">
        <v>0</v>
      </c>
      <c r="S163" s="8">
        <f t="shared" si="2"/>
        <v>-3807.6615384615384</v>
      </c>
    </row>
    <row r="164" spans="1:19">
      <c r="A164" s="5">
        <v>163</v>
      </c>
      <c r="B164" s="5">
        <v>2506210055</v>
      </c>
      <c r="C164" s="5" t="s">
        <v>578</v>
      </c>
      <c r="D164" s="5" t="s">
        <v>228</v>
      </c>
      <c r="E164" s="5" t="s">
        <v>229</v>
      </c>
      <c r="F164" s="5" t="s">
        <v>169</v>
      </c>
      <c r="G164" s="5" t="s">
        <v>75</v>
      </c>
      <c r="H164" s="5" t="s">
        <v>579</v>
      </c>
      <c r="I164" s="5">
        <v>202500339</v>
      </c>
      <c r="J164" s="5"/>
      <c r="K164" s="6">
        <v>45829</v>
      </c>
      <c r="L164" s="6">
        <v>45832</v>
      </c>
      <c r="M164" s="5" t="s">
        <v>53</v>
      </c>
      <c r="N164" s="5" t="s">
        <v>54</v>
      </c>
      <c r="O164" s="5" t="s">
        <v>41</v>
      </c>
      <c r="P164" s="30">
        <v>3</v>
      </c>
      <c r="Q164" s="7">
        <v>3807.6615384615384</v>
      </c>
      <c r="R164" s="7">
        <v>4500</v>
      </c>
      <c r="S164" s="8">
        <f t="shared" si="2"/>
        <v>692.33846153846162</v>
      </c>
    </row>
    <row r="165" spans="1:19">
      <c r="A165" s="5">
        <v>164</v>
      </c>
      <c r="B165" s="5">
        <v>2506173275</v>
      </c>
      <c r="C165" s="5" t="s">
        <v>580</v>
      </c>
      <c r="D165" s="5" t="s">
        <v>581</v>
      </c>
      <c r="E165" s="5" t="s">
        <v>582</v>
      </c>
      <c r="F165" s="5" t="s">
        <v>202</v>
      </c>
      <c r="G165" s="5" t="s">
        <v>75</v>
      </c>
      <c r="H165" s="5" t="s">
        <v>579</v>
      </c>
      <c r="I165" s="5">
        <v>202500340</v>
      </c>
      <c r="J165" s="5"/>
      <c r="K165" s="6">
        <v>45825</v>
      </c>
      <c r="L165" s="6">
        <v>45832</v>
      </c>
      <c r="M165" s="5" t="s">
        <v>53</v>
      </c>
      <c r="N165" s="5" t="s">
        <v>54</v>
      </c>
      <c r="O165" s="5" t="s">
        <v>41</v>
      </c>
      <c r="P165" s="30">
        <v>7</v>
      </c>
      <c r="Q165" s="7">
        <v>3807.6615384615384</v>
      </c>
      <c r="R165" s="7">
        <v>5900</v>
      </c>
      <c r="S165" s="8">
        <f t="shared" si="2"/>
        <v>2092.3384615384616</v>
      </c>
    </row>
    <row r="166" spans="1:19">
      <c r="A166" s="5">
        <v>165</v>
      </c>
      <c r="B166" s="5">
        <v>2506171610</v>
      </c>
      <c r="C166" s="5" t="s">
        <v>583</v>
      </c>
      <c r="D166" s="5" t="s">
        <v>40</v>
      </c>
      <c r="E166" s="5" t="s">
        <v>41</v>
      </c>
      <c r="F166" s="5" t="s">
        <v>42</v>
      </c>
      <c r="G166" s="5" t="s">
        <v>190</v>
      </c>
      <c r="H166" s="5" t="s">
        <v>579</v>
      </c>
      <c r="I166" s="5">
        <v>202500341</v>
      </c>
      <c r="J166" s="5"/>
      <c r="K166" s="6">
        <v>45825</v>
      </c>
      <c r="L166" s="6">
        <v>45832</v>
      </c>
      <c r="M166" s="5" t="s">
        <v>53</v>
      </c>
      <c r="N166" s="5" t="s">
        <v>54</v>
      </c>
      <c r="O166" s="5" t="s">
        <v>41</v>
      </c>
      <c r="P166" s="30">
        <v>7</v>
      </c>
      <c r="Q166" s="7">
        <v>3807.6615384615384</v>
      </c>
      <c r="R166" s="7">
        <v>13500</v>
      </c>
      <c r="S166" s="8">
        <f t="shared" si="2"/>
        <v>9692.3384615384621</v>
      </c>
    </row>
    <row r="167" spans="1:19">
      <c r="A167" s="5">
        <v>166</v>
      </c>
      <c r="B167" s="5">
        <v>2506173234</v>
      </c>
      <c r="C167" s="5" t="s">
        <v>584</v>
      </c>
      <c r="D167" s="5" t="s">
        <v>405</v>
      </c>
      <c r="E167" s="5" t="s">
        <v>526</v>
      </c>
      <c r="F167" s="5" t="s">
        <v>202</v>
      </c>
      <c r="G167" s="5" t="s">
        <v>52</v>
      </c>
      <c r="H167" s="5" t="s">
        <v>579</v>
      </c>
      <c r="I167" s="5">
        <v>202500342</v>
      </c>
      <c r="J167" s="5"/>
      <c r="K167" s="6">
        <v>45825</v>
      </c>
      <c r="L167" s="6">
        <v>45832</v>
      </c>
      <c r="M167" s="5" t="s">
        <v>53</v>
      </c>
      <c r="N167" s="5" t="s">
        <v>54</v>
      </c>
      <c r="O167" s="5" t="s">
        <v>41</v>
      </c>
      <c r="P167" s="30">
        <v>7</v>
      </c>
      <c r="Q167" s="7">
        <v>3807.6615384615384</v>
      </c>
      <c r="R167" s="7">
        <v>6450</v>
      </c>
      <c r="S167" s="8">
        <f t="shared" si="2"/>
        <v>2642.3384615384616</v>
      </c>
    </row>
    <row r="168" spans="1:19">
      <c r="A168" s="5">
        <v>167</v>
      </c>
      <c r="B168" s="5">
        <v>2506173255</v>
      </c>
      <c r="C168" s="5" t="s">
        <v>585</v>
      </c>
      <c r="D168" s="5" t="s">
        <v>306</v>
      </c>
      <c r="E168" s="5" t="s">
        <v>306</v>
      </c>
      <c r="F168" s="5" t="s">
        <v>169</v>
      </c>
      <c r="G168" s="5" t="s">
        <v>52</v>
      </c>
      <c r="H168" s="5" t="s">
        <v>579</v>
      </c>
      <c r="I168" s="5">
        <v>202500343</v>
      </c>
      <c r="J168" s="5"/>
      <c r="K168" s="6">
        <v>45825</v>
      </c>
      <c r="L168" s="6">
        <v>45832</v>
      </c>
      <c r="M168" s="5" t="s">
        <v>53</v>
      </c>
      <c r="N168" s="5" t="s">
        <v>54</v>
      </c>
      <c r="O168" s="5" t="s">
        <v>41</v>
      </c>
      <c r="P168" s="30">
        <v>7</v>
      </c>
      <c r="Q168" s="7">
        <v>3807.6615384615384</v>
      </c>
      <c r="R168" s="7">
        <v>5500</v>
      </c>
      <c r="S168" s="8">
        <f t="shared" si="2"/>
        <v>1692.3384615384616</v>
      </c>
    </row>
    <row r="169" spans="1:19">
      <c r="A169" s="5">
        <v>168</v>
      </c>
      <c r="B169" s="5">
        <v>2506173259</v>
      </c>
      <c r="C169" s="5" t="s">
        <v>586</v>
      </c>
      <c r="D169" s="5" t="s">
        <v>444</v>
      </c>
      <c r="E169" s="5" t="s">
        <v>445</v>
      </c>
      <c r="F169" s="5" t="s">
        <v>109</v>
      </c>
      <c r="G169" s="5" t="s">
        <v>52</v>
      </c>
      <c r="H169" s="5" t="s">
        <v>579</v>
      </c>
      <c r="I169" s="5">
        <v>202500344</v>
      </c>
      <c r="J169" s="5"/>
      <c r="K169" s="6">
        <v>45825</v>
      </c>
      <c r="L169" s="6">
        <v>45832</v>
      </c>
      <c r="M169" s="5" t="s">
        <v>53</v>
      </c>
      <c r="N169" s="5" t="s">
        <v>54</v>
      </c>
      <c r="O169" s="5" t="s">
        <v>41</v>
      </c>
      <c r="P169" s="30">
        <v>7</v>
      </c>
      <c r="Q169" s="7">
        <v>3807.6615384615384</v>
      </c>
      <c r="R169" s="7">
        <v>5950</v>
      </c>
      <c r="S169" s="8">
        <f t="shared" si="2"/>
        <v>2142.3384615384616</v>
      </c>
    </row>
    <row r="170" spans="1:19">
      <c r="A170" s="5">
        <v>169</v>
      </c>
      <c r="B170" s="5">
        <v>2506173262</v>
      </c>
      <c r="C170" s="5" t="s">
        <v>587</v>
      </c>
      <c r="D170" s="5" t="s">
        <v>444</v>
      </c>
      <c r="E170" s="5" t="s">
        <v>445</v>
      </c>
      <c r="F170" s="5" t="s">
        <v>109</v>
      </c>
      <c r="G170" s="5" t="s">
        <v>52</v>
      </c>
      <c r="H170" s="5" t="s">
        <v>579</v>
      </c>
      <c r="I170" s="5">
        <v>202500345</v>
      </c>
      <c r="J170" s="5"/>
      <c r="K170" s="6">
        <v>45825</v>
      </c>
      <c r="L170" s="6">
        <v>45832</v>
      </c>
      <c r="M170" s="5" t="s">
        <v>53</v>
      </c>
      <c r="N170" s="5" t="s">
        <v>54</v>
      </c>
      <c r="O170" s="5" t="s">
        <v>41</v>
      </c>
      <c r="P170" s="30">
        <v>7</v>
      </c>
      <c r="Q170" s="7">
        <v>3807.6615384615384</v>
      </c>
      <c r="R170" s="7">
        <v>5950</v>
      </c>
      <c r="S170" s="8">
        <f t="shared" si="2"/>
        <v>2142.3384615384616</v>
      </c>
    </row>
    <row r="171" spans="1:19">
      <c r="A171" s="5">
        <v>170</v>
      </c>
      <c r="B171" s="5">
        <v>2506173269</v>
      </c>
      <c r="C171" s="5" t="s">
        <v>588</v>
      </c>
      <c r="D171" s="5" t="s">
        <v>564</v>
      </c>
      <c r="E171" s="5" t="s">
        <v>589</v>
      </c>
      <c r="F171" s="5" t="s">
        <v>71</v>
      </c>
      <c r="G171" s="5" t="s">
        <v>52</v>
      </c>
      <c r="H171" s="5" t="s">
        <v>579</v>
      </c>
      <c r="I171" s="5">
        <v>202500346</v>
      </c>
      <c r="J171" s="5"/>
      <c r="K171" s="6">
        <v>45825</v>
      </c>
      <c r="L171" s="6">
        <v>45832</v>
      </c>
      <c r="M171" s="5" t="s">
        <v>53</v>
      </c>
      <c r="N171" s="5" t="s">
        <v>54</v>
      </c>
      <c r="O171" s="5" t="s">
        <v>41</v>
      </c>
      <c r="P171" s="30">
        <v>7</v>
      </c>
      <c r="Q171" s="7">
        <v>3807.6615384615384</v>
      </c>
      <c r="R171" s="7">
        <v>8500</v>
      </c>
      <c r="S171" s="8">
        <f t="shared" si="2"/>
        <v>4692.3384615384621</v>
      </c>
    </row>
    <row r="172" spans="1:19">
      <c r="A172" s="5">
        <v>171</v>
      </c>
      <c r="B172" s="5">
        <v>2506180788</v>
      </c>
      <c r="C172" s="5" t="s">
        <v>590</v>
      </c>
      <c r="D172" s="5" t="s">
        <v>64</v>
      </c>
      <c r="E172" s="5" t="s">
        <v>65</v>
      </c>
      <c r="F172" s="5" t="s">
        <v>66</v>
      </c>
      <c r="G172" s="5" t="s">
        <v>52</v>
      </c>
      <c r="H172" s="5" t="s">
        <v>579</v>
      </c>
      <c r="I172" s="5">
        <v>202500347</v>
      </c>
      <c r="J172" s="5"/>
      <c r="K172" s="6">
        <v>45826</v>
      </c>
      <c r="L172" s="6">
        <v>45832</v>
      </c>
      <c r="M172" s="5" t="s">
        <v>53</v>
      </c>
      <c r="N172" s="5" t="s">
        <v>54</v>
      </c>
      <c r="O172" s="5" t="s">
        <v>41</v>
      </c>
      <c r="P172" s="30">
        <v>6</v>
      </c>
      <c r="Q172" s="7">
        <v>3807.6615384615384</v>
      </c>
      <c r="R172" s="7">
        <v>5500</v>
      </c>
      <c r="S172" s="8">
        <f t="shared" si="2"/>
        <v>1692.3384615384616</v>
      </c>
    </row>
    <row r="173" spans="1:19">
      <c r="A173" s="5">
        <v>172</v>
      </c>
      <c r="B173" s="9">
        <v>2506180673</v>
      </c>
      <c r="C173" s="9" t="s">
        <v>591</v>
      </c>
      <c r="D173" s="9" t="s">
        <v>40</v>
      </c>
      <c r="E173" s="9" t="s">
        <v>41</v>
      </c>
      <c r="F173" s="9" t="s">
        <v>42</v>
      </c>
      <c r="G173" s="9" t="s">
        <v>43</v>
      </c>
      <c r="H173" s="9" t="s">
        <v>579</v>
      </c>
      <c r="I173" s="9">
        <v>202500348</v>
      </c>
      <c r="J173" s="9"/>
      <c r="K173" s="10">
        <v>45826</v>
      </c>
      <c r="L173" s="10">
        <v>45832</v>
      </c>
      <c r="M173" s="9" t="s">
        <v>45</v>
      </c>
      <c r="N173" s="9" t="s">
        <v>94</v>
      </c>
      <c r="O173" s="9" t="s">
        <v>389</v>
      </c>
      <c r="P173" s="32">
        <v>6</v>
      </c>
      <c r="Q173" s="11">
        <v>3807.6615384615384</v>
      </c>
      <c r="R173" s="11">
        <v>14500</v>
      </c>
      <c r="S173" s="12">
        <f t="shared" si="2"/>
        <v>10692.338461538462</v>
      </c>
    </row>
    <row r="174" spans="1:19">
      <c r="A174" s="5">
        <v>173</v>
      </c>
      <c r="B174" s="5">
        <v>2506181627</v>
      </c>
      <c r="C174" s="5" t="s">
        <v>592</v>
      </c>
      <c r="D174" s="5" t="s">
        <v>564</v>
      </c>
      <c r="E174" s="5" t="s">
        <v>589</v>
      </c>
      <c r="F174" s="5" t="s">
        <v>71</v>
      </c>
      <c r="G174" s="5" t="s">
        <v>75</v>
      </c>
      <c r="H174" s="5" t="s">
        <v>579</v>
      </c>
      <c r="I174" s="5">
        <v>202500349</v>
      </c>
      <c r="J174" s="5"/>
      <c r="K174" s="6">
        <v>45826</v>
      </c>
      <c r="L174" s="6">
        <v>45832</v>
      </c>
      <c r="M174" s="5" t="s">
        <v>53</v>
      </c>
      <c r="N174" s="5" t="s">
        <v>54</v>
      </c>
      <c r="O174" s="5" t="s">
        <v>41</v>
      </c>
      <c r="P174" s="30">
        <v>6</v>
      </c>
      <c r="Q174" s="7">
        <v>3807.6615384615384</v>
      </c>
      <c r="R174" s="7">
        <v>4900</v>
      </c>
      <c r="S174" s="8">
        <f t="shared" si="2"/>
        <v>1092.3384615384616</v>
      </c>
    </row>
    <row r="175" spans="1:19">
      <c r="A175" s="5">
        <v>174</v>
      </c>
      <c r="B175" s="5">
        <v>2506183370</v>
      </c>
      <c r="C175" s="5" t="s">
        <v>593</v>
      </c>
      <c r="D175" s="5" t="s">
        <v>537</v>
      </c>
      <c r="E175" s="5" t="s">
        <v>538</v>
      </c>
      <c r="F175" s="5" t="s">
        <v>66</v>
      </c>
      <c r="G175" s="5" t="s">
        <v>75</v>
      </c>
      <c r="H175" s="5" t="s">
        <v>579</v>
      </c>
      <c r="I175" s="5">
        <v>202500350</v>
      </c>
      <c r="J175" s="5"/>
      <c r="K175" s="6">
        <v>45826</v>
      </c>
      <c r="L175" s="6">
        <v>45832</v>
      </c>
      <c r="M175" s="5" t="s">
        <v>53</v>
      </c>
      <c r="N175" s="5" t="s">
        <v>54</v>
      </c>
      <c r="O175" s="5" t="s">
        <v>41</v>
      </c>
      <c r="P175" s="30">
        <v>6</v>
      </c>
      <c r="Q175" s="7">
        <v>3807.6615384615384</v>
      </c>
      <c r="R175" s="7">
        <v>4900</v>
      </c>
      <c r="S175" s="8">
        <f t="shared" si="2"/>
        <v>1092.3384615384616</v>
      </c>
    </row>
    <row r="176" spans="1:19">
      <c r="A176" s="5">
        <v>175</v>
      </c>
      <c r="B176" s="5">
        <v>2506193263</v>
      </c>
      <c r="C176" s="5" t="s">
        <v>594</v>
      </c>
      <c r="D176" s="5" t="s">
        <v>572</v>
      </c>
      <c r="E176" s="5" t="s">
        <v>595</v>
      </c>
      <c r="F176" s="5" t="s">
        <v>87</v>
      </c>
      <c r="G176" s="5" t="s">
        <v>52</v>
      </c>
      <c r="H176" s="5" t="s">
        <v>579</v>
      </c>
      <c r="I176" s="5">
        <v>202500351</v>
      </c>
      <c r="J176" s="5"/>
      <c r="K176" s="6">
        <v>45827</v>
      </c>
      <c r="L176" s="6">
        <v>45832</v>
      </c>
      <c r="M176" s="5" t="s">
        <v>53</v>
      </c>
      <c r="N176" s="5" t="s">
        <v>54</v>
      </c>
      <c r="O176" s="5" t="s">
        <v>41</v>
      </c>
      <c r="P176" s="30">
        <v>5</v>
      </c>
      <c r="Q176" s="7">
        <v>3807.6615384615384</v>
      </c>
      <c r="R176" s="7">
        <v>6000</v>
      </c>
      <c r="S176" s="8">
        <f t="shared" si="2"/>
        <v>2192.3384615384616</v>
      </c>
    </row>
    <row r="177" spans="1:19">
      <c r="A177" s="5">
        <v>176</v>
      </c>
      <c r="B177" s="5">
        <v>2506193266</v>
      </c>
      <c r="C177" s="5" t="s">
        <v>596</v>
      </c>
      <c r="D177" s="5" t="s">
        <v>550</v>
      </c>
      <c r="E177" s="5" t="s">
        <v>597</v>
      </c>
      <c r="F177" s="5" t="s">
        <v>51</v>
      </c>
      <c r="G177" s="5" t="s">
        <v>52</v>
      </c>
      <c r="H177" s="5" t="s">
        <v>579</v>
      </c>
      <c r="I177" s="5">
        <v>202500352</v>
      </c>
      <c r="J177" s="5"/>
      <c r="K177" s="6">
        <v>45827</v>
      </c>
      <c r="L177" s="6">
        <v>45832</v>
      </c>
      <c r="M177" s="5" t="s">
        <v>53</v>
      </c>
      <c r="N177" s="5" t="s">
        <v>54</v>
      </c>
      <c r="O177" s="5" t="s">
        <v>41</v>
      </c>
      <c r="P177" s="30">
        <v>5</v>
      </c>
      <c r="Q177" s="7">
        <v>3807.6615384615384</v>
      </c>
      <c r="R177" s="7">
        <v>7000</v>
      </c>
      <c r="S177" s="8">
        <f t="shared" si="2"/>
        <v>3192.3384615384616</v>
      </c>
    </row>
    <row r="178" spans="1:19">
      <c r="A178" s="5">
        <v>177</v>
      </c>
      <c r="B178" s="22">
        <v>2505311299</v>
      </c>
      <c r="C178" s="22" t="s">
        <v>382</v>
      </c>
      <c r="D178" s="22" t="s">
        <v>83</v>
      </c>
      <c r="E178" s="22" t="s">
        <v>84</v>
      </c>
      <c r="F178" s="22" t="s">
        <v>62</v>
      </c>
      <c r="G178" s="22" t="s">
        <v>52</v>
      </c>
      <c r="H178" s="22" t="s">
        <v>579</v>
      </c>
      <c r="I178" s="22">
        <v>202500353</v>
      </c>
      <c r="J178" s="22"/>
      <c r="K178" s="23">
        <v>45827</v>
      </c>
      <c r="L178" s="23">
        <v>45832</v>
      </c>
      <c r="M178" s="22" t="s">
        <v>53</v>
      </c>
      <c r="N178" s="22" t="s">
        <v>54</v>
      </c>
      <c r="O178" s="22" t="s">
        <v>425</v>
      </c>
      <c r="P178" s="34">
        <v>5</v>
      </c>
      <c r="Q178" s="24">
        <v>3807.6615384615384</v>
      </c>
      <c r="R178" s="24">
        <v>0</v>
      </c>
      <c r="S178" s="25">
        <f t="shared" si="2"/>
        <v>-3807.6615384615384</v>
      </c>
    </row>
    <row r="179" spans="1:19">
      <c r="A179" s="5">
        <v>178</v>
      </c>
      <c r="B179" s="5">
        <v>2506193268</v>
      </c>
      <c r="C179" s="5" t="s">
        <v>598</v>
      </c>
      <c r="D179" s="5" t="s">
        <v>599</v>
      </c>
      <c r="E179" s="5" t="s">
        <v>598</v>
      </c>
      <c r="F179" s="5" t="s">
        <v>169</v>
      </c>
      <c r="G179" s="5" t="s">
        <v>75</v>
      </c>
      <c r="H179" s="5" t="s">
        <v>579</v>
      </c>
      <c r="I179" s="5">
        <v>202500354</v>
      </c>
      <c r="J179" s="5"/>
      <c r="K179" s="6">
        <v>45827</v>
      </c>
      <c r="L179" s="6">
        <v>45832</v>
      </c>
      <c r="M179" s="5" t="s">
        <v>53</v>
      </c>
      <c r="N179" s="5" t="s">
        <v>54</v>
      </c>
      <c r="O179" s="5" t="s">
        <v>41</v>
      </c>
      <c r="P179" s="30">
        <v>5</v>
      </c>
      <c r="Q179" s="7">
        <v>3807.6615384615384</v>
      </c>
      <c r="R179" s="7">
        <v>5000</v>
      </c>
      <c r="S179" s="8">
        <f t="shared" si="2"/>
        <v>1192.3384615384616</v>
      </c>
    </row>
    <row r="180" spans="1:19">
      <c r="A180" s="5">
        <v>179</v>
      </c>
      <c r="B180" s="17">
        <v>2506203059</v>
      </c>
      <c r="C180" s="17" t="s">
        <v>600</v>
      </c>
      <c r="D180" s="17" t="s">
        <v>405</v>
      </c>
      <c r="E180" s="17" t="s">
        <v>600</v>
      </c>
      <c r="F180" s="17" t="s">
        <v>202</v>
      </c>
      <c r="G180" s="17" t="s">
        <v>52</v>
      </c>
      <c r="H180" s="17" t="s">
        <v>579</v>
      </c>
      <c r="I180" s="17">
        <v>202500355</v>
      </c>
      <c r="J180" s="17"/>
      <c r="K180" s="18">
        <v>45828</v>
      </c>
      <c r="L180" s="18">
        <v>45832</v>
      </c>
      <c r="M180" s="17" t="s">
        <v>53</v>
      </c>
      <c r="N180" s="17" t="s">
        <v>480</v>
      </c>
      <c r="O180" s="17" t="s">
        <v>601</v>
      </c>
      <c r="P180" s="31">
        <v>4</v>
      </c>
      <c r="Q180" s="19">
        <v>3807.6615384615384</v>
      </c>
      <c r="R180" s="19">
        <v>6450</v>
      </c>
      <c r="S180" s="20">
        <f t="shared" si="2"/>
        <v>2642.3384615384616</v>
      </c>
    </row>
    <row r="181" spans="1:19">
      <c r="A181" s="5">
        <v>180</v>
      </c>
      <c r="B181" s="5">
        <v>2506203061</v>
      </c>
      <c r="C181" s="5" t="s">
        <v>602</v>
      </c>
      <c r="D181" s="5" t="s">
        <v>405</v>
      </c>
      <c r="E181" s="5" t="s">
        <v>602</v>
      </c>
      <c r="F181" s="5" t="s">
        <v>202</v>
      </c>
      <c r="G181" s="5" t="s">
        <v>52</v>
      </c>
      <c r="H181" s="5" t="s">
        <v>579</v>
      </c>
      <c r="I181" s="5">
        <v>202500356</v>
      </c>
      <c r="J181" s="5"/>
      <c r="K181" s="6">
        <v>45828</v>
      </c>
      <c r="L181" s="6">
        <v>45832</v>
      </c>
      <c r="M181" s="5" t="s">
        <v>53</v>
      </c>
      <c r="N181" s="5" t="s">
        <v>54</v>
      </c>
      <c r="O181" s="5" t="s">
        <v>41</v>
      </c>
      <c r="P181" s="30">
        <v>4</v>
      </c>
      <c r="Q181" s="7">
        <v>3807.6615384615384</v>
      </c>
      <c r="R181" s="7">
        <v>6450</v>
      </c>
      <c r="S181" s="8">
        <f t="shared" si="2"/>
        <v>2642.3384615384616</v>
      </c>
    </row>
    <row r="182" spans="1:19">
      <c r="A182" s="5">
        <v>181</v>
      </c>
      <c r="B182" s="5">
        <v>2506203067</v>
      </c>
      <c r="C182" s="5" t="s">
        <v>603</v>
      </c>
      <c r="D182" s="5" t="s">
        <v>405</v>
      </c>
      <c r="E182" s="5" t="s">
        <v>603</v>
      </c>
      <c r="F182" s="5" t="s">
        <v>202</v>
      </c>
      <c r="G182" s="5" t="s">
        <v>52</v>
      </c>
      <c r="H182" s="5" t="s">
        <v>579</v>
      </c>
      <c r="I182" s="5">
        <v>202500357</v>
      </c>
      <c r="J182" s="5"/>
      <c r="K182" s="6">
        <v>45828</v>
      </c>
      <c r="L182" s="6">
        <v>45832</v>
      </c>
      <c r="M182" s="5" t="s">
        <v>53</v>
      </c>
      <c r="N182" s="5" t="s">
        <v>54</v>
      </c>
      <c r="O182" s="5" t="s">
        <v>41</v>
      </c>
      <c r="P182" s="30">
        <v>4</v>
      </c>
      <c r="Q182" s="7">
        <v>3807.6615384615384</v>
      </c>
      <c r="R182" s="7">
        <v>6450</v>
      </c>
      <c r="S182" s="8">
        <f t="shared" si="2"/>
        <v>2642.3384615384616</v>
      </c>
    </row>
    <row r="183" spans="1:19">
      <c r="A183" s="5">
        <v>182</v>
      </c>
      <c r="B183" s="5">
        <v>2506203068</v>
      </c>
      <c r="C183" s="5" t="s">
        <v>604</v>
      </c>
      <c r="D183" s="5" t="s">
        <v>393</v>
      </c>
      <c r="E183" s="5" t="s">
        <v>604</v>
      </c>
      <c r="F183" s="5" t="s">
        <v>202</v>
      </c>
      <c r="G183" s="5" t="s">
        <v>43</v>
      </c>
      <c r="H183" s="5" t="s">
        <v>579</v>
      </c>
      <c r="I183" s="5">
        <v>202500358</v>
      </c>
      <c r="J183" s="5"/>
      <c r="K183" s="6">
        <v>45828</v>
      </c>
      <c r="L183" s="6">
        <v>45832</v>
      </c>
      <c r="M183" s="5" t="s">
        <v>53</v>
      </c>
      <c r="N183" s="5" t="s">
        <v>54</v>
      </c>
      <c r="O183" s="5" t="s">
        <v>41</v>
      </c>
      <c r="P183" s="30">
        <v>4</v>
      </c>
      <c r="Q183" s="7">
        <v>3807.6615384615384</v>
      </c>
      <c r="R183" s="7">
        <v>13500</v>
      </c>
      <c r="S183" s="8">
        <f t="shared" si="2"/>
        <v>9692.3384615384621</v>
      </c>
    </row>
    <row r="184" spans="1:19">
      <c r="A184" s="5">
        <v>183</v>
      </c>
      <c r="B184" s="5">
        <v>2506203091</v>
      </c>
      <c r="C184" s="5" t="s">
        <v>605</v>
      </c>
      <c r="D184" s="5" t="s">
        <v>321</v>
      </c>
      <c r="E184" s="5" t="s">
        <v>605</v>
      </c>
      <c r="F184" s="5" t="s">
        <v>202</v>
      </c>
      <c r="G184" s="5" t="s">
        <v>75</v>
      </c>
      <c r="H184" s="5" t="s">
        <v>579</v>
      </c>
      <c r="I184" s="5">
        <v>202500359</v>
      </c>
      <c r="J184" s="5"/>
      <c r="K184" s="6">
        <v>45828</v>
      </c>
      <c r="L184" s="6">
        <v>45832</v>
      </c>
      <c r="M184" s="5" t="s">
        <v>53</v>
      </c>
      <c r="N184" s="5" t="s">
        <v>54</v>
      </c>
      <c r="O184" s="5" t="s">
        <v>41</v>
      </c>
      <c r="P184" s="30">
        <v>4</v>
      </c>
      <c r="Q184" s="7">
        <v>3807.6615384615384</v>
      </c>
      <c r="R184" s="7">
        <v>4900</v>
      </c>
      <c r="S184" s="8">
        <f t="shared" si="2"/>
        <v>1092.3384615384616</v>
      </c>
    </row>
    <row r="185" spans="1:19">
      <c r="A185" s="5">
        <v>184</v>
      </c>
      <c r="B185" s="5">
        <v>2506210059</v>
      </c>
      <c r="C185" s="5" t="s">
        <v>606</v>
      </c>
      <c r="D185" s="5" t="s">
        <v>354</v>
      </c>
      <c r="E185" s="5" t="s">
        <v>355</v>
      </c>
      <c r="F185" s="5" t="s">
        <v>141</v>
      </c>
      <c r="G185" s="5" t="s">
        <v>52</v>
      </c>
      <c r="H185" s="5" t="s">
        <v>579</v>
      </c>
      <c r="I185" s="5">
        <v>202500360</v>
      </c>
      <c r="J185" s="5"/>
      <c r="K185" s="6">
        <v>45829</v>
      </c>
      <c r="L185" s="6">
        <v>45832</v>
      </c>
      <c r="M185" s="5" t="s">
        <v>53</v>
      </c>
      <c r="N185" s="5" t="s">
        <v>54</v>
      </c>
      <c r="O185" s="5" t="s">
        <v>41</v>
      </c>
      <c r="P185" s="30">
        <v>3</v>
      </c>
      <c r="Q185" s="7">
        <v>3807.6615384615384</v>
      </c>
      <c r="R185" s="7">
        <v>7000</v>
      </c>
      <c r="S185" s="8">
        <f t="shared" si="2"/>
        <v>3192.3384615384616</v>
      </c>
    </row>
    <row r="186" spans="1:19">
      <c r="A186" s="5">
        <v>185</v>
      </c>
      <c r="B186" s="5">
        <v>2506133165</v>
      </c>
      <c r="C186" s="5" t="s">
        <v>607</v>
      </c>
      <c r="D186" s="5" t="s">
        <v>354</v>
      </c>
      <c r="E186" s="5" t="s">
        <v>355</v>
      </c>
      <c r="F186" s="5" t="s">
        <v>141</v>
      </c>
      <c r="G186" s="5" t="s">
        <v>75</v>
      </c>
      <c r="H186" s="5" t="s">
        <v>579</v>
      </c>
      <c r="I186" s="5">
        <v>202500361</v>
      </c>
      <c r="J186" s="5"/>
      <c r="K186" s="6">
        <v>45829</v>
      </c>
      <c r="L186" s="6">
        <v>45832</v>
      </c>
      <c r="M186" s="5" t="s">
        <v>53</v>
      </c>
      <c r="N186" s="5" t="s">
        <v>54</v>
      </c>
      <c r="O186" s="5" t="s">
        <v>41</v>
      </c>
      <c r="P186" s="30">
        <v>3</v>
      </c>
      <c r="Q186" s="7">
        <v>3807.6615384615384</v>
      </c>
      <c r="R186" s="7">
        <v>4900</v>
      </c>
      <c r="S186" s="8">
        <f t="shared" si="2"/>
        <v>1092.3384615384616</v>
      </c>
    </row>
    <row r="187" spans="1:19">
      <c r="A187" s="5">
        <v>186</v>
      </c>
      <c r="B187" s="13">
        <v>2506162334</v>
      </c>
      <c r="C187" s="13" t="s">
        <v>559</v>
      </c>
      <c r="D187" s="13" t="s">
        <v>77</v>
      </c>
      <c r="E187" s="13" t="s">
        <v>78</v>
      </c>
      <c r="F187" s="13" t="s">
        <v>79</v>
      </c>
      <c r="G187" s="13" t="s">
        <v>52</v>
      </c>
      <c r="H187" s="13" t="s">
        <v>579</v>
      </c>
      <c r="I187" s="13">
        <v>202500362</v>
      </c>
      <c r="J187" s="13"/>
      <c r="K187" s="14">
        <v>45824</v>
      </c>
      <c r="L187" s="14">
        <v>45832</v>
      </c>
      <c r="M187" s="13" t="s">
        <v>45</v>
      </c>
      <c r="N187" s="13" t="s">
        <v>46</v>
      </c>
      <c r="O187" s="13" t="s">
        <v>608</v>
      </c>
      <c r="P187" s="35">
        <v>8</v>
      </c>
      <c r="Q187" s="15">
        <v>3807.6615384615384</v>
      </c>
      <c r="R187" s="15">
        <v>0</v>
      </c>
      <c r="S187" s="16">
        <f t="shared" si="2"/>
        <v>-3807.6615384615384</v>
      </c>
    </row>
    <row r="188" spans="1:19">
      <c r="A188" s="5">
        <v>187</v>
      </c>
      <c r="B188" s="5" t="s">
        <v>609</v>
      </c>
      <c r="C188" s="5"/>
      <c r="D188" s="5"/>
      <c r="E188" s="5"/>
      <c r="F188" s="5"/>
      <c r="G188" s="5" t="s">
        <v>52</v>
      </c>
      <c r="H188" s="5"/>
      <c r="I188" s="5"/>
      <c r="J188" s="5"/>
      <c r="K188" s="5"/>
      <c r="L188" s="5"/>
      <c r="M188" s="5"/>
      <c r="N188" s="5"/>
      <c r="O188" s="5"/>
      <c r="P188" s="5"/>
      <c r="Q188" s="7">
        <v>3807.6615384615384</v>
      </c>
      <c r="R188" s="7">
        <v>0</v>
      </c>
      <c r="S188" s="8">
        <f t="shared" si="2"/>
        <v>-3807.6615384615384</v>
      </c>
    </row>
    <row r="189" spans="1:19">
      <c r="A189" s="5">
        <v>188</v>
      </c>
      <c r="B189" s="5" t="s">
        <v>610</v>
      </c>
      <c r="C189" s="5"/>
      <c r="D189" s="5"/>
      <c r="E189" s="5"/>
      <c r="F189" s="5"/>
      <c r="G189" s="5" t="s">
        <v>52</v>
      </c>
      <c r="H189" s="5"/>
      <c r="I189" s="5"/>
      <c r="J189" s="5"/>
      <c r="K189" s="5"/>
      <c r="L189" s="5"/>
      <c r="M189" s="5"/>
      <c r="N189" s="5"/>
      <c r="O189" s="5"/>
      <c r="P189" s="5"/>
      <c r="Q189" s="7">
        <v>3807.6615384615384</v>
      </c>
      <c r="R189" s="7">
        <v>0</v>
      </c>
      <c r="S189" s="8">
        <f t="shared" si="2"/>
        <v>-3807.6615384615384</v>
      </c>
    </row>
    <row r="190" spans="1:19">
      <c r="A190" s="5">
        <v>189</v>
      </c>
      <c r="B190" s="5">
        <v>2506232297</v>
      </c>
      <c r="C190" s="5" t="s">
        <v>611</v>
      </c>
      <c r="D190" s="5" t="s">
        <v>564</v>
      </c>
      <c r="E190" s="5" t="s">
        <v>565</v>
      </c>
      <c r="F190" s="5" t="s">
        <v>71</v>
      </c>
      <c r="G190" s="5" t="s">
        <v>75</v>
      </c>
      <c r="H190" s="5" t="s">
        <v>612</v>
      </c>
      <c r="I190" s="5">
        <v>202500363</v>
      </c>
      <c r="J190" s="5"/>
      <c r="K190" s="6">
        <v>45831</v>
      </c>
      <c r="L190" s="6">
        <v>45834</v>
      </c>
      <c r="M190" s="5" t="s">
        <v>53</v>
      </c>
      <c r="N190" s="5" t="s">
        <v>54</v>
      </c>
      <c r="O190" s="5" t="s">
        <v>41</v>
      </c>
      <c r="P190" s="30">
        <v>3</v>
      </c>
      <c r="Q190" s="7">
        <v>3943.5679999999998</v>
      </c>
      <c r="R190" s="7">
        <v>4900</v>
      </c>
      <c r="S190" s="8">
        <f t="shared" si="2"/>
        <v>956.43200000000024</v>
      </c>
    </row>
    <row r="191" spans="1:19">
      <c r="A191" s="5">
        <v>190</v>
      </c>
      <c r="B191" s="5">
        <v>2506211512</v>
      </c>
      <c r="C191" s="5" t="s">
        <v>613</v>
      </c>
      <c r="D191" s="5" t="s">
        <v>167</v>
      </c>
      <c r="E191" s="5" t="s">
        <v>168</v>
      </c>
      <c r="F191" s="5" t="s">
        <v>169</v>
      </c>
      <c r="G191" s="5" t="s">
        <v>43</v>
      </c>
      <c r="H191" s="5" t="s">
        <v>612</v>
      </c>
      <c r="I191" s="5">
        <v>202500364</v>
      </c>
      <c r="J191" s="5"/>
      <c r="K191" s="6">
        <v>45829</v>
      </c>
      <c r="L191" s="6">
        <v>45834</v>
      </c>
      <c r="M191" s="5" t="s">
        <v>53</v>
      </c>
      <c r="N191" s="5" t="s">
        <v>54</v>
      </c>
      <c r="O191" s="5" t="s">
        <v>41</v>
      </c>
      <c r="P191" s="30">
        <v>5</v>
      </c>
      <c r="Q191" s="7">
        <v>3943.5679999999998</v>
      </c>
      <c r="R191" s="7">
        <v>11000</v>
      </c>
      <c r="S191" s="8">
        <f t="shared" si="2"/>
        <v>7056.4320000000007</v>
      </c>
    </row>
    <row r="192" spans="1:19">
      <c r="A192" s="5">
        <v>191</v>
      </c>
      <c r="B192" s="5">
        <v>2506210104</v>
      </c>
      <c r="C192" s="5" t="s">
        <v>614</v>
      </c>
      <c r="D192" s="5" t="s">
        <v>40</v>
      </c>
      <c r="E192" s="5" t="s">
        <v>41</v>
      </c>
      <c r="F192" s="5" t="s">
        <v>42</v>
      </c>
      <c r="G192" s="5" t="s">
        <v>190</v>
      </c>
      <c r="H192" s="5" t="s">
        <v>612</v>
      </c>
      <c r="I192" s="5">
        <v>202500365</v>
      </c>
      <c r="J192" s="5"/>
      <c r="K192" s="6">
        <v>45829</v>
      </c>
      <c r="L192" s="6">
        <v>45834</v>
      </c>
      <c r="M192" s="5" t="s">
        <v>53</v>
      </c>
      <c r="N192" s="5" t="s">
        <v>54</v>
      </c>
      <c r="O192" s="5" t="s">
        <v>41</v>
      </c>
      <c r="P192" s="30">
        <v>5</v>
      </c>
      <c r="Q192" s="7">
        <v>3943.5679999999998</v>
      </c>
      <c r="R192" s="7">
        <v>13500</v>
      </c>
      <c r="S192" s="8">
        <f t="shared" si="2"/>
        <v>9556.4320000000007</v>
      </c>
    </row>
    <row r="193" spans="1:19">
      <c r="A193" s="5">
        <v>192</v>
      </c>
      <c r="B193" s="5">
        <v>2506210102</v>
      </c>
      <c r="C193" s="5" t="s">
        <v>615</v>
      </c>
      <c r="D193" s="5" t="s">
        <v>40</v>
      </c>
      <c r="E193" s="5" t="s">
        <v>41</v>
      </c>
      <c r="F193" s="5" t="s">
        <v>42</v>
      </c>
      <c r="G193" s="5" t="s">
        <v>190</v>
      </c>
      <c r="H193" s="5" t="s">
        <v>612</v>
      </c>
      <c r="I193" s="5">
        <v>202500366</v>
      </c>
      <c r="J193" s="5"/>
      <c r="K193" s="6">
        <v>45829</v>
      </c>
      <c r="L193" s="6">
        <v>45834</v>
      </c>
      <c r="M193" s="5" t="s">
        <v>53</v>
      </c>
      <c r="N193" s="5" t="s">
        <v>54</v>
      </c>
      <c r="O193" s="5" t="s">
        <v>41</v>
      </c>
      <c r="P193" s="30">
        <v>5</v>
      </c>
      <c r="Q193" s="7">
        <v>3943.5679999999998</v>
      </c>
      <c r="R193" s="7">
        <v>13500</v>
      </c>
      <c r="S193" s="8">
        <f t="shared" si="2"/>
        <v>9556.4320000000007</v>
      </c>
    </row>
    <row r="194" spans="1:19">
      <c r="A194" s="5">
        <v>193</v>
      </c>
      <c r="B194" s="5">
        <v>2506211524</v>
      </c>
      <c r="C194" s="5" t="s">
        <v>616</v>
      </c>
      <c r="D194" s="5" t="s">
        <v>550</v>
      </c>
      <c r="E194" s="5" t="s">
        <v>597</v>
      </c>
      <c r="F194" s="5" t="s">
        <v>51</v>
      </c>
      <c r="G194" s="5" t="s">
        <v>52</v>
      </c>
      <c r="H194" s="5" t="s">
        <v>612</v>
      </c>
      <c r="I194" s="5">
        <v>202500367</v>
      </c>
      <c r="J194" s="5"/>
      <c r="K194" s="6">
        <v>45829</v>
      </c>
      <c r="L194" s="6">
        <v>45834</v>
      </c>
      <c r="M194" s="5" t="s">
        <v>53</v>
      </c>
      <c r="N194" s="5" t="s">
        <v>54</v>
      </c>
      <c r="O194" s="5" t="s">
        <v>41</v>
      </c>
      <c r="P194" s="30">
        <v>5</v>
      </c>
      <c r="Q194" s="7">
        <v>3943.5679999999998</v>
      </c>
      <c r="R194" s="7">
        <v>7000</v>
      </c>
      <c r="S194" s="8">
        <f t="shared" si="2"/>
        <v>3056.4320000000002</v>
      </c>
    </row>
    <row r="195" spans="1:19">
      <c r="A195" s="5">
        <v>194</v>
      </c>
      <c r="B195" s="5">
        <v>2506212477</v>
      </c>
      <c r="C195" s="5" t="s">
        <v>617</v>
      </c>
      <c r="D195" s="5" t="s">
        <v>528</v>
      </c>
      <c r="E195" s="5" t="s">
        <v>529</v>
      </c>
      <c r="F195" s="5" t="s">
        <v>202</v>
      </c>
      <c r="G195" s="5" t="s">
        <v>52</v>
      </c>
      <c r="H195" s="5" t="s">
        <v>612</v>
      </c>
      <c r="I195" s="5">
        <v>202500368</v>
      </c>
      <c r="J195" s="5"/>
      <c r="K195" s="6">
        <v>45829</v>
      </c>
      <c r="L195" s="6">
        <v>45834</v>
      </c>
      <c r="M195" s="5" t="s">
        <v>53</v>
      </c>
      <c r="N195" s="5" t="s">
        <v>54</v>
      </c>
      <c r="O195" s="5" t="s">
        <v>41</v>
      </c>
      <c r="P195" s="30">
        <v>5</v>
      </c>
      <c r="Q195" s="7">
        <v>3943.5679999999998</v>
      </c>
      <c r="R195" s="7">
        <v>7500</v>
      </c>
      <c r="S195" s="8">
        <f t="shared" ref="S195:S240" si="3">R195-Q195</f>
        <v>3556.4320000000002</v>
      </c>
    </row>
    <row r="196" spans="1:19">
      <c r="A196" s="5">
        <v>195</v>
      </c>
      <c r="B196" s="5">
        <v>2506211542</v>
      </c>
      <c r="C196" s="5" t="s">
        <v>618</v>
      </c>
      <c r="D196" s="5" t="s">
        <v>405</v>
      </c>
      <c r="E196" s="5" t="s">
        <v>619</v>
      </c>
      <c r="F196" s="5" t="s">
        <v>202</v>
      </c>
      <c r="G196" s="5" t="s">
        <v>52</v>
      </c>
      <c r="H196" s="5" t="s">
        <v>612</v>
      </c>
      <c r="I196" s="5">
        <v>202500369</v>
      </c>
      <c r="J196" s="5"/>
      <c r="K196" s="6">
        <v>45829</v>
      </c>
      <c r="L196" s="6">
        <v>45834</v>
      </c>
      <c r="M196" s="5" t="s">
        <v>53</v>
      </c>
      <c r="N196" s="5" t="s">
        <v>54</v>
      </c>
      <c r="O196" s="5" t="s">
        <v>41</v>
      </c>
      <c r="P196" s="30">
        <v>5</v>
      </c>
      <c r="Q196" s="7">
        <v>3943.5679999999998</v>
      </c>
      <c r="R196" s="7">
        <v>6450</v>
      </c>
      <c r="S196" s="8">
        <f t="shared" si="3"/>
        <v>2506.4320000000002</v>
      </c>
    </row>
    <row r="197" spans="1:19">
      <c r="A197" s="5">
        <v>196</v>
      </c>
      <c r="B197" s="5">
        <v>2506212463</v>
      </c>
      <c r="C197" s="5" t="s">
        <v>620</v>
      </c>
      <c r="D197" s="5" t="s">
        <v>218</v>
      </c>
      <c r="E197" s="5" t="s">
        <v>219</v>
      </c>
      <c r="F197" s="5" t="s">
        <v>51</v>
      </c>
      <c r="G197" s="5" t="s">
        <v>52</v>
      </c>
      <c r="H197" s="5" t="s">
        <v>612</v>
      </c>
      <c r="I197" s="5">
        <v>202500370</v>
      </c>
      <c r="J197" s="5"/>
      <c r="K197" s="6">
        <v>45829</v>
      </c>
      <c r="L197" s="6">
        <v>45834</v>
      </c>
      <c r="M197" s="5" t="s">
        <v>53</v>
      </c>
      <c r="N197" s="5" t="s">
        <v>54</v>
      </c>
      <c r="O197" s="5" t="s">
        <v>41</v>
      </c>
      <c r="P197" s="30">
        <v>5</v>
      </c>
      <c r="Q197" s="7">
        <v>3943.5679999999998</v>
      </c>
      <c r="R197" s="7">
        <v>5500</v>
      </c>
      <c r="S197" s="8">
        <f t="shared" si="3"/>
        <v>1556.4320000000002</v>
      </c>
    </row>
    <row r="198" spans="1:19">
      <c r="A198" s="5">
        <v>197</v>
      </c>
      <c r="B198" s="5">
        <v>2506212469</v>
      </c>
      <c r="C198" s="5" t="s">
        <v>621</v>
      </c>
      <c r="D198" s="5" t="s">
        <v>345</v>
      </c>
      <c r="E198" s="5" t="s">
        <v>346</v>
      </c>
      <c r="F198" s="5" t="s">
        <v>66</v>
      </c>
      <c r="G198" s="5" t="s">
        <v>52</v>
      </c>
      <c r="H198" s="5" t="s">
        <v>612</v>
      </c>
      <c r="I198" s="5">
        <v>202500371</v>
      </c>
      <c r="J198" s="5"/>
      <c r="K198" s="6">
        <v>45829</v>
      </c>
      <c r="L198" s="6">
        <v>45834</v>
      </c>
      <c r="M198" s="5" t="s">
        <v>53</v>
      </c>
      <c r="N198" s="5" t="s">
        <v>54</v>
      </c>
      <c r="O198" s="5" t="s">
        <v>41</v>
      </c>
      <c r="P198" s="30">
        <v>5</v>
      </c>
      <c r="Q198" s="7">
        <v>3943.5679999999998</v>
      </c>
      <c r="R198" s="7">
        <v>6000</v>
      </c>
      <c r="S198" s="8">
        <f t="shared" si="3"/>
        <v>2056.4320000000002</v>
      </c>
    </row>
    <row r="199" spans="1:19">
      <c r="A199" s="5">
        <v>198</v>
      </c>
      <c r="B199" s="13">
        <v>2506220658</v>
      </c>
      <c r="C199" s="13" t="s">
        <v>622</v>
      </c>
      <c r="D199" s="13" t="s">
        <v>40</v>
      </c>
      <c r="E199" s="13" t="s">
        <v>41</v>
      </c>
      <c r="F199" s="13" t="s">
        <v>42</v>
      </c>
      <c r="G199" s="13" t="s">
        <v>43</v>
      </c>
      <c r="H199" s="13" t="s">
        <v>612</v>
      </c>
      <c r="I199" s="13">
        <v>202500372</v>
      </c>
      <c r="J199" s="13"/>
      <c r="K199" s="14">
        <v>45830</v>
      </c>
      <c r="L199" s="14">
        <v>45834</v>
      </c>
      <c r="M199" s="13" t="s">
        <v>45</v>
      </c>
      <c r="N199" s="13" t="s">
        <v>46</v>
      </c>
      <c r="O199" s="13" t="s">
        <v>623</v>
      </c>
      <c r="P199" s="35">
        <v>4</v>
      </c>
      <c r="Q199" s="15">
        <v>3943.5679999999998</v>
      </c>
      <c r="R199" s="15">
        <v>14500</v>
      </c>
      <c r="S199" s="16">
        <f t="shared" si="3"/>
        <v>10556.432000000001</v>
      </c>
    </row>
    <row r="200" spans="1:19">
      <c r="A200" s="5">
        <v>199</v>
      </c>
      <c r="B200" s="5">
        <v>2506221301</v>
      </c>
      <c r="C200" s="5" t="s">
        <v>624</v>
      </c>
      <c r="D200" s="5" t="s">
        <v>77</v>
      </c>
      <c r="E200" s="5" t="s">
        <v>78</v>
      </c>
      <c r="F200" s="5" t="s">
        <v>79</v>
      </c>
      <c r="G200" s="5" t="s">
        <v>43</v>
      </c>
      <c r="H200" s="5" t="s">
        <v>612</v>
      </c>
      <c r="I200" s="5">
        <v>202500373</v>
      </c>
      <c r="J200" s="5"/>
      <c r="K200" s="6">
        <v>45830</v>
      </c>
      <c r="L200" s="6">
        <v>45834</v>
      </c>
      <c r="M200" s="5" t="s">
        <v>53</v>
      </c>
      <c r="N200" s="5" t="s">
        <v>54</v>
      </c>
      <c r="O200" s="5" t="s">
        <v>41</v>
      </c>
      <c r="P200" s="30">
        <v>4</v>
      </c>
      <c r="Q200" s="7">
        <v>3943.5679999999998</v>
      </c>
      <c r="R200" s="7">
        <v>8500</v>
      </c>
      <c r="S200" s="8">
        <f t="shared" si="3"/>
        <v>4556.4320000000007</v>
      </c>
    </row>
    <row r="201" spans="1:19">
      <c r="A201" s="5">
        <v>200</v>
      </c>
      <c r="B201" s="5">
        <v>2506230018</v>
      </c>
      <c r="C201" s="5" t="s">
        <v>625</v>
      </c>
      <c r="D201" s="5" t="s">
        <v>528</v>
      </c>
      <c r="E201" s="5" t="s">
        <v>529</v>
      </c>
      <c r="F201" s="5" t="s">
        <v>202</v>
      </c>
      <c r="G201" s="5" t="s">
        <v>52</v>
      </c>
      <c r="H201" s="5" t="s">
        <v>612</v>
      </c>
      <c r="I201" s="5">
        <v>202500374</v>
      </c>
      <c r="J201" s="5"/>
      <c r="K201" s="6">
        <v>45831</v>
      </c>
      <c r="L201" s="6">
        <v>45834</v>
      </c>
      <c r="M201" s="5" t="s">
        <v>53</v>
      </c>
      <c r="N201" s="5" t="s">
        <v>54</v>
      </c>
      <c r="O201" s="5" t="s">
        <v>41</v>
      </c>
      <c r="P201" s="30">
        <v>3</v>
      </c>
      <c r="Q201" s="7">
        <v>3943.5679999999998</v>
      </c>
      <c r="R201" s="7">
        <v>7500</v>
      </c>
      <c r="S201" s="8">
        <f t="shared" si="3"/>
        <v>3556.4320000000002</v>
      </c>
    </row>
    <row r="202" spans="1:19">
      <c r="A202" s="5">
        <v>201</v>
      </c>
      <c r="B202" s="17">
        <v>2506230020</v>
      </c>
      <c r="C202" s="17" t="s">
        <v>626</v>
      </c>
      <c r="D202" s="17" t="s">
        <v>528</v>
      </c>
      <c r="E202" s="17" t="s">
        <v>529</v>
      </c>
      <c r="F202" s="17" t="s">
        <v>202</v>
      </c>
      <c r="G202" s="17" t="s">
        <v>52</v>
      </c>
      <c r="H202" s="17" t="s">
        <v>612</v>
      </c>
      <c r="I202" s="17">
        <v>202500375</v>
      </c>
      <c r="J202" s="17"/>
      <c r="K202" s="18">
        <v>45831</v>
      </c>
      <c r="L202" s="18">
        <v>45834</v>
      </c>
      <c r="M202" s="17" t="s">
        <v>53</v>
      </c>
      <c r="N202" s="17" t="s">
        <v>480</v>
      </c>
      <c r="O202" s="17" t="s">
        <v>627</v>
      </c>
      <c r="P202" s="31">
        <v>3</v>
      </c>
      <c r="Q202" s="19">
        <v>3943.5679999999998</v>
      </c>
      <c r="R202" s="19">
        <v>7500</v>
      </c>
      <c r="S202" s="20">
        <f t="shared" si="3"/>
        <v>3556.4320000000002</v>
      </c>
    </row>
    <row r="203" spans="1:19">
      <c r="A203" s="5">
        <v>202</v>
      </c>
      <c r="B203" s="5">
        <v>2506230022</v>
      </c>
      <c r="C203" s="5" t="s">
        <v>628</v>
      </c>
      <c r="D203" s="5" t="s">
        <v>506</v>
      </c>
      <c r="E203" s="5" t="s">
        <v>507</v>
      </c>
      <c r="F203" s="5" t="s">
        <v>169</v>
      </c>
      <c r="G203" s="5" t="s">
        <v>43</v>
      </c>
      <c r="H203" s="5" t="s">
        <v>612</v>
      </c>
      <c r="I203" s="5">
        <v>202500376</v>
      </c>
      <c r="J203" s="5"/>
      <c r="K203" s="6">
        <v>45831</v>
      </c>
      <c r="L203" s="6">
        <v>45834</v>
      </c>
      <c r="M203" s="5" t="s">
        <v>53</v>
      </c>
      <c r="N203" s="5" t="s">
        <v>54</v>
      </c>
      <c r="O203" s="5" t="s">
        <v>41</v>
      </c>
      <c r="P203" s="30">
        <v>3</v>
      </c>
      <c r="Q203" s="7">
        <v>3943.5679999999998</v>
      </c>
      <c r="R203" s="7">
        <v>12000</v>
      </c>
      <c r="S203" s="8">
        <f t="shared" si="3"/>
        <v>8056.4320000000007</v>
      </c>
    </row>
    <row r="204" spans="1:19">
      <c r="A204" s="5">
        <v>203</v>
      </c>
      <c r="B204" s="5">
        <v>2506230605</v>
      </c>
      <c r="C204" s="5" t="s">
        <v>629</v>
      </c>
      <c r="D204" s="5" t="s">
        <v>103</v>
      </c>
      <c r="E204" s="5" t="s">
        <v>104</v>
      </c>
      <c r="F204" s="5" t="s">
        <v>51</v>
      </c>
      <c r="G204" s="5" t="s">
        <v>52</v>
      </c>
      <c r="H204" s="5" t="s">
        <v>612</v>
      </c>
      <c r="I204" s="5">
        <v>202500377</v>
      </c>
      <c r="J204" s="5"/>
      <c r="K204" s="6">
        <v>45831</v>
      </c>
      <c r="L204" s="6">
        <v>45834</v>
      </c>
      <c r="M204" s="5" t="s">
        <v>53</v>
      </c>
      <c r="N204" s="5" t="s">
        <v>54</v>
      </c>
      <c r="O204" s="5" t="s">
        <v>41</v>
      </c>
      <c r="P204" s="30">
        <v>3</v>
      </c>
      <c r="Q204" s="7">
        <v>3943.5679999999998</v>
      </c>
      <c r="R204" s="7">
        <v>8000</v>
      </c>
      <c r="S204" s="8">
        <f t="shared" si="3"/>
        <v>4056.4320000000002</v>
      </c>
    </row>
    <row r="205" spans="1:19">
      <c r="A205" s="5">
        <v>204</v>
      </c>
      <c r="B205" s="5">
        <v>2506230611</v>
      </c>
      <c r="C205" s="5" t="s">
        <v>630</v>
      </c>
      <c r="D205" s="5" t="s">
        <v>631</v>
      </c>
      <c r="E205" s="5" t="s">
        <v>632</v>
      </c>
      <c r="F205" s="5" t="s">
        <v>87</v>
      </c>
      <c r="G205" s="5" t="s">
        <v>52</v>
      </c>
      <c r="H205" s="5" t="s">
        <v>612</v>
      </c>
      <c r="I205" s="5">
        <v>202500378</v>
      </c>
      <c r="J205" s="5"/>
      <c r="K205" s="6">
        <v>45831</v>
      </c>
      <c r="L205" s="6">
        <v>45834</v>
      </c>
      <c r="M205" s="5" t="s">
        <v>53</v>
      </c>
      <c r="N205" s="5" t="s">
        <v>54</v>
      </c>
      <c r="O205" s="5" t="s">
        <v>41</v>
      </c>
      <c r="P205" s="30">
        <v>3</v>
      </c>
      <c r="Q205" s="7">
        <v>3943.5679999999998</v>
      </c>
      <c r="R205" s="7">
        <v>8000</v>
      </c>
      <c r="S205" s="8">
        <f t="shared" si="3"/>
        <v>4056.4320000000002</v>
      </c>
    </row>
    <row r="206" spans="1:19">
      <c r="A206" s="5">
        <v>205</v>
      </c>
      <c r="B206" s="5">
        <v>2506230185</v>
      </c>
      <c r="C206" s="5" t="s">
        <v>633</v>
      </c>
      <c r="D206" s="5" t="s">
        <v>40</v>
      </c>
      <c r="E206" s="5" t="s">
        <v>41</v>
      </c>
      <c r="F206" s="5" t="s">
        <v>42</v>
      </c>
      <c r="G206" s="5" t="s">
        <v>52</v>
      </c>
      <c r="H206" s="5" t="s">
        <v>612</v>
      </c>
      <c r="I206" s="5">
        <v>202500379</v>
      </c>
      <c r="J206" s="5"/>
      <c r="K206" s="6">
        <v>45831</v>
      </c>
      <c r="L206" s="6">
        <v>45834</v>
      </c>
      <c r="M206" s="5" t="s">
        <v>53</v>
      </c>
      <c r="N206" s="5" t="s">
        <v>54</v>
      </c>
      <c r="O206" s="5" t="s">
        <v>41</v>
      </c>
      <c r="P206" s="30">
        <v>3</v>
      </c>
      <c r="Q206" s="7">
        <v>3943.5679999999998</v>
      </c>
      <c r="R206" s="7">
        <v>9500</v>
      </c>
      <c r="S206" s="8">
        <f t="shared" si="3"/>
        <v>5556.4320000000007</v>
      </c>
    </row>
    <row r="207" spans="1:19">
      <c r="A207" s="5">
        <v>206</v>
      </c>
      <c r="B207" s="5">
        <v>2506232296</v>
      </c>
      <c r="C207" s="5" t="s">
        <v>634</v>
      </c>
      <c r="D207" s="5" t="s">
        <v>448</v>
      </c>
      <c r="E207" s="5" t="s">
        <v>635</v>
      </c>
      <c r="F207" s="5" t="s">
        <v>109</v>
      </c>
      <c r="G207" s="5" t="s">
        <v>52</v>
      </c>
      <c r="H207" s="5" t="s">
        <v>612</v>
      </c>
      <c r="I207" s="5">
        <v>202500380</v>
      </c>
      <c r="J207" s="5"/>
      <c r="K207" s="6">
        <v>45831</v>
      </c>
      <c r="L207" s="6">
        <v>45834</v>
      </c>
      <c r="M207" s="5" t="s">
        <v>53</v>
      </c>
      <c r="N207" s="5" t="s">
        <v>54</v>
      </c>
      <c r="O207" s="5" t="s">
        <v>41</v>
      </c>
      <c r="P207" s="30">
        <v>3</v>
      </c>
      <c r="Q207" s="7">
        <v>3943.5679999999998</v>
      </c>
      <c r="R207" s="7">
        <v>6500</v>
      </c>
      <c r="S207" s="8">
        <f t="shared" si="3"/>
        <v>2556.4320000000002</v>
      </c>
    </row>
    <row r="208" spans="1:19">
      <c r="A208" s="5">
        <v>207</v>
      </c>
      <c r="B208" s="5">
        <v>2506211500</v>
      </c>
      <c r="C208" s="5" t="s">
        <v>636</v>
      </c>
      <c r="D208" s="5" t="s">
        <v>249</v>
      </c>
      <c r="E208" s="5" t="s">
        <v>250</v>
      </c>
      <c r="F208" s="5" t="s">
        <v>141</v>
      </c>
      <c r="G208" s="5" t="s">
        <v>52</v>
      </c>
      <c r="H208" s="5" t="s">
        <v>612</v>
      </c>
      <c r="I208" s="5">
        <v>202500381</v>
      </c>
      <c r="J208" s="5"/>
      <c r="K208" s="6">
        <v>45829</v>
      </c>
      <c r="L208" s="6">
        <v>45834</v>
      </c>
      <c r="M208" s="5" t="s">
        <v>53</v>
      </c>
      <c r="N208" s="5" t="s">
        <v>54</v>
      </c>
      <c r="O208" s="5" t="s">
        <v>41</v>
      </c>
      <c r="P208" s="30">
        <v>5</v>
      </c>
      <c r="Q208" s="7">
        <v>3943.5679999999998</v>
      </c>
      <c r="R208" s="7">
        <v>5500</v>
      </c>
      <c r="S208" s="8">
        <f t="shared" si="3"/>
        <v>1556.4320000000002</v>
      </c>
    </row>
    <row r="209" spans="1:19">
      <c r="A209" s="5">
        <v>208</v>
      </c>
      <c r="B209" s="5">
        <v>2506232299</v>
      </c>
      <c r="C209" s="5" t="s">
        <v>637</v>
      </c>
      <c r="D209" s="5" t="s">
        <v>567</v>
      </c>
      <c r="E209" s="5" t="s">
        <v>568</v>
      </c>
      <c r="F209" s="5" t="s">
        <v>169</v>
      </c>
      <c r="G209" s="5" t="s">
        <v>52</v>
      </c>
      <c r="H209" s="5" t="s">
        <v>612</v>
      </c>
      <c r="I209" s="5">
        <v>202500382</v>
      </c>
      <c r="J209" s="5"/>
      <c r="K209" s="6">
        <v>45831</v>
      </c>
      <c r="L209" s="6">
        <v>45834</v>
      </c>
      <c r="M209" s="5" t="s">
        <v>53</v>
      </c>
      <c r="N209" s="5" t="s">
        <v>54</v>
      </c>
      <c r="O209" s="5" t="s">
        <v>41</v>
      </c>
      <c r="P209" s="30">
        <v>3</v>
      </c>
      <c r="Q209" s="7">
        <v>3943.5679999999998</v>
      </c>
      <c r="R209" s="7">
        <v>6000</v>
      </c>
      <c r="S209" s="8">
        <f t="shared" si="3"/>
        <v>2056.4320000000002</v>
      </c>
    </row>
    <row r="210" spans="1:19">
      <c r="A210" s="5">
        <v>209</v>
      </c>
      <c r="B210" s="13">
        <v>2506232301</v>
      </c>
      <c r="C210" s="13" t="s">
        <v>638</v>
      </c>
      <c r="D210" s="13" t="s">
        <v>528</v>
      </c>
      <c r="E210" s="13" t="s">
        <v>639</v>
      </c>
      <c r="F210" s="13" t="s">
        <v>202</v>
      </c>
      <c r="G210" s="13" t="s">
        <v>52</v>
      </c>
      <c r="H210" s="13" t="s">
        <v>612</v>
      </c>
      <c r="I210" s="13">
        <v>202500383</v>
      </c>
      <c r="J210" s="13"/>
      <c r="K210" s="14">
        <v>45831</v>
      </c>
      <c r="L210" s="14">
        <v>45834</v>
      </c>
      <c r="M210" s="13" t="s">
        <v>45</v>
      </c>
      <c r="N210" s="13" t="s">
        <v>46</v>
      </c>
      <c r="O210" s="13" t="s">
        <v>640</v>
      </c>
      <c r="P210" s="35">
        <v>3</v>
      </c>
      <c r="Q210" s="15">
        <v>3943.5679999999998</v>
      </c>
      <c r="R210" s="15">
        <v>7500</v>
      </c>
      <c r="S210" s="16">
        <f t="shared" si="3"/>
        <v>3556.4320000000002</v>
      </c>
    </row>
    <row r="211" spans="1:19">
      <c r="A211" s="5">
        <v>210</v>
      </c>
      <c r="B211" s="5">
        <v>2506232303</v>
      </c>
      <c r="C211" s="5" t="s">
        <v>641</v>
      </c>
      <c r="D211" s="5" t="s">
        <v>444</v>
      </c>
      <c r="E211" s="5" t="s">
        <v>445</v>
      </c>
      <c r="F211" s="5" t="s">
        <v>109</v>
      </c>
      <c r="G211" s="5" t="s">
        <v>52</v>
      </c>
      <c r="H211" s="5" t="s">
        <v>612</v>
      </c>
      <c r="I211" s="5">
        <v>202500384</v>
      </c>
      <c r="J211" s="5"/>
      <c r="K211" s="6">
        <v>45831</v>
      </c>
      <c r="L211" s="6">
        <v>45834</v>
      </c>
      <c r="M211" s="5" t="s">
        <v>53</v>
      </c>
      <c r="N211" s="5" t="s">
        <v>54</v>
      </c>
      <c r="O211" s="5" t="s">
        <v>41</v>
      </c>
      <c r="P211" s="30">
        <v>3</v>
      </c>
      <c r="Q211" s="7">
        <v>3943.5679999999998</v>
      </c>
      <c r="R211" s="7">
        <v>5950</v>
      </c>
      <c r="S211" s="8">
        <f t="shared" si="3"/>
        <v>2006.4320000000002</v>
      </c>
    </row>
    <row r="212" spans="1:19">
      <c r="A212" s="5">
        <v>211</v>
      </c>
      <c r="B212" s="5">
        <v>2506210053</v>
      </c>
      <c r="C212" s="5" t="s">
        <v>642</v>
      </c>
      <c r="D212" s="5" t="s">
        <v>228</v>
      </c>
      <c r="E212" s="5" t="s">
        <v>229</v>
      </c>
      <c r="F212" s="5" t="s">
        <v>169</v>
      </c>
      <c r="G212" s="5" t="s">
        <v>52</v>
      </c>
      <c r="H212" s="5" t="s">
        <v>612</v>
      </c>
      <c r="I212" s="5">
        <v>202500385</v>
      </c>
      <c r="J212" s="5"/>
      <c r="K212" s="6">
        <v>45829</v>
      </c>
      <c r="L212" s="6">
        <v>45834</v>
      </c>
      <c r="M212" s="5" t="s">
        <v>53</v>
      </c>
      <c r="N212" s="5" t="s">
        <v>54</v>
      </c>
      <c r="O212" s="5" t="s">
        <v>41</v>
      </c>
      <c r="P212" s="30">
        <v>5</v>
      </c>
      <c r="Q212" s="7">
        <v>3943.5679999999998</v>
      </c>
      <c r="R212" s="7">
        <v>6000</v>
      </c>
      <c r="S212" s="8">
        <f t="shared" si="3"/>
        <v>2056.4320000000002</v>
      </c>
    </row>
    <row r="213" spans="1:19">
      <c r="A213" s="5">
        <v>212</v>
      </c>
      <c r="B213" s="22">
        <v>2506180678</v>
      </c>
      <c r="C213" s="22" t="s">
        <v>591</v>
      </c>
      <c r="D213" s="22" t="s">
        <v>40</v>
      </c>
      <c r="E213" s="22" t="s">
        <v>41</v>
      </c>
      <c r="F213" s="22" t="s">
        <v>42</v>
      </c>
      <c r="G213" s="22" t="s">
        <v>43</v>
      </c>
      <c r="H213" s="22" t="s">
        <v>612</v>
      </c>
      <c r="I213" s="22">
        <v>202500386</v>
      </c>
      <c r="J213" s="22"/>
      <c r="K213" s="23">
        <v>45826</v>
      </c>
      <c r="L213" s="23">
        <v>45834</v>
      </c>
      <c r="M213" s="22" t="s">
        <v>53</v>
      </c>
      <c r="N213" s="22" t="s">
        <v>54</v>
      </c>
      <c r="O213" s="22" t="s">
        <v>435</v>
      </c>
      <c r="P213" s="34">
        <v>8</v>
      </c>
      <c r="Q213" s="24">
        <v>3943.5679999999998</v>
      </c>
      <c r="R213" s="24">
        <v>0</v>
      </c>
      <c r="S213" s="25">
        <f t="shared" si="3"/>
        <v>-3943.5679999999998</v>
      </c>
    </row>
    <row r="214" spans="1:19">
      <c r="A214" s="5">
        <v>213</v>
      </c>
      <c r="B214" s="5" t="s">
        <v>643</v>
      </c>
      <c r="C214" s="5"/>
      <c r="D214" s="5"/>
      <c r="E214" s="5"/>
      <c r="F214" s="5"/>
      <c r="G214" s="5" t="s">
        <v>52</v>
      </c>
      <c r="H214" s="5"/>
      <c r="I214" s="5"/>
      <c r="J214" s="5"/>
      <c r="K214" s="5"/>
      <c r="L214" s="5"/>
      <c r="M214" s="5"/>
      <c r="N214" s="5"/>
      <c r="O214" s="5"/>
      <c r="P214" s="5"/>
      <c r="Q214" s="7">
        <v>3943.5679999999998</v>
      </c>
      <c r="R214" s="7">
        <v>0</v>
      </c>
      <c r="S214" s="8">
        <f t="shared" si="3"/>
        <v>-3943.5679999999998</v>
      </c>
    </row>
    <row r="215" spans="1:19">
      <c r="A215" s="5">
        <v>214</v>
      </c>
      <c r="B215" s="42">
        <v>2506253210</v>
      </c>
      <c r="C215" s="42" t="s">
        <v>644</v>
      </c>
      <c r="D215" s="42" t="s">
        <v>440</v>
      </c>
      <c r="E215" s="42" t="s">
        <v>441</v>
      </c>
      <c r="F215" s="42" t="s">
        <v>169</v>
      </c>
      <c r="G215" s="42" t="s">
        <v>75</v>
      </c>
      <c r="H215" s="42" t="s">
        <v>645</v>
      </c>
      <c r="I215" s="42">
        <v>202500387</v>
      </c>
      <c r="J215" s="42"/>
      <c r="K215" s="43">
        <v>45833</v>
      </c>
      <c r="L215" s="43">
        <v>45837</v>
      </c>
      <c r="M215" s="42" t="s">
        <v>53</v>
      </c>
      <c r="N215" s="42" t="s">
        <v>54</v>
      </c>
      <c r="O215" s="42" t="s">
        <v>41</v>
      </c>
      <c r="P215" s="44">
        <v>4</v>
      </c>
      <c r="Q215" s="45">
        <v>3807.6615384615384</v>
      </c>
      <c r="R215" s="45">
        <v>4500</v>
      </c>
      <c r="S215" s="8">
        <f t="shared" si="3"/>
        <v>692.33846153846162</v>
      </c>
    </row>
    <row r="216" spans="1:19">
      <c r="A216" s="5">
        <v>215</v>
      </c>
      <c r="B216" s="42">
        <v>2506240824</v>
      </c>
      <c r="C216" s="42" t="s">
        <v>646</v>
      </c>
      <c r="D216" s="42" t="s">
        <v>309</v>
      </c>
      <c r="E216" s="42" t="s">
        <v>310</v>
      </c>
      <c r="F216" s="42" t="s">
        <v>51</v>
      </c>
      <c r="G216" s="42" t="s">
        <v>52</v>
      </c>
      <c r="H216" s="42" t="s">
        <v>645</v>
      </c>
      <c r="I216" s="42">
        <v>202500388</v>
      </c>
      <c r="J216" s="42"/>
      <c r="K216" s="43">
        <v>45832</v>
      </c>
      <c r="L216" s="43">
        <v>45837</v>
      </c>
      <c r="M216" s="42" t="s">
        <v>53</v>
      </c>
      <c r="N216" s="42" t="s">
        <v>54</v>
      </c>
      <c r="O216" s="42" t="s">
        <v>41</v>
      </c>
      <c r="P216" s="44">
        <v>5</v>
      </c>
      <c r="Q216" s="45">
        <v>3807.6615384615384</v>
      </c>
      <c r="R216" s="45">
        <v>5500</v>
      </c>
      <c r="S216" s="8">
        <f t="shared" si="3"/>
        <v>1692.3384615384616</v>
      </c>
    </row>
    <row r="217" spans="1:19">
      <c r="A217" s="5">
        <v>216</v>
      </c>
      <c r="B217" s="42">
        <v>2506243038</v>
      </c>
      <c r="C217" s="42" t="s">
        <v>647</v>
      </c>
      <c r="D217" s="42" t="s">
        <v>345</v>
      </c>
      <c r="E217" s="42" t="s">
        <v>648</v>
      </c>
      <c r="F217" s="42" t="s">
        <v>66</v>
      </c>
      <c r="G217" s="42" t="s">
        <v>75</v>
      </c>
      <c r="H217" s="42" t="s">
        <v>645</v>
      </c>
      <c r="I217" s="42">
        <v>202500389</v>
      </c>
      <c r="J217" s="42"/>
      <c r="K217" s="43">
        <v>45832</v>
      </c>
      <c r="L217" s="43">
        <v>45837</v>
      </c>
      <c r="M217" s="42" t="s">
        <v>53</v>
      </c>
      <c r="N217" s="42" t="s">
        <v>54</v>
      </c>
      <c r="O217" s="42" t="s">
        <v>41</v>
      </c>
      <c r="P217" s="44">
        <v>5</v>
      </c>
      <c r="Q217" s="45">
        <v>3807.6615384615384</v>
      </c>
      <c r="R217" s="45">
        <v>4900</v>
      </c>
      <c r="S217" s="8">
        <f t="shared" si="3"/>
        <v>1092.3384615384616</v>
      </c>
    </row>
    <row r="218" spans="1:19">
      <c r="A218" s="5">
        <v>217</v>
      </c>
      <c r="B218" s="46">
        <v>2506243043</v>
      </c>
      <c r="C218" s="46" t="s">
        <v>649</v>
      </c>
      <c r="D218" s="46" t="s">
        <v>650</v>
      </c>
      <c r="E218" s="46" t="s">
        <v>651</v>
      </c>
      <c r="F218" s="46" t="s">
        <v>71</v>
      </c>
      <c r="G218" s="46" t="s">
        <v>43</v>
      </c>
      <c r="H218" s="46" t="s">
        <v>645</v>
      </c>
      <c r="I218" s="46">
        <v>202500390</v>
      </c>
      <c r="J218" s="46"/>
      <c r="K218" s="47">
        <v>45832</v>
      </c>
      <c r="L218" s="47">
        <v>45837</v>
      </c>
      <c r="M218" s="46" t="s">
        <v>53</v>
      </c>
      <c r="N218" s="46" t="s">
        <v>480</v>
      </c>
      <c r="O218" s="46" t="s">
        <v>67</v>
      </c>
      <c r="P218" s="48">
        <v>5</v>
      </c>
      <c r="Q218" s="49">
        <v>3807.6615384615384</v>
      </c>
      <c r="R218" s="49">
        <v>13500</v>
      </c>
      <c r="S218" s="20">
        <f t="shared" si="3"/>
        <v>9692.3384615384621</v>
      </c>
    </row>
    <row r="219" spans="1:19">
      <c r="A219" s="5">
        <v>218</v>
      </c>
      <c r="B219" s="42">
        <v>2506243048</v>
      </c>
      <c r="C219" s="42" t="s">
        <v>652</v>
      </c>
      <c r="D219" s="42" t="s">
        <v>440</v>
      </c>
      <c r="E219" s="42" t="s">
        <v>441</v>
      </c>
      <c r="F219" s="42" t="s">
        <v>169</v>
      </c>
      <c r="G219" s="42" t="s">
        <v>52</v>
      </c>
      <c r="H219" s="42" t="s">
        <v>645</v>
      </c>
      <c r="I219" s="42">
        <v>202500391</v>
      </c>
      <c r="J219" s="42"/>
      <c r="K219" s="43">
        <v>45832</v>
      </c>
      <c r="L219" s="43">
        <v>45837</v>
      </c>
      <c r="M219" s="42" t="s">
        <v>53</v>
      </c>
      <c r="N219" s="42" t="s">
        <v>54</v>
      </c>
      <c r="O219" s="42" t="s">
        <v>41</v>
      </c>
      <c r="P219" s="44">
        <v>5</v>
      </c>
      <c r="Q219" s="45">
        <v>3807.6615384615384</v>
      </c>
      <c r="R219" s="45">
        <v>5500</v>
      </c>
      <c r="S219" s="8">
        <f t="shared" si="3"/>
        <v>1692.3384615384616</v>
      </c>
    </row>
    <row r="220" spans="1:19">
      <c r="A220" s="5">
        <v>219</v>
      </c>
      <c r="B220" s="42">
        <v>2506243051</v>
      </c>
      <c r="C220" s="42" t="s">
        <v>653</v>
      </c>
      <c r="D220" s="42" t="s">
        <v>348</v>
      </c>
      <c r="E220" s="42" t="s">
        <v>349</v>
      </c>
      <c r="F220" s="42" t="s">
        <v>71</v>
      </c>
      <c r="G220" s="42" t="s">
        <v>52</v>
      </c>
      <c r="H220" s="42" t="s">
        <v>645</v>
      </c>
      <c r="I220" s="42">
        <v>202500392</v>
      </c>
      <c r="J220" s="42"/>
      <c r="K220" s="43">
        <v>45832</v>
      </c>
      <c r="L220" s="43">
        <v>45837</v>
      </c>
      <c r="M220" s="42" t="s">
        <v>53</v>
      </c>
      <c r="N220" s="42" t="s">
        <v>54</v>
      </c>
      <c r="O220" s="42" t="s">
        <v>41</v>
      </c>
      <c r="P220" s="44">
        <v>5</v>
      </c>
      <c r="Q220" s="45">
        <v>3807.6615384615384</v>
      </c>
      <c r="R220" s="45">
        <v>7000</v>
      </c>
      <c r="S220" s="8">
        <f t="shared" si="3"/>
        <v>3192.3384615384616</v>
      </c>
    </row>
    <row r="221" spans="1:19">
      <c r="A221" s="5">
        <v>220</v>
      </c>
      <c r="B221" s="42">
        <v>2506243052</v>
      </c>
      <c r="C221" s="42" t="s">
        <v>654</v>
      </c>
      <c r="D221" s="42" t="s">
        <v>444</v>
      </c>
      <c r="E221" s="42" t="s">
        <v>445</v>
      </c>
      <c r="F221" s="42" t="s">
        <v>109</v>
      </c>
      <c r="G221" s="42" t="s">
        <v>52</v>
      </c>
      <c r="H221" s="42" t="s">
        <v>645</v>
      </c>
      <c r="I221" s="42">
        <v>202500393</v>
      </c>
      <c r="J221" s="42"/>
      <c r="K221" s="43">
        <v>45832</v>
      </c>
      <c r="L221" s="43">
        <v>45837</v>
      </c>
      <c r="M221" s="42" t="s">
        <v>53</v>
      </c>
      <c r="N221" s="42" t="s">
        <v>54</v>
      </c>
      <c r="O221" s="42" t="s">
        <v>41</v>
      </c>
      <c r="P221" s="44">
        <v>5</v>
      </c>
      <c r="Q221" s="45">
        <v>3807.6615384615384</v>
      </c>
      <c r="R221" s="45">
        <v>5950</v>
      </c>
      <c r="S221" s="8">
        <f t="shared" si="3"/>
        <v>2142.3384615384616</v>
      </c>
    </row>
    <row r="222" spans="1:19">
      <c r="A222" s="5">
        <v>221</v>
      </c>
      <c r="B222" s="42">
        <v>2506250064</v>
      </c>
      <c r="C222" s="42" t="s">
        <v>655</v>
      </c>
      <c r="D222" s="42" t="s">
        <v>599</v>
      </c>
      <c r="E222" s="42" t="s">
        <v>656</v>
      </c>
      <c r="F222" s="42" t="s">
        <v>169</v>
      </c>
      <c r="G222" s="42" t="s">
        <v>52</v>
      </c>
      <c r="H222" s="42" t="s">
        <v>645</v>
      </c>
      <c r="I222" s="42">
        <v>202500394</v>
      </c>
      <c r="J222" s="42"/>
      <c r="K222" s="43">
        <v>45833</v>
      </c>
      <c r="L222" s="43">
        <v>45837</v>
      </c>
      <c r="M222" s="42" t="s">
        <v>53</v>
      </c>
      <c r="N222" s="42" t="s">
        <v>54</v>
      </c>
      <c r="O222" s="42" t="s">
        <v>41</v>
      </c>
      <c r="P222" s="44">
        <v>4</v>
      </c>
      <c r="Q222" s="45">
        <v>3807.6615384615384</v>
      </c>
      <c r="R222" s="45">
        <v>7500</v>
      </c>
      <c r="S222" s="8">
        <f t="shared" si="3"/>
        <v>3692.3384615384616</v>
      </c>
    </row>
    <row r="223" spans="1:19">
      <c r="A223" s="5">
        <v>222</v>
      </c>
      <c r="B223" s="42">
        <v>2506250065</v>
      </c>
      <c r="C223" s="42" t="s">
        <v>657</v>
      </c>
      <c r="D223" s="42" t="s">
        <v>293</v>
      </c>
      <c r="E223" s="42" t="s">
        <v>294</v>
      </c>
      <c r="F223" s="42" t="s">
        <v>51</v>
      </c>
      <c r="G223" s="42" t="s">
        <v>52</v>
      </c>
      <c r="H223" s="42" t="s">
        <v>645</v>
      </c>
      <c r="I223" s="42">
        <v>202500395</v>
      </c>
      <c r="J223" s="42"/>
      <c r="K223" s="43">
        <v>45833</v>
      </c>
      <c r="L223" s="43">
        <v>45837</v>
      </c>
      <c r="M223" s="42" t="s">
        <v>53</v>
      </c>
      <c r="N223" s="42" t="s">
        <v>54</v>
      </c>
      <c r="O223" s="42" t="s">
        <v>41</v>
      </c>
      <c r="P223" s="44">
        <v>4</v>
      </c>
      <c r="Q223" s="45">
        <v>3807.6615384615384</v>
      </c>
      <c r="R223" s="45">
        <v>6000</v>
      </c>
      <c r="S223" s="8">
        <f t="shared" si="3"/>
        <v>2192.3384615384616</v>
      </c>
    </row>
    <row r="224" spans="1:19">
      <c r="A224" s="5">
        <v>223</v>
      </c>
      <c r="B224" s="42">
        <v>2506250957</v>
      </c>
      <c r="C224" s="42" t="s">
        <v>658</v>
      </c>
      <c r="D224" s="42" t="s">
        <v>167</v>
      </c>
      <c r="E224" s="42" t="s">
        <v>659</v>
      </c>
      <c r="F224" s="42" t="s">
        <v>169</v>
      </c>
      <c r="G224" s="42" t="s">
        <v>52</v>
      </c>
      <c r="H224" s="42" t="s">
        <v>645</v>
      </c>
      <c r="I224" s="42">
        <v>202500396</v>
      </c>
      <c r="J224" s="42"/>
      <c r="K224" s="43">
        <v>45833</v>
      </c>
      <c r="L224" s="43">
        <v>45837</v>
      </c>
      <c r="M224" s="42" t="s">
        <v>53</v>
      </c>
      <c r="N224" s="42" t="s">
        <v>54</v>
      </c>
      <c r="O224" s="42" t="s">
        <v>41</v>
      </c>
      <c r="P224" s="44">
        <v>4</v>
      </c>
      <c r="Q224" s="45">
        <v>3807.6615384615384</v>
      </c>
      <c r="R224" s="45">
        <v>6000</v>
      </c>
      <c r="S224" s="8">
        <f t="shared" si="3"/>
        <v>2192.3384615384616</v>
      </c>
    </row>
    <row r="225" spans="1:19">
      <c r="A225" s="5">
        <v>224</v>
      </c>
      <c r="B225" s="42">
        <v>2506253174</v>
      </c>
      <c r="C225" s="42" t="s">
        <v>660</v>
      </c>
      <c r="D225" s="42" t="s">
        <v>77</v>
      </c>
      <c r="E225" s="42" t="s">
        <v>78</v>
      </c>
      <c r="F225" s="42" t="s">
        <v>79</v>
      </c>
      <c r="G225" s="42" t="s">
        <v>43</v>
      </c>
      <c r="H225" s="42" t="s">
        <v>645</v>
      </c>
      <c r="I225" s="42">
        <v>202500397</v>
      </c>
      <c r="J225" s="42"/>
      <c r="K225" s="43">
        <v>45833</v>
      </c>
      <c r="L225" s="43">
        <v>45837</v>
      </c>
      <c r="M225" s="42" t="s">
        <v>53</v>
      </c>
      <c r="N225" s="42" t="s">
        <v>54</v>
      </c>
      <c r="O225" s="42" t="s">
        <v>41</v>
      </c>
      <c r="P225" s="44">
        <v>4</v>
      </c>
      <c r="Q225" s="45">
        <v>3807.6615384615384</v>
      </c>
      <c r="R225" s="45">
        <v>8500</v>
      </c>
      <c r="S225" s="8">
        <f t="shared" si="3"/>
        <v>4692.3384615384621</v>
      </c>
    </row>
    <row r="226" spans="1:19">
      <c r="A226" s="5">
        <v>225</v>
      </c>
      <c r="B226" s="42">
        <v>2506253179</v>
      </c>
      <c r="C226" s="42" t="s">
        <v>661</v>
      </c>
      <c r="D226" s="42" t="s">
        <v>103</v>
      </c>
      <c r="E226" s="42" t="s">
        <v>104</v>
      </c>
      <c r="F226" s="42" t="s">
        <v>51</v>
      </c>
      <c r="G226" s="42" t="s">
        <v>75</v>
      </c>
      <c r="H226" s="42" t="s">
        <v>645</v>
      </c>
      <c r="I226" s="42">
        <v>202500398</v>
      </c>
      <c r="J226" s="42"/>
      <c r="K226" s="43">
        <v>45833</v>
      </c>
      <c r="L226" s="43">
        <v>45837</v>
      </c>
      <c r="M226" s="42" t="s">
        <v>53</v>
      </c>
      <c r="N226" s="42" t="s">
        <v>54</v>
      </c>
      <c r="O226" s="42" t="s">
        <v>41</v>
      </c>
      <c r="P226" s="44">
        <v>4</v>
      </c>
      <c r="Q226" s="45">
        <v>3807.6615384615384</v>
      </c>
      <c r="R226" s="45">
        <v>5500</v>
      </c>
      <c r="S226" s="8">
        <f t="shared" si="3"/>
        <v>1692.3384615384616</v>
      </c>
    </row>
    <row r="227" spans="1:19">
      <c r="A227" s="5">
        <v>226</v>
      </c>
      <c r="B227" s="42">
        <v>2506253187</v>
      </c>
      <c r="C227" s="42" t="s">
        <v>662</v>
      </c>
      <c r="D227" s="42" t="s">
        <v>334</v>
      </c>
      <c r="E227" s="42" t="s">
        <v>335</v>
      </c>
      <c r="F227" s="42" t="s">
        <v>71</v>
      </c>
      <c r="G227" s="42" t="s">
        <v>43</v>
      </c>
      <c r="H227" s="42" t="s">
        <v>645</v>
      </c>
      <c r="I227" s="42">
        <v>202500399</v>
      </c>
      <c r="J227" s="42"/>
      <c r="K227" s="43">
        <v>45833</v>
      </c>
      <c r="L227" s="43">
        <v>45837</v>
      </c>
      <c r="M227" s="42" t="s">
        <v>53</v>
      </c>
      <c r="N227" s="42" t="s">
        <v>54</v>
      </c>
      <c r="O227" s="42" t="s">
        <v>41</v>
      </c>
      <c r="P227" s="44">
        <v>4</v>
      </c>
      <c r="Q227" s="45">
        <v>3807.6615384615384</v>
      </c>
      <c r="R227" s="45">
        <v>12000</v>
      </c>
      <c r="S227" s="8">
        <f t="shared" si="3"/>
        <v>8192.3384615384621</v>
      </c>
    </row>
    <row r="228" spans="1:19">
      <c r="A228" s="5">
        <v>227</v>
      </c>
      <c r="B228" s="42">
        <v>2506253194</v>
      </c>
      <c r="C228" s="42" t="s">
        <v>663</v>
      </c>
      <c r="D228" s="42" t="s">
        <v>631</v>
      </c>
      <c r="E228" s="42" t="s">
        <v>664</v>
      </c>
      <c r="F228" s="42" t="s">
        <v>87</v>
      </c>
      <c r="G228" s="42" t="s">
        <v>52</v>
      </c>
      <c r="H228" s="42" t="s">
        <v>645</v>
      </c>
      <c r="I228" s="42">
        <v>202500400</v>
      </c>
      <c r="J228" s="42"/>
      <c r="K228" s="43">
        <v>45833</v>
      </c>
      <c r="L228" s="43">
        <v>45837</v>
      </c>
      <c r="M228" s="42" t="s">
        <v>53</v>
      </c>
      <c r="N228" s="42" t="s">
        <v>54</v>
      </c>
      <c r="O228" s="42" t="s">
        <v>41</v>
      </c>
      <c r="P228" s="44">
        <v>4</v>
      </c>
      <c r="Q228" s="45">
        <v>3807.6615384615384</v>
      </c>
      <c r="R228" s="45">
        <v>8000</v>
      </c>
      <c r="S228" s="8">
        <f t="shared" si="3"/>
        <v>4192.3384615384621</v>
      </c>
    </row>
    <row r="229" spans="1:19">
      <c r="A229" s="5">
        <v>228</v>
      </c>
      <c r="B229" s="42">
        <v>2506253204</v>
      </c>
      <c r="C229" s="42" t="s">
        <v>665</v>
      </c>
      <c r="D229" s="42" t="s">
        <v>666</v>
      </c>
      <c r="E229" s="42" t="s">
        <v>667</v>
      </c>
      <c r="F229" s="42" t="s">
        <v>87</v>
      </c>
      <c r="G229" s="42" t="s">
        <v>52</v>
      </c>
      <c r="H229" s="42" t="s">
        <v>645</v>
      </c>
      <c r="I229" s="42">
        <v>202500401</v>
      </c>
      <c r="J229" s="42"/>
      <c r="K229" s="43">
        <v>45833</v>
      </c>
      <c r="L229" s="43">
        <v>45837</v>
      </c>
      <c r="M229" s="42" t="s">
        <v>53</v>
      </c>
      <c r="N229" s="42" t="s">
        <v>54</v>
      </c>
      <c r="O229" s="42" t="s">
        <v>41</v>
      </c>
      <c r="P229" s="44">
        <v>4</v>
      </c>
      <c r="Q229" s="45">
        <v>3807.6615384615384</v>
      </c>
      <c r="R229" s="45">
        <v>5500</v>
      </c>
      <c r="S229" s="8">
        <f t="shared" si="3"/>
        <v>1692.3384615384616</v>
      </c>
    </row>
    <row r="230" spans="1:19">
      <c r="A230" s="5">
        <v>229</v>
      </c>
      <c r="B230" s="42">
        <v>2506211531</v>
      </c>
      <c r="C230" s="42" t="s">
        <v>668</v>
      </c>
      <c r="D230" s="42" t="s">
        <v>309</v>
      </c>
      <c r="E230" s="42" t="s">
        <v>310</v>
      </c>
      <c r="F230" s="42" t="s">
        <v>51</v>
      </c>
      <c r="G230" s="42" t="s">
        <v>52</v>
      </c>
      <c r="H230" s="42" t="s">
        <v>645</v>
      </c>
      <c r="I230" s="42">
        <v>202500402</v>
      </c>
      <c r="J230" s="42"/>
      <c r="K230" s="43">
        <v>45831</v>
      </c>
      <c r="L230" s="43">
        <v>45837</v>
      </c>
      <c r="M230" s="42" t="s">
        <v>53</v>
      </c>
      <c r="N230" s="42" t="s">
        <v>54</v>
      </c>
      <c r="O230" s="42" t="s">
        <v>41</v>
      </c>
      <c r="P230" s="44">
        <v>6</v>
      </c>
      <c r="Q230" s="45">
        <v>3807.6615384615384</v>
      </c>
      <c r="R230" s="45">
        <v>5500</v>
      </c>
      <c r="S230" s="8">
        <f t="shared" si="3"/>
        <v>1692.3384615384616</v>
      </c>
    </row>
    <row r="231" spans="1:19">
      <c r="A231" s="5">
        <v>230</v>
      </c>
      <c r="B231" s="42">
        <v>2505253215</v>
      </c>
      <c r="C231" s="42" t="s">
        <v>669</v>
      </c>
      <c r="D231" s="42" t="s">
        <v>444</v>
      </c>
      <c r="E231" s="42" t="s">
        <v>670</v>
      </c>
      <c r="F231" s="42" t="s">
        <v>109</v>
      </c>
      <c r="G231" s="42" t="s">
        <v>52</v>
      </c>
      <c r="H231" s="42" t="s">
        <v>645</v>
      </c>
      <c r="I231" s="42">
        <v>202500403</v>
      </c>
      <c r="J231" s="42"/>
      <c r="K231" s="43">
        <v>45833</v>
      </c>
      <c r="L231" s="43">
        <v>45837</v>
      </c>
      <c r="M231" s="42" t="s">
        <v>53</v>
      </c>
      <c r="N231" s="42" t="s">
        <v>54</v>
      </c>
      <c r="O231" s="42" t="s">
        <v>41</v>
      </c>
      <c r="P231" s="44">
        <v>4</v>
      </c>
      <c r="Q231" s="45">
        <v>3807.6615384615384</v>
      </c>
      <c r="R231" s="45">
        <v>5950</v>
      </c>
      <c r="S231" s="8">
        <f t="shared" si="3"/>
        <v>2142.3384615384616</v>
      </c>
    </row>
    <row r="232" spans="1:19">
      <c r="A232" s="5">
        <v>231</v>
      </c>
      <c r="B232" s="42">
        <v>2506260281</v>
      </c>
      <c r="C232" s="42" t="s">
        <v>671</v>
      </c>
      <c r="D232" s="42" t="s">
        <v>64</v>
      </c>
      <c r="E232" s="42" t="s">
        <v>65</v>
      </c>
      <c r="F232" s="42" t="s">
        <v>66</v>
      </c>
      <c r="G232" s="42" t="s">
        <v>52</v>
      </c>
      <c r="H232" s="42" t="s">
        <v>645</v>
      </c>
      <c r="I232" s="42">
        <v>202500404</v>
      </c>
      <c r="J232" s="42"/>
      <c r="K232" s="43">
        <v>45834</v>
      </c>
      <c r="L232" s="43">
        <v>45837</v>
      </c>
      <c r="M232" s="42" t="s">
        <v>53</v>
      </c>
      <c r="N232" s="42" t="s">
        <v>54</v>
      </c>
      <c r="O232" s="42" t="s">
        <v>41</v>
      </c>
      <c r="P232" s="44">
        <v>3</v>
      </c>
      <c r="Q232" s="45">
        <v>3807.6615384615384</v>
      </c>
      <c r="R232" s="45">
        <v>5500</v>
      </c>
      <c r="S232" s="8">
        <f t="shared" si="3"/>
        <v>1692.3384615384616</v>
      </c>
    </row>
    <row r="233" spans="1:19">
      <c r="A233" s="5">
        <v>232</v>
      </c>
      <c r="B233" s="42">
        <v>2506260284</v>
      </c>
      <c r="C233" s="42" t="s">
        <v>672</v>
      </c>
      <c r="D233" s="42" t="s">
        <v>293</v>
      </c>
      <c r="E233" s="42" t="s">
        <v>294</v>
      </c>
      <c r="F233" s="42" t="s">
        <v>51</v>
      </c>
      <c r="G233" s="42" t="s">
        <v>52</v>
      </c>
      <c r="H233" s="42" t="s">
        <v>645</v>
      </c>
      <c r="I233" s="42">
        <v>202500405</v>
      </c>
      <c r="J233" s="42"/>
      <c r="K233" s="43">
        <v>45834</v>
      </c>
      <c r="L233" s="43">
        <v>45837</v>
      </c>
      <c r="M233" s="42" t="s">
        <v>53</v>
      </c>
      <c r="N233" s="42" t="s">
        <v>54</v>
      </c>
      <c r="O233" s="42" t="s">
        <v>41</v>
      </c>
      <c r="P233" s="44">
        <v>3</v>
      </c>
      <c r="Q233" s="45">
        <v>3807.6615384615384</v>
      </c>
      <c r="R233" s="45">
        <v>6000</v>
      </c>
      <c r="S233" s="8">
        <f t="shared" si="3"/>
        <v>2192.3384615384616</v>
      </c>
    </row>
    <row r="234" spans="1:19">
      <c r="A234" s="5">
        <v>233</v>
      </c>
      <c r="B234" s="42">
        <v>2506261033</v>
      </c>
      <c r="C234" s="42" t="s">
        <v>673</v>
      </c>
      <c r="D234" s="42" t="s">
        <v>77</v>
      </c>
      <c r="E234" s="42" t="s">
        <v>78</v>
      </c>
      <c r="F234" s="42" t="s">
        <v>79</v>
      </c>
      <c r="G234" s="42" t="s">
        <v>75</v>
      </c>
      <c r="H234" s="42" t="s">
        <v>645</v>
      </c>
      <c r="I234" s="42">
        <v>202500406</v>
      </c>
      <c r="J234" s="42"/>
      <c r="K234" s="43">
        <v>45834</v>
      </c>
      <c r="L234" s="43">
        <v>45837</v>
      </c>
      <c r="M234" s="42" t="s">
        <v>53</v>
      </c>
      <c r="N234" s="42" t="s">
        <v>54</v>
      </c>
      <c r="O234" s="42" t="s">
        <v>41</v>
      </c>
      <c r="P234" s="44">
        <v>3</v>
      </c>
      <c r="Q234" s="45">
        <v>3807.6615384615384</v>
      </c>
      <c r="R234" s="45">
        <v>4500</v>
      </c>
      <c r="S234" s="8">
        <f t="shared" si="3"/>
        <v>692.33846153846162</v>
      </c>
    </row>
    <row r="235" spans="1:19">
      <c r="A235" s="5">
        <v>234</v>
      </c>
      <c r="B235" s="50">
        <v>2506162334</v>
      </c>
      <c r="C235" s="50" t="s">
        <v>559</v>
      </c>
      <c r="D235" s="50" t="s">
        <v>77</v>
      </c>
      <c r="E235" s="50" t="s">
        <v>78</v>
      </c>
      <c r="F235" s="50" t="s">
        <v>79</v>
      </c>
      <c r="G235" s="50" t="s">
        <v>52</v>
      </c>
      <c r="H235" s="50" t="s">
        <v>645</v>
      </c>
      <c r="I235" s="50">
        <v>202500407</v>
      </c>
      <c r="J235" s="50"/>
      <c r="K235" s="51">
        <v>45834</v>
      </c>
      <c r="L235" s="51">
        <v>45837</v>
      </c>
      <c r="M235" s="50" t="s">
        <v>53</v>
      </c>
      <c r="N235" s="50" t="s">
        <v>54</v>
      </c>
      <c r="O235" s="50" t="s">
        <v>425</v>
      </c>
      <c r="P235" s="52">
        <v>3</v>
      </c>
      <c r="Q235" s="53">
        <v>3807.6615384615384</v>
      </c>
      <c r="R235" s="53">
        <v>0</v>
      </c>
      <c r="S235" s="25">
        <f t="shared" si="3"/>
        <v>-3807.6615384615384</v>
      </c>
    </row>
    <row r="236" spans="1:19">
      <c r="A236" s="5">
        <v>235</v>
      </c>
      <c r="B236" s="42">
        <v>2506261783</v>
      </c>
      <c r="C236" s="42" t="s">
        <v>674</v>
      </c>
      <c r="D236" s="42" t="s">
        <v>334</v>
      </c>
      <c r="E236" s="42" t="s">
        <v>335</v>
      </c>
      <c r="F236" s="42" t="s">
        <v>71</v>
      </c>
      <c r="G236" s="42" t="s">
        <v>52</v>
      </c>
      <c r="H236" s="42" t="s">
        <v>645</v>
      </c>
      <c r="I236" s="42">
        <v>202500408</v>
      </c>
      <c r="J236" s="42"/>
      <c r="K236" s="43">
        <v>45834</v>
      </c>
      <c r="L236" s="43">
        <v>45837</v>
      </c>
      <c r="M236" s="42" t="s">
        <v>53</v>
      </c>
      <c r="N236" s="42" t="s">
        <v>54</v>
      </c>
      <c r="O236" s="42" t="s">
        <v>41</v>
      </c>
      <c r="P236" s="44">
        <v>3</v>
      </c>
      <c r="Q236" s="45">
        <v>3807.6615384615384</v>
      </c>
      <c r="R236" s="45">
        <v>5950</v>
      </c>
      <c r="S236" s="8">
        <f t="shared" si="3"/>
        <v>2142.3384615384616</v>
      </c>
    </row>
    <row r="237" spans="1:19">
      <c r="A237" s="5">
        <v>236</v>
      </c>
      <c r="B237" s="54">
        <v>2506261800</v>
      </c>
      <c r="C237" s="54" t="s">
        <v>675</v>
      </c>
      <c r="D237" s="54" t="s">
        <v>676</v>
      </c>
      <c r="E237" s="54" t="s">
        <v>677</v>
      </c>
      <c r="F237" s="54" t="s">
        <v>678</v>
      </c>
      <c r="G237" s="54" t="s">
        <v>52</v>
      </c>
      <c r="H237" s="54" t="s">
        <v>645</v>
      </c>
      <c r="I237" s="54">
        <v>202500409</v>
      </c>
      <c r="J237" s="54"/>
      <c r="K237" s="55">
        <v>45834</v>
      </c>
      <c r="L237" s="55">
        <v>45837</v>
      </c>
      <c r="M237" s="54" t="s">
        <v>45</v>
      </c>
      <c r="N237" s="54" t="s">
        <v>94</v>
      </c>
      <c r="O237" s="54" t="s">
        <v>679</v>
      </c>
      <c r="P237" s="56">
        <v>3</v>
      </c>
      <c r="Q237" s="57">
        <v>3807.6615384615384</v>
      </c>
      <c r="R237" s="57">
        <v>7500</v>
      </c>
      <c r="S237" s="12">
        <f t="shared" si="3"/>
        <v>3692.3384615384616</v>
      </c>
    </row>
    <row r="238" spans="1:19">
      <c r="A238" s="5">
        <v>237</v>
      </c>
      <c r="B238" s="42">
        <v>2506270053</v>
      </c>
      <c r="C238" s="42" t="s">
        <v>680</v>
      </c>
      <c r="D238" s="42" t="s">
        <v>681</v>
      </c>
      <c r="E238" s="42" t="s">
        <v>682</v>
      </c>
      <c r="F238" s="42" t="s">
        <v>66</v>
      </c>
      <c r="G238" s="42" t="s">
        <v>75</v>
      </c>
      <c r="H238" s="42" t="s">
        <v>645</v>
      </c>
      <c r="I238" s="42">
        <v>202500410</v>
      </c>
      <c r="J238" s="42"/>
      <c r="K238" s="43">
        <v>45835</v>
      </c>
      <c r="L238" s="43">
        <v>45837</v>
      </c>
      <c r="M238" s="42" t="s">
        <v>53</v>
      </c>
      <c r="N238" s="42" t="s">
        <v>54</v>
      </c>
      <c r="O238" s="42" t="s">
        <v>41</v>
      </c>
      <c r="P238" s="44">
        <v>2</v>
      </c>
      <c r="Q238" s="45">
        <v>3807.6615384615384</v>
      </c>
      <c r="R238" s="45">
        <v>4500</v>
      </c>
      <c r="S238" s="8">
        <f t="shared" si="3"/>
        <v>692.33846153846162</v>
      </c>
    </row>
    <row r="239" spans="1:19">
      <c r="A239" s="5">
        <v>238</v>
      </c>
      <c r="B239" s="5" t="s">
        <v>683</v>
      </c>
      <c r="C239" s="5"/>
      <c r="D239" s="5"/>
      <c r="E239" s="5"/>
      <c r="F239" s="5"/>
      <c r="G239" s="42" t="s">
        <v>52</v>
      </c>
      <c r="H239" s="5"/>
      <c r="I239" s="5"/>
      <c r="J239" s="5"/>
      <c r="K239" s="5"/>
      <c r="L239" s="5"/>
      <c r="M239" s="5"/>
      <c r="N239" s="5"/>
      <c r="O239" s="5"/>
      <c r="P239" s="5"/>
      <c r="Q239" s="45">
        <v>3807.6615384615384</v>
      </c>
      <c r="R239" s="45">
        <v>0</v>
      </c>
      <c r="S239" s="8">
        <f t="shared" si="3"/>
        <v>-3807.6615384615384</v>
      </c>
    </row>
    <row r="240" spans="1:19">
      <c r="A240" s="5">
        <v>239</v>
      </c>
      <c r="B240" s="5" t="s">
        <v>684</v>
      </c>
      <c r="C240" s="5"/>
      <c r="D240" s="5"/>
      <c r="E240" s="5"/>
      <c r="F240" s="5"/>
      <c r="G240" s="42" t="s">
        <v>52</v>
      </c>
      <c r="H240" s="5"/>
      <c r="I240" s="5"/>
      <c r="J240" s="5"/>
      <c r="K240" s="5"/>
      <c r="L240" s="5"/>
      <c r="M240" s="5"/>
      <c r="N240" s="5"/>
      <c r="O240" s="5"/>
      <c r="P240" s="5"/>
      <c r="Q240" s="45">
        <v>3807.6615384615384</v>
      </c>
      <c r="R240" s="45">
        <v>0</v>
      </c>
      <c r="S240" s="8">
        <f t="shared" si="3"/>
        <v>-3807.6615384615384</v>
      </c>
    </row>
    <row r="243" spans="3:5">
      <c r="C243" s="5" t="s">
        <v>19</v>
      </c>
      <c r="D243" s="37">
        <f>AVERAGE(P:P)</f>
        <v>4.5954545454545457</v>
      </c>
    </row>
    <row r="244" spans="3:5">
      <c r="C244" s="5" t="s">
        <v>12</v>
      </c>
      <c r="D244" s="5">
        <f>COUNTIF(N:N,"Repeat")</f>
        <v>26</v>
      </c>
      <c r="E244" s="38">
        <f>D244/220</f>
        <v>0.11818181818181818</v>
      </c>
    </row>
    <row r="245" spans="3:5">
      <c r="C245" s="5" t="s">
        <v>13</v>
      </c>
      <c r="D245" s="5">
        <f>COUNTIF(N:N,"Resampling")</f>
        <v>7</v>
      </c>
      <c r="E245" s="38">
        <f>D245/220</f>
        <v>3.1818181818181815E-2</v>
      </c>
    </row>
    <row r="246" spans="3:5">
      <c r="C246" s="5" t="s">
        <v>15</v>
      </c>
      <c r="D246" s="5">
        <f>COUNTIF(N:N,"Refund")</f>
        <v>0</v>
      </c>
      <c r="E246" s="38">
        <f>D246/220</f>
        <v>0</v>
      </c>
    </row>
    <row r="247" spans="3:5">
      <c r="C247" s="5" t="s">
        <v>14</v>
      </c>
      <c r="D247" s="5">
        <f>COUNTIF(N:N,"High risk")</f>
        <v>5</v>
      </c>
      <c r="E247" s="38">
        <f>D247/220</f>
        <v>2.2727272727272728E-2</v>
      </c>
    </row>
    <row r="248" spans="3:5">
      <c r="C248" s="5" t="s">
        <v>11</v>
      </c>
      <c r="D248" s="8">
        <f>SUM(Q:Q)</f>
        <v>981382.00000000128</v>
      </c>
    </row>
    <row r="249" spans="3:5">
      <c r="C249" s="5" t="s">
        <v>10</v>
      </c>
      <c r="D249" s="8">
        <f>AVERAGE(Q:Q)</f>
        <v>4106.2008368200886</v>
      </c>
    </row>
    <row r="250" spans="3:5">
      <c r="C250" s="5" t="s">
        <v>16</v>
      </c>
      <c r="D250" s="8">
        <f>SUM(R:R)</f>
        <v>1294150</v>
      </c>
    </row>
    <row r="251" spans="3:5">
      <c r="C251" s="5" t="s">
        <v>17</v>
      </c>
      <c r="D251" s="8">
        <f>D250-D248</f>
        <v>312767.99999999872</v>
      </c>
    </row>
  </sheetData>
  <dataValidations count="1">
    <dataValidation type="list" allowBlank="1" showInputMessage="1" showErrorMessage="1" sqref="G1:G135 G138:G161 G164:G187 G190:G213" xr:uid="{80427FCC-DBE0-F24A-A6FA-C6E2E6A5343F}">
      <formula1>"Basic,Standard,Advanced,Twin"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DDDF5-50B4-7945-9AF7-66DF49D4CB57}">
  <dimension ref="A1:U373"/>
  <sheetViews>
    <sheetView topLeftCell="B275" workbookViewId="0">
      <selection activeCell="M295" sqref="M295"/>
    </sheetView>
  </sheetViews>
  <sheetFormatPr baseColWidth="10" defaultRowHeight="16"/>
  <cols>
    <col min="1" max="1" width="4" bestFit="1" customWidth="1"/>
    <col min="2" max="2" width="11.1640625" bestFit="1" customWidth="1"/>
    <col min="3" max="3" width="23.6640625" bestFit="1" customWidth="1"/>
    <col min="4" max="4" width="31.33203125" bestFit="1" customWidth="1"/>
    <col min="5" max="5" width="24.33203125" bestFit="1" customWidth="1"/>
    <col min="6" max="6" width="8.33203125" bestFit="1" customWidth="1"/>
    <col min="7" max="7" width="11.83203125" bestFit="1" customWidth="1"/>
    <col min="8" max="9" width="12.83203125" bestFit="1" customWidth="1"/>
    <col min="10" max="10" width="11.6640625" bestFit="1" customWidth="1"/>
    <col min="11" max="11" width="13" bestFit="1" customWidth="1"/>
    <col min="12" max="12" width="13.33203125" bestFit="1" customWidth="1"/>
    <col min="13" max="13" width="4.83203125" bestFit="1" customWidth="1"/>
    <col min="14" max="14" width="10.5" bestFit="1" customWidth="1"/>
    <col min="15" max="15" width="16.1640625" customWidth="1"/>
    <col min="16" max="16" width="3.83203125" bestFit="1" customWidth="1"/>
    <col min="17" max="17" width="9.5" bestFit="1" customWidth="1"/>
    <col min="18" max="19" width="10.5" bestFit="1" customWidth="1"/>
  </cols>
  <sheetData>
    <row r="1" spans="1:19">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4" t="s">
        <v>36</v>
      </c>
      <c r="R1" s="4" t="s">
        <v>37</v>
      </c>
      <c r="S1" s="3" t="s">
        <v>38</v>
      </c>
    </row>
    <row r="2" spans="1:19">
      <c r="A2" s="5">
        <v>1</v>
      </c>
      <c r="B2" s="5">
        <v>2506261828</v>
      </c>
      <c r="C2" s="5" t="s">
        <v>686</v>
      </c>
      <c r="D2" s="5" t="s">
        <v>159</v>
      </c>
      <c r="E2" s="5" t="s">
        <v>41</v>
      </c>
      <c r="F2" s="5" t="s">
        <v>41</v>
      </c>
      <c r="G2" s="5" t="s">
        <v>52</v>
      </c>
      <c r="H2" s="5" t="s">
        <v>687</v>
      </c>
      <c r="I2" s="5">
        <v>202500433</v>
      </c>
      <c r="J2" s="5"/>
      <c r="K2" s="6">
        <v>45834</v>
      </c>
      <c r="L2" s="6">
        <v>45840</v>
      </c>
      <c r="M2" s="5" t="s">
        <v>53</v>
      </c>
      <c r="N2" s="5" t="s">
        <v>54</v>
      </c>
      <c r="O2" s="5" t="s">
        <v>41</v>
      </c>
      <c r="P2" s="30">
        <v>6</v>
      </c>
      <c r="Q2" s="7">
        <v>3807.6615384615384</v>
      </c>
      <c r="R2" s="7">
        <v>8000</v>
      </c>
      <c r="S2" s="8">
        <f>R2-Q2</f>
        <v>4192.3384615384621</v>
      </c>
    </row>
    <row r="3" spans="1:19">
      <c r="A3" s="5">
        <v>2</v>
      </c>
      <c r="B3" s="9">
        <v>2506261849</v>
      </c>
      <c r="C3" s="9" t="s">
        <v>688</v>
      </c>
      <c r="D3" s="9" t="s">
        <v>309</v>
      </c>
      <c r="E3" s="9" t="s">
        <v>310</v>
      </c>
      <c r="F3" s="9" t="s">
        <v>51</v>
      </c>
      <c r="G3" s="9" t="s">
        <v>52</v>
      </c>
      <c r="H3" s="9" t="s">
        <v>687</v>
      </c>
      <c r="I3" s="9">
        <v>202500434</v>
      </c>
      <c r="J3" s="9"/>
      <c r="K3" s="10">
        <v>45834</v>
      </c>
      <c r="L3" s="10">
        <v>45840</v>
      </c>
      <c r="M3" s="9" t="s">
        <v>45</v>
      </c>
      <c r="N3" s="9" t="s">
        <v>94</v>
      </c>
      <c r="O3" s="9" t="s">
        <v>689</v>
      </c>
      <c r="P3" s="32">
        <v>6</v>
      </c>
      <c r="Q3" s="11">
        <v>3807.6615384615384</v>
      </c>
      <c r="R3" s="11">
        <v>5500</v>
      </c>
      <c r="S3" s="12">
        <f t="shared" ref="S3:S53" si="0">R3-Q3</f>
        <v>1692.3384615384616</v>
      </c>
    </row>
    <row r="4" spans="1:19">
      <c r="A4" s="5">
        <v>3</v>
      </c>
      <c r="B4" s="5">
        <v>2506273070</v>
      </c>
      <c r="C4" s="5" t="s">
        <v>690</v>
      </c>
      <c r="D4" s="5" t="s">
        <v>77</v>
      </c>
      <c r="E4" s="5" t="s">
        <v>78</v>
      </c>
      <c r="F4" s="5" t="s">
        <v>79</v>
      </c>
      <c r="G4" s="5" t="s">
        <v>52</v>
      </c>
      <c r="H4" s="5" t="s">
        <v>687</v>
      </c>
      <c r="I4" s="5">
        <v>202500435</v>
      </c>
      <c r="J4" s="5"/>
      <c r="K4" s="6">
        <v>45835</v>
      </c>
      <c r="L4" s="6">
        <v>45840</v>
      </c>
      <c r="M4" s="5" t="s">
        <v>53</v>
      </c>
      <c r="N4" s="5" t="s">
        <v>54</v>
      </c>
      <c r="O4" s="5" t="s">
        <v>41</v>
      </c>
      <c r="P4" s="30">
        <v>5</v>
      </c>
      <c r="Q4" s="7">
        <v>3807.6615384615384</v>
      </c>
      <c r="R4" s="7">
        <v>5500</v>
      </c>
      <c r="S4" s="8">
        <f t="shared" si="0"/>
        <v>1692.3384615384616</v>
      </c>
    </row>
    <row r="5" spans="1:19">
      <c r="A5" s="5">
        <v>4</v>
      </c>
      <c r="B5" s="5">
        <v>2506273079</v>
      </c>
      <c r="C5" s="5" t="s">
        <v>691</v>
      </c>
      <c r="D5" s="5" t="s">
        <v>564</v>
      </c>
      <c r="E5" s="5" t="s">
        <v>589</v>
      </c>
      <c r="F5" s="5" t="s">
        <v>71</v>
      </c>
      <c r="G5" s="5" t="s">
        <v>52</v>
      </c>
      <c r="H5" s="5" t="s">
        <v>687</v>
      </c>
      <c r="I5" s="5">
        <v>202500436</v>
      </c>
      <c r="J5" s="5"/>
      <c r="K5" s="6">
        <v>45835</v>
      </c>
      <c r="L5" s="6">
        <v>45840</v>
      </c>
      <c r="M5" s="5" t="s">
        <v>53</v>
      </c>
      <c r="N5" s="5" t="s">
        <v>54</v>
      </c>
      <c r="O5" s="5" t="s">
        <v>41</v>
      </c>
      <c r="P5" s="30">
        <v>5</v>
      </c>
      <c r="Q5" s="7">
        <v>3807.6615384615384</v>
      </c>
      <c r="R5" s="7">
        <v>8500</v>
      </c>
      <c r="S5" s="8">
        <f t="shared" si="0"/>
        <v>4692.3384615384621</v>
      </c>
    </row>
    <row r="6" spans="1:19">
      <c r="A6" s="5">
        <v>5</v>
      </c>
      <c r="B6" s="9">
        <v>2506273087</v>
      </c>
      <c r="C6" s="9" t="s">
        <v>692</v>
      </c>
      <c r="D6" s="9" t="s">
        <v>309</v>
      </c>
      <c r="E6" s="9" t="s">
        <v>310</v>
      </c>
      <c r="F6" s="9" t="s">
        <v>51</v>
      </c>
      <c r="G6" s="9" t="s">
        <v>52</v>
      </c>
      <c r="H6" s="9" t="s">
        <v>687</v>
      </c>
      <c r="I6" s="9">
        <v>202500437</v>
      </c>
      <c r="J6" s="9"/>
      <c r="K6" s="10">
        <v>45835</v>
      </c>
      <c r="L6" s="10">
        <v>45840</v>
      </c>
      <c r="M6" s="9" t="s">
        <v>45</v>
      </c>
      <c r="N6" s="9" t="s">
        <v>94</v>
      </c>
      <c r="O6" s="9" t="s">
        <v>389</v>
      </c>
      <c r="P6" s="32">
        <v>5</v>
      </c>
      <c r="Q6" s="11">
        <v>3807.6615384615384</v>
      </c>
      <c r="R6" s="11">
        <v>5500</v>
      </c>
      <c r="S6" s="12">
        <f t="shared" si="0"/>
        <v>1692.3384615384616</v>
      </c>
    </row>
    <row r="7" spans="1:19">
      <c r="A7" s="5">
        <v>6</v>
      </c>
      <c r="B7" s="5">
        <v>2506273101</v>
      </c>
      <c r="C7" s="5" t="s">
        <v>693</v>
      </c>
      <c r="D7" s="5" t="s">
        <v>564</v>
      </c>
      <c r="E7" s="5" t="s">
        <v>694</v>
      </c>
      <c r="F7" s="5" t="s">
        <v>71</v>
      </c>
      <c r="G7" s="5" t="s">
        <v>52</v>
      </c>
      <c r="H7" s="5" t="s">
        <v>687</v>
      </c>
      <c r="I7" s="5">
        <v>202500438</v>
      </c>
      <c r="J7" s="5"/>
      <c r="K7" s="6">
        <v>45835</v>
      </c>
      <c r="L7" s="6">
        <v>45840</v>
      </c>
      <c r="M7" s="5" t="s">
        <v>53</v>
      </c>
      <c r="N7" s="5" t="s">
        <v>54</v>
      </c>
      <c r="O7" s="5" t="s">
        <v>41</v>
      </c>
      <c r="P7" s="30">
        <v>5</v>
      </c>
      <c r="Q7" s="7">
        <v>3807.6615384615384</v>
      </c>
      <c r="R7" s="7">
        <v>8500</v>
      </c>
      <c r="S7" s="8">
        <f t="shared" si="0"/>
        <v>4692.3384615384621</v>
      </c>
    </row>
    <row r="8" spans="1:19">
      <c r="A8" s="5">
        <v>7</v>
      </c>
      <c r="B8" s="5">
        <v>2506273101</v>
      </c>
      <c r="C8" s="5" t="s">
        <v>695</v>
      </c>
      <c r="D8" s="5" t="s">
        <v>393</v>
      </c>
      <c r="E8" s="5" t="s">
        <v>394</v>
      </c>
      <c r="F8" s="5" t="s">
        <v>202</v>
      </c>
      <c r="G8" s="5" t="s">
        <v>43</v>
      </c>
      <c r="H8" s="5" t="s">
        <v>687</v>
      </c>
      <c r="I8" s="5">
        <v>202500439</v>
      </c>
      <c r="J8" s="5"/>
      <c r="K8" s="6">
        <v>45835</v>
      </c>
      <c r="L8" s="6">
        <v>45840</v>
      </c>
      <c r="M8" s="5" t="s">
        <v>53</v>
      </c>
      <c r="N8" s="5" t="s">
        <v>54</v>
      </c>
      <c r="O8" s="5" t="s">
        <v>41</v>
      </c>
      <c r="P8" s="30">
        <v>5</v>
      </c>
      <c r="Q8" s="7">
        <v>3807.6615384615384</v>
      </c>
      <c r="R8" s="7">
        <v>13500</v>
      </c>
      <c r="S8" s="8">
        <f t="shared" si="0"/>
        <v>9692.3384615384621</v>
      </c>
    </row>
    <row r="9" spans="1:19">
      <c r="A9" s="5">
        <v>8</v>
      </c>
      <c r="B9" s="5">
        <v>2506273119</v>
      </c>
      <c r="C9" s="5" t="s">
        <v>696</v>
      </c>
      <c r="D9" s="5" t="s">
        <v>405</v>
      </c>
      <c r="E9" s="5" t="s">
        <v>485</v>
      </c>
      <c r="F9" s="5" t="s">
        <v>202</v>
      </c>
      <c r="G9" s="5" t="s">
        <v>52</v>
      </c>
      <c r="H9" s="5" t="s">
        <v>687</v>
      </c>
      <c r="I9" s="5">
        <v>202500440</v>
      </c>
      <c r="J9" s="5"/>
      <c r="K9" s="6">
        <v>45835</v>
      </c>
      <c r="L9" s="6">
        <v>45840</v>
      </c>
      <c r="M9" s="5" t="s">
        <v>53</v>
      </c>
      <c r="N9" s="5" t="s">
        <v>54</v>
      </c>
      <c r="O9" s="5" t="s">
        <v>41</v>
      </c>
      <c r="P9" s="30">
        <v>5</v>
      </c>
      <c r="Q9" s="7">
        <v>3807.6615384615384</v>
      </c>
      <c r="R9" s="7">
        <v>6450</v>
      </c>
      <c r="S9" s="8">
        <f t="shared" si="0"/>
        <v>2642.3384615384616</v>
      </c>
    </row>
    <row r="10" spans="1:19">
      <c r="A10" s="5">
        <v>9</v>
      </c>
      <c r="B10" s="5">
        <v>2506280029</v>
      </c>
      <c r="C10" s="5" t="s">
        <v>697</v>
      </c>
      <c r="D10" s="5" t="s">
        <v>405</v>
      </c>
      <c r="E10" s="5" t="s">
        <v>485</v>
      </c>
      <c r="F10" s="5" t="s">
        <v>202</v>
      </c>
      <c r="G10" s="5" t="s">
        <v>52</v>
      </c>
      <c r="H10" s="5" t="s">
        <v>687</v>
      </c>
      <c r="I10" s="5">
        <v>202500441</v>
      </c>
      <c r="J10" s="5"/>
      <c r="K10" s="6">
        <v>45836</v>
      </c>
      <c r="L10" s="6">
        <v>45840</v>
      </c>
      <c r="M10" s="5" t="s">
        <v>53</v>
      </c>
      <c r="N10" s="5" t="s">
        <v>54</v>
      </c>
      <c r="O10" s="5" t="s">
        <v>41</v>
      </c>
      <c r="P10" s="30">
        <v>4</v>
      </c>
      <c r="Q10" s="7">
        <v>3807.6615384615384</v>
      </c>
      <c r="R10" s="7">
        <v>6450</v>
      </c>
      <c r="S10" s="8">
        <f t="shared" si="0"/>
        <v>2642.3384615384616</v>
      </c>
    </row>
    <row r="11" spans="1:19">
      <c r="A11" s="5">
        <v>10</v>
      </c>
      <c r="B11" s="5">
        <v>2506280030</v>
      </c>
      <c r="C11" s="5" t="s">
        <v>698</v>
      </c>
      <c r="D11" s="5" t="s">
        <v>86</v>
      </c>
      <c r="E11" s="5" t="s">
        <v>699</v>
      </c>
      <c r="F11" s="5" t="s">
        <v>87</v>
      </c>
      <c r="G11" s="5" t="s">
        <v>75</v>
      </c>
      <c r="H11" s="5" t="s">
        <v>687</v>
      </c>
      <c r="I11" s="5">
        <v>202500442</v>
      </c>
      <c r="J11" s="5"/>
      <c r="K11" s="6">
        <v>45836</v>
      </c>
      <c r="L11" s="6">
        <v>45840</v>
      </c>
      <c r="M11" s="5" t="s">
        <v>53</v>
      </c>
      <c r="N11" s="5" t="s">
        <v>54</v>
      </c>
      <c r="O11" s="5" t="s">
        <v>41</v>
      </c>
      <c r="P11" s="30">
        <v>4</v>
      </c>
      <c r="Q11" s="7">
        <v>3807.6615384615384</v>
      </c>
      <c r="R11" s="7">
        <v>4500</v>
      </c>
      <c r="S11" s="8">
        <f t="shared" si="0"/>
        <v>692.33846153846162</v>
      </c>
    </row>
    <row r="12" spans="1:19">
      <c r="A12" s="5">
        <v>11</v>
      </c>
      <c r="B12" s="5">
        <v>2506280031</v>
      </c>
      <c r="C12" s="5" t="s">
        <v>700</v>
      </c>
      <c r="D12" s="5" t="s">
        <v>86</v>
      </c>
      <c r="E12" s="5" t="s">
        <v>699</v>
      </c>
      <c r="F12" s="5" t="s">
        <v>87</v>
      </c>
      <c r="G12" s="5" t="s">
        <v>43</v>
      </c>
      <c r="H12" s="5" t="s">
        <v>687</v>
      </c>
      <c r="I12" s="5">
        <v>202500443</v>
      </c>
      <c r="J12" s="5"/>
      <c r="K12" s="6">
        <v>45836</v>
      </c>
      <c r="L12" s="6">
        <v>45840</v>
      </c>
      <c r="M12" s="5" t="s">
        <v>53</v>
      </c>
      <c r="N12" s="5" t="s">
        <v>54</v>
      </c>
      <c r="O12" s="5" t="s">
        <v>41</v>
      </c>
      <c r="P12" s="30">
        <v>4</v>
      </c>
      <c r="Q12" s="7">
        <v>3807.6615384615384</v>
      </c>
      <c r="R12" s="7">
        <v>11000</v>
      </c>
      <c r="S12" s="8">
        <f t="shared" si="0"/>
        <v>7192.3384615384621</v>
      </c>
    </row>
    <row r="13" spans="1:19">
      <c r="A13" s="5">
        <v>12</v>
      </c>
      <c r="B13" s="5">
        <v>2506282460</v>
      </c>
      <c r="C13" s="5" t="s">
        <v>701</v>
      </c>
      <c r="D13" s="5" t="s">
        <v>405</v>
      </c>
      <c r="E13" s="5" t="s">
        <v>526</v>
      </c>
      <c r="F13" s="5" t="s">
        <v>202</v>
      </c>
      <c r="G13" s="5" t="s">
        <v>52</v>
      </c>
      <c r="H13" s="5" t="s">
        <v>687</v>
      </c>
      <c r="I13" s="5">
        <v>202500444</v>
      </c>
      <c r="J13" s="5"/>
      <c r="K13" s="6">
        <v>45836</v>
      </c>
      <c r="L13" s="6">
        <v>45840</v>
      </c>
      <c r="M13" s="5" t="s">
        <v>53</v>
      </c>
      <c r="N13" s="5" t="s">
        <v>54</v>
      </c>
      <c r="O13" s="5" t="s">
        <v>41</v>
      </c>
      <c r="P13" s="30">
        <v>4</v>
      </c>
      <c r="Q13" s="7">
        <v>3807.6615384615384</v>
      </c>
      <c r="R13" s="7">
        <v>6450</v>
      </c>
      <c r="S13" s="8">
        <f t="shared" si="0"/>
        <v>2642.3384615384616</v>
      </c>
    </row>
    <row r="14" spans="1:19">
      <c r="A14" s="5">
        <v>13</v>
      </c>
      <c r="B14" s="5">
        <v>2506282468</v>
      </c>
      <c r="C14" s="5" t="s">
        <v>702</v>
      </c>
      <c r="D14" s="5" t="s">
        <v>550</v>
      </c>
      <c r="E14" s="5" t="s">
        <v>597</v>
      </c>
      <c r="F14" s="5" t="s">
        <v>51</v>
      </c>
      <c r="G14" s="5" t="s">
        <v>52</v>
      </c>
      <c r="H14" s="5" t="s">
        <v>687</v>
      </c>
      <c r="I14" s="5">
        <v>202500445</v>
      </c>
      <c r="J14" s="5"/>
      <c r="K14" s="6">
        <v>45836</v>
      </c>
      <c r="L14" s="6">
        <v>45840</v>
      </c>
      <c r="M14" s="5" t="s">
        <v>53</v>
      </c>
      <c r="N14" s="5" t="s">
        <v>54</v>
      </c>
      <c r="O14" s="5" t="s">
        <v>41</v>
      </c>
      <c r="P14" s="30">
        <v>4</v>
      </c>
      <c r="Q14" s="7">
        <v>3807.6615384615384</v>
      </c>
      <c r="R14" s="7">
        <v>7000</v>
      </c>
      <c r="S14" s="8">
        <f t="shared" si="0"/>
        <v>3192.3384615384616</v>
      </c>
    </row>
    <row r="15" spans="1:19">
      <c r="A15" s="5">
        <v>14</v>
      </c>
      <c r="B15" s="5">
        <v>2506282474</v>
      </c>
      <c r="C15" s="5" t="s">
        <v>703</v>
      </c>
      <c r="D15" s="5" t="s">
        <v>77</v>
      </c>
      <c r="E15" s="5" t="s">
        <v>78</v>
      </c>
      <c r="F15" s="5" t="s">
        <v>79</v>
      </c>
      <c r="G15" s="5" t="s">
        <v>52</v>
      </c>
      <c r="H15" s="5" t="s">
        <v>687</v>
      </c>
      <c r="I15" s="5">
        <v>202500446</v>
      </c>
      <c r="J15" s="5"/>
      <c r="K15" s="6">
        <v>45836</v>
      </c>
      <c r="L15" s="6">
        <v>45840</v>
      </c>
      <c r="M15" s="5" t="s">
        <v>53</v>
      </c>
      <c r="N15" s="5" t="s">
        <v>54</v>
      </c>
      <c r="O15" s="5" t="s">
        <v>41</v>
      </c>
      <c r="P15" s="30">
        <v>4</v>
      </c>
      <c r="Q15" s="7">
        <v>3807.6615384615384</v>
      </c>
      <c r="R15" s="7">
        <v>5500</v>
      </c>
      <c r="S15" s="8">
        <f t="shared" si="0"/>
        <v>1692.3384615384616</v>
      </c>
    </row>
    <row r="16" spans="1:19">
      <c r="A16" s="5">
        <v>15</v>
      </c>
      <c r="B16" s="5">
        <v>2506282480</v>
      </c>
      <c r="C16" s="5" t="s">
        <v>704</v>
      </c>
      <c r="D16" s="5" t="s">
        <v>321</v>
      </c>
      <c r="E16" s="5" t="s">
        <v>322</v>
      </c>
      <c r="F16" s="5" t="s">
        <v>202</v>
      </c>
      <c r="G16" s="5" t="s">
        <v>75</v>
      </c>
      <c r="H16" s="5" t="s">
        <v>687</v>
      </c>
      <c r="I16" s="5">
        <v>202500447</v>
      </c>
      <c r="J16" s="5"/>
      <c r="K16" s="6">
        <v>45836</v>
      </c>
      <c r="L16" s="6">
        <v>45840</v>
      </c>
      <c r="M16" s="5" t="s">
        <v>53</v>
      </c>
      <c r="N16" s="5" t="s">
        <v>54</v>
      </c>
      <c r="O16" s="5" t="s">
        <v>41</v>
      </c>
      <c r="P16" s="30">
        <v>4</v>
      </c>
      <c r="Q16" s="7">
        <v>3807.6615384615384</v>
      </c>
      <c r="R16" s="7">
        <v>4900</v>
      </c>
      <c r="S16" s="8">
        <f t="shared" si="0"/>
        <v>1092.3384615384616</v>
      </c>
    </row>
    <row r="17" spans="1:21">
      <c r="A17" s="5">
        <v>16</v>
      </c>
      <c r="B17" s="5">
        <v>2506282486</v>
      </c>
      <c r="C17" s="5" t="s">
        <v>705</v>
      </c>
      <c r="D17" s="5" t="s">
        <v>706</v>
      </c>
      <c r="E17" s="5" t="s">
        <v>707</v>
      </c>
      <c r="F17" s="5" t="s">
        <v>79</v>
      </c>
      <c r="G17" s="5" t="s">
        <v>52</v>
      </c>
      <c r="H17" s="5" t="s">
        <v>687</v>
      </c>
      <c r="I17" s="5">
        <v>202500448</v>
      </c>
      <c r="J17" s="5"/>
      <c r="K17" s="6">
        <v>45836</v>
      </c>
      <c r="L17" s="6">
        <v>45840</v>
      </c>
      <c r="M17" s="5" t="s">
        <v>53</v>
      </c>
      <c r="N17" s="5" t="s">
        <v>54</v>
      </c>
      <c r="O17" s="5" t="s">
        <v>41</v>
      </c>
      <c r="P17" s="30">
        <v>4</v>
      </c>
      <c r="Q17" s="7">
        <v>3807.6615384615384</v>
      </c>
      <c r="R17" s="7">
        <v>6000</v>
      </c>
      <c r="S17" s="8">
        <f t="shared" si="0"/>
        <v>2192.3384615384616</v>
      </c>
    </row>
    <row r="18" spans="1:21">
      <c r="A18" s="5">
        <v>17</v>
      </c>
      <c r="B18" s="5">
        <v>2506282497</v>
      </c>
      <c r="C18" s="5" t="s">
        <v>708</v>
      </c>
      <c r="D18" s="5" t="s">
        <v>528</v>
      </c>
      <c r="E18" s="5" t="s">
        <v>529</v>
      </c>
      <c r="F18" s="5" t="s">
        <v>202</v>
      </c>
      <c r="G18" s="5" t="s">
        <v>52</v>
      </c>
      <c r="H18" s="5" t="s">
        <v>687</v>
      </c>
      <c r="I18" s="5">
        <v>202500449</v>
      </c>
      <c r="J18" s="5"/>
      <c r="K18" s="6">
        <v>45836</v>
      </c>
      <c r="L18" s="6">
        <v>45840</v>
      </c>
      <c r="M18" s="5" t="s">
        <v>53</v>
      </c>
      <c r="N18" s="5" t="s">
        <v>54</v>
      </c>
      <c r="O18" s="5" t="s">
        <v>41</v>
      </c>
      <c r="P18" s="30">
        <v>4</v>
      </c>
      <c r="Q18" s="7">
        <v>3807.6615384615384</v>
      </c>
      <c r="R18" s="7">
        <v>7500</v>
      </c>
      <c r="S18" s="8">
        <f t="shared" si="0"/>
        <v>3692.3384615384616</v>
      </c>
    </row>
    <row r="19" spans="1:21">
      <c r="A19" s="5">
        <v>18</v>
      </c>
      <c r="B19" s="5">
        <v>2506282502</v>
      </c>
      <c r="C19" s="5" t="s">
        <v>709</v>
      </c>
      <c r="D19" s="5" t="s">
        <v>528</v>
      </c>
      <c r="E19" s="5" t="s">
        <v>529</v>
      </c>
      <c r="F19" s="5" t="s">
        <v>202</v>
      </c>
      <c r="G19" s="5" t="s">
        <v>52</v>
      </c>
      <c r="H19" s="5" t="s">
        <v>687</v>
      </c>
      <c r="I19" s="5">
        <v>202500450</v>
      </c>
      <c r="J19" s="5"/>
      <c r="K19" s="6">
        <v>45836</v>
      </c>
      <c r="L19" s="6">
        <v>45840</v>
      </c>
      <c r="M19" s="5" t="s">
        <v>53</v>
      </c>
      <c r="N19" s="5" t="s">
        <v>54</v>
      </c>
      <c r="O19" s="5" t="s">
        <v>41</v>
      </c>
      <c r="P19" s="30">
        <v>4</v>
      </c>
      <c r="Q19" s="7">
        <v>3807.6615384615384</v>
      </c>
      <c r="R19" s="7">
        <v>7500</v>
      </c>
      <c r="S19" s="8">
        <f t="shared" si="0"/>
        <v>3692.3384615384616</v>
      </c>
    </row>
    <row r="20" spans="1:21">
      <c r="A20" s="5">
        <v>19</v>
      </c>
      <c r="B20" s="5">
        <v>2506282510</v>
      </c>
      <c r="C20" s="5" t="s">
        <v>710</v>
      </c>
      <c r="D20" s="5" t="s">
        <v>711</v>
      </c>
      <c r="E20" s="5" t="s">
        <v>712</v>
      </c>
      <c r="F20" s="5" t="s">
        <v>71</v>
      </c>
      <c r="G20" s="5" t="s">
        <v>43</v>
      </c>
      <c r="H20" s="5" t="s">
        <v>687</v>
      </c>
      <c r="I20" s="5">
        <v>202500451</v>
      </c>
      <c r="J20" s="5"/>
      <c r="K20" s="6">
        <v>45836</v>
      </c>
      <c r="L20" s="6">
        <v>45840</v>
      </c>
      <c r="M20" s="5" t="s">
        <v>53</v>
      </c>
      <c r="N20" s="5" t="s">
        <v>54</v>
      </c>
      <c r="O20" s="5" t="s">
        <v>41</v>
      </c>
      <c r="P20" s="30">
        <v>4</v>
      </c>
      <c r="Q20" s="7">
        <v>3807.6615384615384</v>
      </c>
      <c r="R20" s="7">
        <v>12000</v>
      </c>
      <c r="S20" s="8">
        <f t="shared" si="0"/>
        <v>8192.3384615384621</v>
      </c>
    </row>
    <row r="21" spans="1:21">
      <c r="A21" s="5">
        <v>20</v>
      </c>
      <c r="B21" s="5">
        <v>2506281404</v>
      </c>
      <c r="C21" s="5" t="s">
        <v>713</v>
      </c>
      <c r="D21" s="5" t="s">
        <v>159</v>
      </c>
      <c r="E21" s="5" t="s">
        <v>41</v>
      </c>
      <c r="F21" s="5" t="s">
        <v>41</v>
      </c>
      <c r="G21" s="5" t="s">
        <v>75</v>
      </c>
      <c r="H21" s="5" t="s">
        <v>687</v>
      </c>
      <c r="I21" s="5">
        <v>202500452</v>
      </c>
      <c r="J21" s="5"/>
      <c r="K21" s="6">
        <v>45836</v>
      </c>
      <c r="L21" s="6">
        <v>45840</v>
      </c>
      <c r="M21" s="5" t="s">
        <v>53</v>
      </c>
      <c r="N21" s="5" t="s">
        <v>54</v>
      </c>
      <c r="O21" s="5" t="s">
        <v>41</v>
      </c>
      <c r="P21" s="30">
        <v>4</v>
      </c>
      <c r="Q21" s="7">
        <v>3807.6615384615384</v>
      </c>
      <c r="R21" s="7">
        <v>4900</v>
      </c>
      <c r="S21" s="8">
        <f t="shared" si="0"/>
        <v>1092.3384615384616</v>
      </c>
    </row>
    <row r="22" spans="1:21">
      <c r="A22" s="5">
        <v>21</v>
      </c>
      <c r="B22" s="5">
        <v>2506282518</v>
      </c>
      <c r="C22" s="5" t="s">
        <v>714</v>
      </c>
      <c r="D22" s="5" t="s">
        <v>715</v>
      </c>
      <c r="E22" s="5" t="s">
        <v>716</v>
      </c>
      <c r="F22" s="5" t="s">
        <v>71</v>
      </c>
      <c r="G22" s="5" t="s">
        <v>43</v>
      </c>
      <c r="H22" s="5" t="s">
        <v>687</v>
      </c>
      <c r="I22" s="5">
        <v>202500453</v>
      </c>
      <c r="J22" s="5"/>
      <c r="K22" s="6">
        <v>45836</v>
      </c>
      <c r="L22" s="6">
        <v>45840</v>
      </c>
      <c r="M22" s="5" t="s">
        <v>53</v>
      </c>
      <c r="N22" s="5" t="s">
        <v>54</v>
      </c>
      <c r="O22" s="5" t="s">
        <v>41</v>
      </c>
      <c r="P22" s="30">
        <v>4</v>
      </c>
      <c r="Q22" s="7">
        <v>3807.6615384615384</v>
      </c>
      <c r="R22" s="7">
        <v>9000</v>
      </c>
      <c r="S22" s="8">
        <f t="shared" si="0"/>
        <v>5192.3384615384621</v>
      </c>
    </row>
    <row r="23" spans="1:21">
      <c r="A23" s="5">
        <v>22</v>
      </c>
      <c r="B23" s="5">
        <v>2506282519</v>
      </c>
      <c r="C23" s="5" t="s">
        <v>717</v>
      </c>
      <c r="D23" s="5" t="s">
        <v>60</v>
      </c>
      <c r="E23" s="5" t="s">
        <v>61</v>
      </c>
      <c r="F23" s="5" t="s">
        <v>62</v>
      </c>
      <c r="G23" s="5" t="s">
        <v>52</v>
      </c>
      <c r="H23" s="5" t="s">
        <v>687</v>
      </c>
      <c r="I23" s="5">
        <v>202500454</v>
      </c>
      <c r="J23" s="5"/>
      <c r="K23" s="6">
        <v>45836</v>
      </c>
      <c r="L23" s="6">
        <v>45840</v>
      </c>
      <c r="M23" s="5" t="s">
        <v>53</v>
      </c>
      <c r="N23" s="5" t="s">
        <v>54</v>
      </c>
      <c r="O23" s="5" t="s">
        <v>41</v>
      </c>
      <c r="P23" s="30">
        <v>4</v>
      </c>
      <c r="Q23" s="7">
        <v>3807.6615384615384</v>
      </c>
      <c r="R23" s="7">
        <v>6000</v>
      </c>
      <c r="S23" s="8">
        <f t="shared" si="0"/>
        <v>2192.3384615384616</v>
      </c>
    </row>
    <row r="24" spans="1:21">
      <c r="A24" s="5">
        <v>23</v>
      </c>
      <c r="B24" s="5">
        <v>2506282520</v>
      </c>
      <c r="C24" s="5" t="s">
        <v>718</v>
      </c>
      <c r="D24" s="5" t="s">
        <v>83</v>
      </c>
      <c r="E24" s="5" t="s">
        <v>84</v>
      </c>
      <c r="F24" s="5" t="s">
        <v>62</v>
      </c>
      <c r="G24" s="5" t="s">
        <v>52</v>
      </c>
      <c r="H24" s="5" t="s">
        <v>687</v>
      </c>
      <c r="I24" s="5">
        <v>202500455</v>
      </c>
      <c r="J24" s="5"/>
      <c r="K24" s="6">
        <v>45836</v>
      </c>
      <c r="L24" s="6">
        <v>45840</v>
      </c>
      <c r="M24" s="5" t="s">
        <v>53</v>
      </c>
      <c r="N24" s="5" t="s">
        <v>54</v>
      </c>
      <c r="O24" s="5" t="s">
        <v>41</v>
      </c>
      <c r="P24" s="30">
        <v>4</v>
      </c>
      <c r="Q24" s="7">
        <v>3807.6615384615384</v>
      </c>
      <c r="R24" s="7">
        <v>6000</v>
      </c>
      <c r="S24" s="8">
        <f t="shared" si="0"/>
        <v>2192.3384615384616</v>
      </c>
    </row>
    <row r="25" spans="1:21">
      <c r="A25" s="5">
        <v>24</v>
      </c>
      <c r="B25" s="13">
        <v>2506261800</v>
      </c>
      <c r="C25" s="13" t="s">
        <v>675</v>
      </c>
      <c r="D25" s="13" t="s">
        <v>676</v>
      </c>
      <c r="E25" s="13" t="s">
        <v>677</v>
      </c>
      <c r="F25" s="13" t="s">
        <v>678</v>
      </c>
      <c r="G25" s="13" t="s">
        <v>52</v>
      </c>
      <c r="H25" s="13" t="s">
        <v>687</v>
      </c>
      <c r="I25" s="13">
        <v>202500456</v>
      </c>
      <c r="J25" s="13"/>
      <c r="K25" s="14">
        <v>45834</v>
      </c>
      <c r="L25" s="14">
        <v>45840</v>
      </c>
      <c r="M25" s="13" t="s">
        <v>45</v>
      </c>
      <c r="N25" s="13" t="s">
        <v>46</v>
      </c>
      <c r="O25" s="13" t="s">
        <v>719</v>
      </c>
      <c r="P25" s="35">
        <v>6</v>
      </c>
      <c r="Q25" s="15">
        <v>3807.6615384615384</v>
      </c>
      <c r="R25" s="15">
        <v>0</v>
      </c>
      <c r="S25" s="16">
        <f t="shared" si="0"/>
        <v>-3807.6615384615384</v>
      </c>
    </row>
    <row r="26" spans="1:21">
      <c r="A26" s="5">
        <v>25</v>
      </c>
      <c r="B26" s="5" t="s">
        <v>720</v>
      </c>
      <c r="C26" s="5"/>
      <c r="D26" s="5"/>
      <c r="E26" s="5"/>
      <c r="F26" s="5"/>
      <c r="G26" s="5" t="s">
        <v>52</v>
      </c>
      <c r="H26" s="5"/>
      <c r="I26" s="5"/>
      <c r="J26" s="5"/>
      <c r="K26" s="5"/>
      <c r="L26" s="5"/>
      <c r="M26" s="5"/>
      <c r="N26" s="5"/>
      <c r="O26" s="5"/>
      <c r="P26" s="5"/>
      <c r="Q26" s="7">
        <v>3807.6615384615384</v>
      </c>
      <c r="R26" s="7">
        <v>0</v>
      </c>
      <c r="S26" s="8">
        <f t="shared" si="0"/>
        <v>-3807.6615384615384</v>
      </c>
    </row>
    <row r="27" spans="1:21">
      <c r="A27" s="5">
        <v>26</v>
      </c>
      <c r="B27" s="5" t="s">
        <v>721</v>
      </c>
      <c r="C27" s="5"/>
      <c r="D27" s="5"/>
      <c r="E27" s="5"/>
      <c r="F27" s="5"/>
      <c r="G27" s="5" t="s">
        <v>52</v>
      </c>
      <c r="H27" s="5"/>
      <c r="I27" s="5"/>
      <c r="J27" s="5"/>
      <c r="K27" s="5"/>
      <c r="L27" s="5"/>
      <c r="M27" s="5"/>
      <c r="N27" s="5"/>
      <c r="O27" s="5"/>
      <c r="P27" s="5"/>
      <c r="Q27" s="7">
        <v>3807.6615384615384</v>
      </c>
      <c r="R27" s="7">
        <v>0</v>
      </c>
      <c r="S27" s="8">
        <f t="shared" si="0"/>
        <v>-3807.6615384615384</v>
      </c>
      <c r="U27" s="36"/>
    </row>
    <row r="28" spans="1:21">
      <c r="A28" s="5">
        <v>27</v>
      </c>
      <c r="B28" s="5">
        <v>2506282521</v>
      </c>
      <c r="C28" s="5" t="s">
        <v>722</v>
      </c>
      <c r="D28" s="5" t="s">
        <v>309</v>
      </c>
      <c r="E28" s="5" t="s">
        <v>310</v>
      </c>
      <c r="F28" s="5" t="s">
        <v>51</v>
      </c>
      <c r="G28" s="5" t="s">
        <v>52</v>
      </c>
      <c r="H28" s="5" t="s">
        <v>723</v>
      </c>
      <c r="I28" s="5">
        <v>202500457</v>
      </c>
      <c r="J28" s="5"/>
      <c r="K28" s="6">
        <v>45836</v>
      </c>
      <c r="L28" s="6">
        <v>45842</v>
      </c>
      <c r="M28" s="5" t="s">
        <v>53</v>
      </c>
      <c r="N28" s="5" t="s">
        <v>54</v>
      </c>
      <c r="O28" s="5" t="s">
        <v>41</v>
      </c>
      <c r="P28" s="30">
        <v>6</v>
      </c>
      <c r="Q28" s="7">
        <v>3823.4307692307693</v>
      </c>
      <c r="R28" s="7">
        <v>5500</v>
      </c>
      <c r="S28" s="8">
        <f t="shared" si="0"/>
        <v>1676.5692307692307</v>
      </c>
    </row>
    <row r="29" spans="1:21">
      <c r="A29" s="5">
        <v>28</v>
      </c>
      <c r="B29" s="5">
        <v>2506290046</v>
      </c>
      <c r="C29" s="5" t="s">
        <v>724</v>
      </c>
      <c r="D29" s="5" t="s">
        <v>528</v>
      </c>
      <c r="E29" s="5" t="s">
        <v>639</v>
      </c>
      <c r="F29" s="5" t="s">
        <v>202</v>
      </c>
      <c r="G29" s="5" t="s">
        <v>52</v>
      </c>
      <c r="H29" s="5" t="s">
        <v>723</v>
      </c>
      <c r="I29" s="5">
        <v>202500458</v>
      </c>
      <c r="J29" s="5"/>
      <c r="K29" s="6">
        <v>45837</v>
      </c>
      <c r="L29" s="6">
        <v>45842</v>
      </c>
      <c r="M29" s="5" t="s">
        <v>53</v>
      </c>
      <c r="N29" s="5" t="s">
        <v>54</v>
      </c>
      <c r="O29" s="5" t="s">
        <v>41</v>
      </c>
      <c r="P29" s="30">
        <v>5</v>
      </c>
      <c r="Q29" s="7">
        <v>3823.4307692307693</v>
      </c>
      <c r="R29" s="7">
        <v>7500</v>
      </c>
      <c r="S29" s="8">
        <f t="shared" si="0"/>
        <v>3676.5692307692307</v>
      </c>
    </row>
    <row r="30" spans="1:21">
      <c r="A30" s="5">
        <v>29</v>
      </c>
      <c r="B30" s="5">
        <v>2506290542</v>
      </c>
      <c r="C30" s="5" t="s">
        <v>725</v>
      </c>
      <c r="D30" s="5" t="s">
        <v>167</v>
      </c>
      <c r="E30" s="5" t="s">
        <v>659</v>
      </c>
      <c r="F30" s="5" t="s">
        <v>169</v>
      </c>
      <c r="G30" s="5" t="s">
        <v>52</v>
      </c>
      <c r="H30" s="5" t="s">
        <v>723</v>
      </c>
      <c r="I30" s="5">
        <v>202500459</v>
      </c>
      <c r="J30" s="5"/>
      <c r="K30" s="6">
        <v>45837</v>
      </c>
      <c r="L30" s="6">
        <v>45842</v>
      </c>
      <c r="M30" s="5" t="s">
        <v>53</v>
      </c>
      <c r="N30" s="5" t="s">
        <v>54</v>
      </c>
      <c r="O30" s="5" t="s">
        <v>41</v>
      </c>
      <c r="P30" s="30">
        <v>5</v>
      </c>
      <c r="Q30" s="7">
        <v>3823.4307692307693</v>
      </c>
      <c r="R30" s="7">
        <v>6000</v>
      </c>
      <c r="S30" s="8">
        <f t="shared" si="0"/>
        <v>2176.5692307692307</v>
      </c>
    </row>
    <row r="31" spans="1:21">
      <c r="A31" s="5">
        <v>30</v>
      </c>
      <c r="B31" s="5">
        <v>2506290548</v>
      </c>
      <c r="C31" s="5" t="s">
        <v>726</v>
      </c>
      <c r="D31" s="5" t="s">
        <v>167</v>
      </c>
      <c r="E31" s="5" t="s">
        <v>659</v>
      </c>
      <c r="F31" s="5" t="s">
        <v>169</v>
      </c>
      <c r="G31" s="5" t="s">
        <v>43</v>
      </c>
      <c r="H31" s="5" t="s">
        <v>723</v>
      </c>
      <c r="I31" s="5">
        <v>202500460</v>
      </c>
      <c r="J31" s="5"/>
      <c r="K31" s="6">
        <v>45837</v>
      </c>
      <c r="L31" s="6">
        <v>45842</v>
      </c>
      <c r="M31" s="5" t="s">
        <v>53</v>
      </c>
      <c r="N31" s="5" t="s">
        <v>54</v>
      </c>
      <c r="O31" s="5" t="s">
        <v>41</v>
      </c>
      <c r="P31" s="30">
        <v>5</v>
      </c>
      <c r="Q31" s="7">
        <v>3823.4307692307693</v>
      </c>
      <c r="R31" s="7">
        <v>11000</v>
      </c>
      <c r="S31" s="8">
        <f t="shared" si="0"/>
        <v>7176.5692307692307</v>
      </c>
    </row>
    <row r="32" spans="1:21">
      <c r="A32" s="5">
        <v>31</v>
      </c>
      <c r="B32" s="5">
        <v>2506290555</v>
      </c>
      <c r="C32" s="5" t="s">
        <v>727</v>
      </c>
      <c r="D32" s="5" t="s">
        <v>64</v>
      </c>
      <c r="E32" s="5" t="s">
        <v>65</v>
      </c>
      <c r="F32" s="5" t="s">
        <v>66</v>
      </c>
      <c r="G32" s="5" t="s">
        <v>52</v>
      </c>
      <c r="H32" s="5" t="s">
        <v>723</v>
      </c>
      <c r="I32" s="5">
        <v>202500461</v>
      </c>
      <c r="J32" s="5"/>
      <c r="K32" s="6">
        <v>45837</v>
      </c>
      <c r="L32" s="6">
        <v>45842</v>
      </c>
      <c r="M32" s="5" t="s">
        <v>53</v>
      </c>
      <c r="N32" s="5" t="s">
        <v>54</v>
      </c>
      <c r="O32" s="5" t="s">
        <v>41</v>
      </c>
      <c r="P32" s="30">
        <v>5</v>
      </c>
      <c r="Q32" s="7">
        <v>3823.4307692307693</v>
      </c>
      <c r="R32" s="7">
        <v>5500</v>
      </c>
      <c r="S32" s="8">
        <f t="shared" si="0"/>
        <v>1676.5692307692307</v>
      </c>
    </row>
    <row r="33" spans="1:19">
      <c r="A33" s="5">
        <v>32</v>
      </c>
      <c r="B33" s="5">
        <v>2506290561</v>
      </c>
      <c r="C33" s="5" t="s">
        <v>728</v>
      </c>
      <c r="D33" s="5" t="s">
        <v>64</v>
      </c>
      <c r="E33" s="5" t="s">
        <v>65</v>
      </c>
      <c r="F33" s="5" t="s">
        <v>66</v>
      </c>
      <c r="G33" s="5" t="s">
        <v>52</v>
      </c>
      <c r="H33" s="5" t="s">
        <v>723</v>
      </c>
      <c r="I33" s="5">
        <v>202500462</v>
      </c>
      <c r="J33" s="5"/>
      <c r="K33" s="6">
        <v>45837</v>
      </c>
      <c r="L33" s="6">
        <v>45842</v>
      </c>
      <c r="M33" s="5" t="s">
        <v>53</v>
      </c>
      <c r="N33" s="5" t="s">
        <v>54</v>
      </c>
      <c r="O33" s="5" t="s">
        <v>41</v>
      </c>
      <c r="P33" s="30">
        <v>5</v>
      </c>
      <c r="Q33" s="7">
        <v>3823.4307692307693</v>
      </c>
      <c r="R33" s="7">
        <v>5500</v>
      </c>
      <c r="S33" s="8">
        <f t="shared" si="0"/>
        <v>1676.5692307692307</v>
      </c>
    </row>
    <row r="34" spans="1:19">
      <c r="A34" s="5">
        <v>33</v>
      </c>
      <c r="B34" s="5">
        <v>2506290572</v>
      </c>
      <c r="C34" s="5" t="s">
        <v>729</v>
      </c>
      <c r="D34" s="5" t="s">
        <v>361</v>
      </c>
      <c r="E34" s="5" t="s">
        <v>730</v>
      </c>
      <c r="F34" s="5" t="s">
        <v>362</v>
      </c>
      <c r="G34" s="5" t="s">
        <v>52</v>
      </c>
      <c r="H34" s="5" t="s">
        <v>723</v>
      </c>
      <c r="I34" s="5">
        <v>202500463</v>
      </c>
      <c r="J34" s="5"/>
      <c r="K34" s="6">
        <v>45837</v>
      </c>
      <c r="L34" s="6">
        <v>45842</v>
      </c>
      <c r="M34" s="5" t="s">
        <v>53</v>
      </c>
      <c r="N34" s="5" t="s">
        <v>54</v>
      </c>
      <c r="O34" s="5" t="s">
        <v>41</v>
      </c>
      <c r="P34" s="30">
        <v>5</v>
      </c>
      <c r="Q34" s="7">
        <v>3823.4307692307693</v>
      </c>
      <c r="R34" s="7">
        <v>6500</v>
      </c>
      <c r="S34" s="8">
        <f t="shared" si="0"/>
        <v>2676.5692307692307</v>
      </c>
    </row>
    <row r="35" spans="1:19">
      <c r="A35" s="5">
        <v>34</v>
      </c>
      <c r="B35" s="5">
        <v>25062905583</v>
      </c>
      <c r="C35" s="5" t="s">
        <v>731</v>
      </c>
      <c r="D35" s="5" t="s">
        <v>511</v>
      </c>
      <c r="E35" s="5" t="s">
        <v>512</v>
      </c>
      <c r="F35" s="5" t="s">
        <v>79</v>
      </c>
      <c r="G35" s="5" t="s">
        <v>52</v>
      </c>
      <c r="H35" s="5" t="s">
        <v>723</v>
      </c>
      <c r="I35" s="5">
        <v>202500464</v>
      </c>
      <c r="J35" s="5"/>
      <c r="K35" s="6">
        <v>45837</v>
      </c>
      <c r="L35" s="6">
        <v>45842</v>
      </c>
      <c r="M35" s="5" t="s">
        <v>53</v>
      </c>
      <c r="N35" s="5" t="s">
        <v>54</v>
      </c>
      <c r="O35" s="5" t="s">
        <v>41</v>
      </c>
      <c r="P35" s="30">
        <v>5</v>
      </c>
      <c r="Q35" s="7">
        <v>3823.4307692307693</v>
      </c>
      <c r="R35" s="7">
        <v>5500</v>
      </c>
      <c r="S35" s="8">
        <f t="shared" si="0"/>
        <v>1676.5692307692307</v>
      </c>
    </row>
    <row r="36" spans="1:19">
      <c r="A36" s="5">
        <v>35</v>
      </c>
      <c r="B36" s="5">
        <v>2506290593</v>
      </c>
      <c r="C36" s="5" t="s">
        <v>732</v>
      </c>
      <c r="D36" s="5" t="s">
        <v>733</v>
      </c>
      <c r="E36" s="5" t="s">
        <v>734</v>
      </c>
      <c r="F36" s="5" t="s">
        <v>51</v>
      </c>
      <c r="G36" s="5" t="s">
        <v>75</v>
      </c>
      <c r="H36" s="5" t="s">
        <v>723</v>
      </c>
      <c r="I36" s="5">
        <v>202500465</v>
      </c>
      <c r="J36" s="5"/>
      <c r="K36" s="6">
        <v>45837</v>
      </c>
      <c r="L36" s="6">
        <v>45842</v>
      </c>
      <c r="M36" s="5" t="s">
        <v>53</v>
      </c>
      <c r="N36" s="5" t="s">
        <v>54</v>
      </c>
      <c r="O36" s="5" t="s">
        <v>41</v>
      </c>
      <c r="P36" s="30">
        <v>5</v>
      </c>
      <c r="Q36" s="7">
        <v>3823.4307692307693</v>
      </c>
      <c r="R36" s="7">
        <v>4900</v>
      </c>
      <c r="S36" s="8">
        <f t="shared" si="0"/>
        <v>1076.5692307692307</v>
      </c>
    </row>
    <row r="37" spans="1:19">
      <c r="A37" s="5">
        <v>36</v>
      </c>
      <c r="B37" s="5">
        <v>2506291138</v>
      </c>
      <c r="C37" s="5" t="s">
        <v>735</v>
      </c>
      <c r="D37" s="5" t="s">
        <v>309</v>
      </c>
      <c r="E37" s="5" t="s">
        <v>310</v>
      </c>
      <c r="F37" s="5" t="s">
        <v>51</v>
      </c>
      <c r="G37" s="5" t="s">
        <v>52</v>
      </c>
      <c r="H37" s="5" t="s">
        <v>723</v>
      </c>
      <c r="I37" s="5">
        <v>202500466</v>
      </c>
      <c r="J37" s="5"/>
      <c r="K37" s="6">
        <v>45837</v>
      </c>
      <c r="L37" s="6">
        <v>45842</v>
      </c>
      <c r="M37" s="5" t="s">
        <v>53</v>
      </c>
      <c r="N37" s="5" t="s">
        <v>54</v>
      </c>
      <c r="O37" s="5" t="s">
        <v>41</v>
      </c>
      <c r="P37" s="30">
        <v>5</v>
      </c>
      <c r="Q37" s="7">
        <v>3823.4307692307693</v>
      </c>
      <c r="R37" s="7">
        <v>5500</v>
      </c>
      <c r="S37" s="8">
        <f t="shared" si="0"/>
        <v>1676.5692307692307</v>
      </c>
    </row>
    <row r="38" spans="1:19">
      <c r="A38" s="5">
        <v>37</v>
      </c>
      <c r="B38" s="9">
        <v>2506300553</v>
      </c>
      <c r="C38" s="9" t="s">
        <v>736</v>
      </c>
      <c r="D38" s="9" t="s">
        <v>64</v>
      </c>
      <c r="E38" s="9" t="s">
        <v>65</v>
      </c>
      <c r="F38" s="9" t="s">
        <v>66</v>
      </c>
      <c r="G38" s="9" t="s">
        <v>52</v>
      </c>
      <c r="H38" s="9" t="s">
        <v>723</v>
      </c>
      <c r="I38" s="9">
        <v>202500467</v>
      </c>
      <c r="J38" s="9"/>
      <c r="K38" s="10">
        <v>45838</v>
      </c>
      <c r="L38" s="10">
        <v>45842</v>
      </c>
      <c r="M38" s="9" t="s">
        <v>45</v>
      </c>
      <c r="N38" s="9" t="s">
        <v>94</v>
      </c>
      <c r="O38" s="9" t="s">
        <v>737</v>
      </c>
      <c r="P38" s="32">
        <v>4</v>
      </c>
      <c r="Q38" s="11">
        <v>3823.4307692307693</v>
      </c>
      <c r="R38" s="11">
        <v>5500</v>
      </c>
      <c r="S38" s="12">
        <f t="shared" si="0"/>
        <v>1676.5692307692307</v>
      </c>
    </row>
    <row r="39" spans="1:19">
      <c r="A39" s="5">
        <v>38</v>
      </c>
      <c r="B39" s="5">
        <v>2506300036</v>
      </c>
      <c r="C39" s="5" t="s">
        <v>738</v>
      </c>
      <c r="D39" s="5" t="s">
        <v>40</v>
      </c>
      <c r="E39" s="5" t="s">
        <v>41</v>
      </c>
      <c r="F39" s="5" t="s">
        <v>42</v>
      </c>
      <c r="G39" s="5" t="s">
        <v>190</v>
      </c>
      <c r="H39" s="5" t="s">
        <v>723</v>
      </c>
      <c r="I39" s="5">
        <v>202500468</v>
      </c>
      <c r="J39" s="5"/>
      <c r="K39" s="6">
        <v>45838</v>
      </c>
      <c r="L39" s="6">
        <v>45842</v>
      </c>
      <c r="M39" s="5" t="s">
        <v>53</v>
      </c>
      <c r="N39" s="5" t="s">
        <v>54</v>
      </c>
      <c r="O39" s="5" t="s">
        <v>41</v>
      </c>
      <c r="P39" s="30">
        <v>4</v>
      </c>
      <c r="Q39" s="7">
        <v>3823.4307692307693</v>
      </c>
      <c r="R39" s="7">
        <v>13500</v>
      </c>
      <c r="S39" s="8">
        <f t="shared" si="0"/>
        <v>9676.5692307692298</v>
      </c>
    </row>
    <row r="40" spans="1:19">
      <c r="A40" s="5">
        <v>39</v>
      </c>
      <c r="B40" s="5">
        <v>2506300788</v>
      </c>
      <c r="C40" s="5" t="s">
        <v>739</v>
      </c>
      <c r="D40" s="5" t="s">
        <v>334</v>
      </c>
      <c r="E40" s="5" t="s">
        <v>335</v>
      </c>
      <c r="F40" s="5" t="s">
        <v>71</v>
      </c>
      <c r="G40" s="5" t="s">
        <v>43</v>
      </c>
      <c r="H40" s="5" t="s">
        <v>723</v>
      </c>
      <c r="I40" s="5">
        <v>202500469</v>
      </c>
      <c r="J40" s="5"/>
      <c r="K40" s="6">
        <v>45838</v>
      </c>
      <c r="L40" s="6">
        <v>45842</v>
      </c>
      <c r="M40" s="5" t="s">
        <v>53</v>
      </c>
      <c r="N40" s="5" t="s">
        <v>54</v>
      </c>
      <c r="O40" s="5" t="s">
        <v>41</v>
      </c>
      <c r="P40" s="30">
        <v>4</v>
      </c>
      <c r="Q40" s="7">
        <v>3823.4307692307693</v>
      </c>
      <c r="R40" s="7">
        <v>12000</v>
      </c>
      <c r="S40" s="8">
        <f t="shared" si="0"/>
        <v>8176.5692307692307</v>
      </c>
    </row>
    <row r="41" spans="1:19">
      <c r="A41" s="5">
        <v>40</v>
      </c>
      <c r="B41" s="5">
        <v>2506300794</v>
      </c>
      <c r="C41" s="5" t="s">
        <v>740</v>
      </c>
      <c r="D41" s="5" t="s">
        <v>348</v>
      </c>
      <c r="E41" s="5" t="s">
        <v>349</v>
      </c>
      <c r="F41" s="5" t="s">
        <v>71</v>
      </c>
      <c r="G41" s="5" t="s">
        <v>52</v>
      </c>
      <c r="H41" s="5" t="s">
        <v>723</v>
      </c>
      <c r="I41" s="5">
        <v>202500470</v>
      </c>
      <c r="J41" s="5"/>
      <c r="K41" s="6">
        <v>45838</v>
      </c>
      <c r="L41" s="6">
        <v>45842</v>
      </c>
      <c r="M41" s="5" t="s">
        <v>53</v>
      </c>
      <c r="N41" s="5" t="s">
        <v>54</v>
      </c>
      <c r="O41" s="5" t="s">
        <v>41</v>
      </c>
      <c r="P41" s="30">
        <v>4</v>
      </c>
      <c r="Q41" s="7">
        <v>3823.4307692307693</v>
      </c>
      <c r="R41" s="7">
        <v>7000</v>
      </c>
      <c r="S41" s="8">
        <f t="shared" si="0"/>
        <v>3176.5692307692307</v>
      </c>
    </row>
    <row r="42" spans="1:19">
      <c r="A42" s="5">
        <v>41</v>
      </c>
      <c r="B42" s="5">
        <v>2506302416</v>
      </c>
      <c r="C42" s="5" t="s">
        <v>741</v>
      </c>
      <c r="D42" s="5" t="s">
        <v>564</v>
      </c>
      <c r="E42" s="5" t="s">
        <v>565</v>
      </c>
      <c r="F42" s="5" t="s">
        <v>71</v>
      </c>
      <c r="G42" s="5" t="s">
        <v>75</v>
      </c>
      <c r="H42" s="5" t="s">
        <v>723</v>
      </c>
      <c r="I42" s="5">
        <v>202500471</v>
      </c>
      <c r="J42" s="5"/>
      <c r="K42" s="6">
        <v>45838</v>
      </c>
      <c r="L42" s="6">
        <v>45842</v>
      </c>
      <c r="M42" s="5" t="s">
        <v>53</v>
      </c>
      <c r="N42" s="5" t="s">
        <v>54</v>
      </c>
      <c r="O42" s="5" t="s">
        <v>41</v>
      </c>
      <c r="P42" s="30">
        <v>4</v>
      </c>
      <c r="Q42" s="7">
        <v>3823.4307692307693</v>
      </c>
      <c r="R42" s="7">
        <v>4900</v>
      </c>
      <c r="S42" s="8">
        <f t="shared" si="0"/>
        <v>1076.5692307692307</v>
      </c>
    </row>
    <row r="43" spans="1:19">
      <c r="A43" s="5">
        <v>42</v>
      </c>
      <c r="B43" s="5">
        <v>2506302417</v>
      </c>
      <c r="C43" s="5" t="s">
        <v>742</v>
      </c>
      <c r="D43" s="5" t="s">
        <v>83</v>
      </c>
      <c r="E43" s="5" t="s">
        <v>84</v>
      </c>
      <c r="F43" s="5" t="s">
        <v>62</v>
      </c>
      <c r="G43" s="5" t="s">
        <v>52</v>
      </c>
      <c r="H43" s="5" t="s">
        <v>723</v>
      </c>
      <c r="I43" s="5">
        <v>202500472</v>
      </c>
      <c r="J43" s="5"/>
      <c r="K43" s="6">
        <v>45838</v>
      </c>
      <c r="L43" s="6">
        <v>45842</v>
      </c>
      <c r="M43" s="5" t="s">
        <v>53</v>
      </c>
      <c r="N43" s="5" t="s">
        <v>54</v>
      </c>
      <c r="O43" s="5" t="s">
        <v>41</v>
      </c>
      <c r="P43" s="30">
        <v>4</v>
      </c>
      <c r="Q43" s="7">
        <v>3823.4307692307693</v>
      </c>
      <c r="R43" s="7">
        <v>6000</v>
      </c>
      <c r="S43" s="8">
        <f t="shared" si="0"/>
        <v>2176.5692307692307</v>
      </c>
    </row>
    <row r="44" spans="1:19">
      <c r="A44" s="5">
        <v>43</v>
      </c>
      <c r="B44" s="5">
        <v>2506302418</v>
      </c>
      <c r="C44" s="5" t="s">
        <v>743</v>
      </c>
      <c r="D44" s="5" t="s">
        <v>153</v>
      </c>
      <c r="E44" s="5" t="s">
        <v>154</v>
      </c>
      <c r="F44" s="5" t="s">
        <v>141</v>
      </c>
      <c r="G44" s="5" t="s">
        <v>52</v>
      </c>
      <c r="H44" s="5" t="s">
        <v>723</v>
      </c>
      <c r="I44" s="5">
        <v>202500473</v>
      </c>
      <c r="J44" s="5"/>
      <c r="K44" s="6">
        <v>45838</v>
      </c>
      <c r="L44" s="6">
        <v>45842</v>
      </c>
      <c r="M44" s="5" t="s">
        <v>53</v>
      </c>
      <c r="N44" s="5" t="s">
        <v>54</v>
      </c>
      <c r="O44" s="5" t="s">
        <v>41</v>
      </c>
      <c r="P44" s="30">
        <v>4</v>
      </c>
      <c r="Q44" s="7">
        <v>3823.4307692307693</v>
      </c>
      <c r="R44" s="7">
        <v>5500</v>
      </c>
      <c r="S44" s="8">
        <f t="shared" si="0"/>
        <v>1676.5692307692307</v>
      </c>
    </row>
    <row r="45" spans="1:19">
      <c r="A45" s="5">
        <v>44</v>
      </c>
      <c r="B45" s="5">
        <v>2507010916</v>
      </c>
      <c r="C45" s="5" t="s">
        <v>744</v>
      </c>
      <c r="D45" s="5" t="s">
        <v>745</v>
      </c>
      <c r="E45" s="5"/>
      <c r="F45" s="5" t="s">
        <v>202</v>
      </c>
      <c r="G45" s="5" t="s">
        <v>75</v>
      </c>
      <c r="H45" s="5" t="s">
        <v>723</v>
      </c>
      <c r="I45" s="5">
        <v>202500474</v>
      </c>
      <c r="J45" s="5"/>
      <c r="K45" s="6">
        <v>45838</v>
      </c>
      <c r="L45" s="6">
        <v>45842</v>
      </c>
      <c r="M45" s="5" t="s">
        <v>53</v>
      </c>
      <c r="N45" s="5" t="s">
        <v>54</v>
      </c>
      <c r="O45" s="5" t="s">
        <v>41</v>
      </c>
      <c r="P45" s="30">
        <v>4</v>
      </c>
      <c r="Q45" s="7">
        <v>3823.4307692307693</v>
      </c>
      <c r="R45" s="7">
        <v>4900</v>
      </c>
      <c r="S45" s="8">
        <f t="shared" si="0"/>
        <v>1076.5692307692307</v>
      </c>
    </row>
    <row r="46" spans="1:19">
      <c r="A46" s="5">
        <v>45</v>
      </c>
      <c r="B46" s="5">
        <v>2507010920</v>
      </c>
      <c r="C46" s="5" t="s">
        <v>746</v>
      </c>
      <c r="D46" s="5" t="s">
        <v>309</v>
      </c>
      <c r="E46" s="5"/>
      <c r="F46" s="5" t="s">
        <v>51</v>
      </c>
      <c r="G46" s="5" t="s">
        <v>52</v>
      </c>
      <c r="H46" s="5" t="s">
        <v>723</v>
      </c>
      <c r="I46" s="5">
        <v>202500475</v>
      </c>
      <c r="J46" s="5"/>
      <c r="K46" s="6">
        <v>45838</v>
      </c>
      <c r="L46" s="6">
        <v>45842</v>
      </c>
      <c r="M46" s="5" t="s">
        <v>53</v>
      </c>
      <c r="N46" s="5" t="s">
        <v>54</v>
      </c>
      <c r="O46" s="5" t="s">
        <v>41</v>
      </c>
      <c r="P46" s="30">
        <v>4</v>
      </c>
      <c r="Q46" s="7">
        <v>3823.4307692307693</v>
      </c>
      <c r="R46" s="7">
        <v>5500</v>
      </c>
      <c r="S46" s="8">
        <f t="shared" si="0"/>
        <v>1676.5692307692307</v>
      </c>
    </row>
    <row r="47" spans="1:19">
      <c r="A47" s="5">
        <v>46</v>
      </c>
      <c r="B47" s="5">
        <v>2507010925</v>
      </c>
      <c r="C47" s="5" t="s">
        <v>747</v>
      </c>
      <c r="D47" s="5" t="s">
        <v>748</v>
      </c>
      <c r="E47" s="5"/>
      <c r="F47" s="5" t="s">
        <v>51</v>
      </c>
      <c r="G47" s="5" t="s">
        <v>43</v>
      </c>
      <c r="H47" s="5" t="s">
        <v>723</v>
      </c>
      <c r="I47" s="5">
        <v>202500476</v>
      </c>
      <c r="J47" s="5"/>
      <c r="K47" s="6">
        <v>45838</v>
      </c>
      <c r="L47" s="6">
        <v>45842</v>
      </c>
      <c r="M47" s="5" t="s">
        <v>53</v>
      </c>
      <c r="N47" s="5" t="s">
        <v>54</v>
      </c>
      <c r="O47" s="5" t="s">
        <v>41</v>
      </c>
      <c r="P47" s="30">
        <v>4</v>
      </c>
      <c r="Q47" s="7">
        <v>3823.4307692307693</v>
      </c>
      <c r="R47" s="7">
        <v>12000</v>
      </c>
      <c r="S47" s="8">
        <f t="shared" si="0"/>
        <v>8176.5692307692307</v>
      </c>
    </row>
    <row r="48" spans="1:19">
      <c r="A48" s="5">
        <v>47</v>
      </c>
      <c r="B48" s="5">
        <v>2507013165</v>
      </c>
      <c r="C48" s="5" t="s">
        <v>749</v>
      </c>
      <c r="D48" s="5" t="s">
        <v>405</v>
      </c>
      <c r="E48" s="5"/>
      <c r="F48" s="5" t="s">
        <v>202</v>
      </c>
      <c r="G48" s="5" t="s">
        <v>52</v>
      </c>
      <c r="H48" s="5" t="s">
        <v>723</v>
      </c>
      <c r="I48" s="5">
        <v>202500477</v>
      </c>
      <c r="J48" s="5"/>
      <c r="K48" s="6">
        <v>45839</v>
      </c>
      <c r="L48" s="6">
        <v>45842</v>
      </c>
      <c r="M48" s="5" t="s">
        <v>53</v>
      </c>
      <c r="N48" s="5" t="s">
        <v>54</v>
      </c>
      <c r="O48" s="5" t="s">
        <v>41</v>
      </c>
      <c r="P48" s="30">
        <v>3</v>
      </c>
      <c r="Q48" s="7">
        <v>3823.4307692307693</v>
      </c>
      <c r="R48" s="7">
        <v>6450</v>
      </c>
      <c r="S48" s="8">
        <f t="shared" si="0"/>
        <v>2626.5692307692307</v>
      </c>
    </row>
    <row r="49" spans="1:21">
      <c r="A49" s="5">
        <v>48</v>
      </c>
      <c r="B49" s="5">
        <v>2507013168</v>
      </c>
      <c r="C49" s="5" t="s">
        <v>750</v>
      </c>
      <c r="D49" s="5" t="s">
        <v>437</v>
      </c>
      <c r="E49" s="5"/>
      <c r="F49" s="5" t="s">
        <v>71</v>
      </c>
      <c r="G49" s="5" t="s">
        <v>52</v>
      </c>
      <c r="H49" s="5" t="s">
        <v>723</v>
      </c>
      <c r="I49" s="5">
        <v>202500478</v>
      </c>
      <c r="J49" s="5"/>
      <c r="K49" s="6">
        <v>45839</v>
      </c>
      <c r="L49" s="6">
        <v>45842</v>
      </c>
      <c r="M49" s="5" t="s">
        <v>53</v>
      </c>
      <c r="N49" s="5" t="s">
        <v>54</v>
      </c>
      <c r="O49" s="5" t="s">
        <v>41</v>
      </c>
      <c r="P49" s="30">
        <v>3</v>
      </c>
      <c r="Q49" s="7">
        <v>3823.4307692307693</v>
      </c>
      <c r="R49" s="7">
        <v>8500</v>
      </c>
      <c r="S49" s="8">
        <f t="shared" si="0"/>
        <v>4676.5692307692307</v>
      </c>
    </row>
    <row r="50" spans="1:21">
      <c r="A50" s="5">
        <v>49</v>
      </c>
      <c r="B50" s="5">
        <v>2506261849</v>
      </c>
      <c r="C50" s="5" t="s">
        <v>688</v>
      </c>
      <c r="D50" s="5" t="s">
        <v>309</v>
      </c>
      <c r="E50" s="5" t="s">
        <v>310</v>
      </c>
      <c r="F50" s="5" t="s">
        <v>51</v>
      </c>
      <c r="G50" s="5" t="s">
        <v>52</v>
      </c>
      <c r="H50" s="5" t="s">
        <v>723</v>
      </c>
      <c r="I50" s="5">
        <v>202500479</v>
      </c>
      <c r="J50" s="5"/>
      <c r="K50" s="6">
        <v>45834</v>
      </c>
      <c r="L50" s="6">
        <v>45842</v>
      </c>
      <c r="M50" s="5" t="s">
        <v>45</v>
      </c>
      <c r="N50" s="5" t="s">
        <v>46</v>
      </c>
      <c r="O50" s="5" t="s">
        <v>751</v>
      </c>
      <c r="P50" s="30">
        <v>8</v>
      </c>
      <c r="Q50" s="7">
        <v>3823.4307692307693</v>
      </c>
      <c r="R50" s="7">
        <v>0</v>
      </c>
      <c r="S50" s="8">
        <f t="shared" si="0"/>
        <v>-3823.4307692307693</v>
      </c>
    </row>
    <row r="51" spans="1:21">
      <c r="A51" s="5">
        <v>50</v>
      </c>
      <c r="B51" s="17">
        <v>2506273087</v>
      </c>
      <c r="C51" s="17" t="s">
        <v>692</v>
      </c>
      <c r="D51" s="17" t="s">
        <v>309</v>
      </c>
      <c r="E51" s="17" t="s">
        <v>310</v>
      </c>
      <c r="F51" s="17" t="s">
        <v>51</v>
      </c>
      <c r="G51" s="17" t="s">
        <v>52</v>
      </c>
      <c r="H51" s="17" t="s">
        <v>723</v>
      </c>
      <c r="I51" s="17">
        <v>202500480</v>
      </c>
      <c r="J51" s="17"/>
      <c r="K51" s="18">
        <v>45835</v>
      </c>
      <c r="L51" s="18">
        <v>45842</v>
      </c>
      <c r="M51" s="17" t="s">
        <v>53</v>
      </c>
      <c r="N51" s="17" t="s">
        <v>480</v>
      </c>
      <c r="O51" s="17" t="s">
        <v>756</v>
      </c>
      <c r="P51" s="31">
        <v>7</v>
      </c>
      <c r="Q51" s="19">
        <v>3823.4307692307693</v>
      </c>
      <c r="R51" s="19">
        <v>0</v>
      </c>
      <c r="S51" s="20">
        <f t="shared" si="0"/>
        <v>-3823.4307692307693</v>
      </c>
    </row>
    <row r="52" spans="1:21">
      <c r="A52" s="5">
        <v>51</v>
      </c>
      <c r="B52" s="5" t="s">
        <v>754</v>
      </c>
      <c r="C52" s="5"/>
      <c r="D52" s="5"/>
      <c r="E52" s="5"/>
      <c r="F52" s="5"/>
      <c r="G52" s="5" t="s">
        <v>52</v>
      </c>
      <c r="H52" s="5"/>
      <c r="I52" s="5"/>
      <c r="J52" s="5"/>
      <c r="K52" s="5"/>
      <c r="L52" s="5"/>
      <c r="M52" s="5"/>
      <c r="N52" s="5"/>
      <c r="O52" s="5"/>
      <c r="P52" s="5"/>
      <c r="Q52" s="7">
        <v>3823.4307692307693</v>
      </c>
      <c r="R52" s="7">
        <v>0</v>
      </c>
      <c r="S52" s="8">
        <f t="shared" si="0"/>
        <v>-3823.4307692307693</v>
      </c>
    </row>
    <row r="53" spans="1:21">
      <c r="A53" s="5">
        <v>52</v>
      </c>
      <c r="B53" s="5" t="s">
        <v>755</v>
      </c>
      <c r="C53" s="5"/>
      <c r="D53" s="5"/>
      <c r="E53" s="5"/>
      <c r="F53" s="5"/>
      <c r="G53" s="5" t="s">
        <v>52</v>
      </c>
      <c r="H53" s="5"/>
      <c r="I53" s="5"/>
      <c r="J53" s="5"/>
      <c r="K53" s="5"/>
      <c r="L53" s="5"/>
      <c r="M53" s="5"/>
      <c r="N53" s="5"/>
      <c r="O53" s="5"/>
      <c r="P53" s="5"/>
      <c r="Q53" s="7">
        <v>3823.4307692307693</v>
      </c>
      <c r="R53" s="7">
        <v>0</v>
      </c>
      <c r="S53" s="8">
        <f t="shared" si="0"/>
        <v>-3823.4307692307693</v>
      </c>
      <c r="U53" s="36"/>
    </row>
    <row r="54" spans="1:21">
      <c r="A54" s="5">
        <v>53</v>
      </c>
      <c r="B54" s="58">
        <v>2506053575</v>
      </c>
      <c r="C54" s="58" t="s">
        <v>72</v>
      </c>
      <c r="D54" s="58" t="s">
        <v>73</v>
      </c>
      <c r="E54" s="58" t="s">
        <v>74</v>
      </c>
      <c r="F54" s="58" t="s">
        <v>71</v>
      </c>
      <c r="G54" s="58" t="s">
        <v>52</v>
      </c>
      <c r="H54" s="58" t="s">
        <v>41</v>
      </c>
      <c r="I54" s="58" t="s">
        <v>41</v>
      </c>
      <c r="J54" s="59">
        <v>45779</v>
      </c>
      <c r="K54" s="59">
        <v>45780</v>
      </c>
      <c r="L54" s="59">
        <v>45786</v>
      </c>
      <c r="M54" s="58" t="s">
        <v>53</v>
      </c>
      <c r="N54" s="58" t="s">
        <v>54</v>
      </c>
      <c r="O54" s="58" t="s">
        <v>753</v>
      </c>
      <c r="P54" s="60">
        <f t="shared" ref="P54:P78" si="1">L54-K54</f>
        <v>6</v>
      </c>
      <c r="Q54" s="61">
        <v>0</v>
      </c>
      <c r="R54" s="61">
        <v>8000</v>
      </c>
      <c r="S54" s="62">
        <f t="shared" ref="S54" si="2">R54-Q54</f>
        <v>8000</v>
      </c>
    </row>
    <row r="55" spans="1:21">
      <c r="A55" s="5">
        <v>54</v>
      </c>
      <c r="B55" s="5">
        <v>2507023400</v>
      </c>
      <c r="C55" s="5" t="s">
        <v>757</v>
      </c>
      <c r="D55" s="5" t="s">
        <v>676</v>
      </c>
      <c r="E55" s="5" t="s">
        <v>758</v>
      </c>
      <c r="F55" s="5" t="s">
        <v>678</v>
      </c>
      <c r="G55" s="5" t="s">
        <v>52</v>
      </c>
      <c r="H55" s="5" t="s">
        <v>759</v>
      </c>
      <c r="I55" s="5">
        <v>202500503</v>
      </c>
      <c r="J55" s="6">
        <v>45807</v>
      </c>
      <c r="K55" s="6">
        <v>45840</v>
      </c>
      <c r="L55" s="6">
        <v>45846</v>
      </c>
      <c r="M55" s="5" t="s">
        <v>53</v>
      </c>
      <c r="N55" s="5" t="s">
        <v>54</v>
      </c>
      <c r="O55" s="5" t="s">
        <v>41</v>
      </c>
      <c r="P55" s="30">
        <f t="shared" si="1"/>
        <v>6</v>
      </c>
      <c r="Q55" s="41">
        <v>3807.6615384615384</v>
      </c>
      <c r="R55" s="7">
        <v>7500</v>
      </c>
      <c r="S55" s="8">
        <f>R55-Q55</f>
        <v>3692.3384615384616</v>
      </c>
    </row>
    <row r="56" spans="1:21">
      <c r="A56" s="5">
        <v>55</v>
      </c>
      <c r="B56" s="5">
        <v>2507023401</v>
      </c>
      <c r="C56" s="5" t="s">
        <v>760</v>
      </c>
      <c r="D56" s="5" t="s">
        <v>354</v>
      </c>
      <c r="E56" s="5" t="s">
        <v>355</v>
      </c>
      <c r="F56" s="5" t="s">
        <v>141</v>
      </c>
      <c r="G56" s="5" t="s">
        <v>75</v>
      </c>
      <c r="H56" s="5" t="s">
        <v>759</v>
      </c>
      <c r="I56" s="5">
        <v>202500504</v>
      </c>
      <c r="J56" s="6">
        <v>45839</v>
      </c>
      <c r="K56" s="6">
        <v>45840</v>
      </c>
      <c r="L56" s="6">
        <v>45846</v>
      </c>
      <c r="M56" s="5" t="s">
        <v>53</v>
      </c>
      <c r="N56" s="5" t="s">
        <v>54</v>
      </c>
      <c r="O56" s="5" t="s">
        <v>41</v>
      </c>
      <c r="P56" s="30">
        <f t="shared" si="1"/>
        <v>6</v>
      </c>
      <c r="Q56" s="41">
        <v>3807.6615384615384</v>
      </c>
      <c r="R56" s="7">
        <v>4900</v>
      </c>
      <c r="S56" s="8">
        <f t="shared" ref="S56:S104" si="3">R56-Q56</f>
        <v>1092.3384615384616</v>
      </c>
    </row>
    <row r="57" spans="1:21">
      <c r="A57" s="5">
        <v>56</v>
      </c>
      <c r="B57" s="5">
        <v>2507023402</v>
      </c>
      <c r="C57" s="5" t="s">
        <v>761</v>
      </c>
      <c r="D57" s="5" t="s">
        <v>762</v>
      </c>
      <c r="E57" s="5" t="s">
        <v>763</v>
      </c>
      <c r="F57" s="5" t="s">
        <v>109</v>
      </c>
      <c r="G57" s="5" t="s">
        <v>52</v>
      </c>
      <c r="H57" s="5" t="s">
        <v>759</v>
      </c>
      <c r="I57" s="5">
        <v>202500505</v>
      </c>
      <c r="J57" s="6">
        <v>45839</v>
      </c>
      <c r="K57" s="6">
        <v>45840</v>
      </c>
      <c r="L57" s="6">
        <v>45846</v>
      </c>
      <c r="M57" s="5" t="s">
        <v>53</v>
      </c>
      <c r="N57" s="5" t="s">
        <v>54</v>
      </c>
      <c r="O57" s="5" t="s">
        <v>41</v>
      </c>
      <c r="P57" s="30">
        <f t="shared" si="1"/>
        <v>6</v>
      </c>
      <c r="Q57" s="41">
        <v>3807.6615384615384</v>
      </c>
      <c r="R57" s="7">
        <v>5500</v>
      </c>
      <c r="S57" s="8">
        <f t="shared" si="3"/>
        <v>1692.3384615384616</v>
      </c>
    </row>
    <row r="58" spans="1:21">
      <c r="A58" s="5">
        <v>57</v>
      </c>
      <c r="B58" s="5">
        <v>2507023403</v>
      </c>
      <c r="C58" s="5" t="s">
        <v>764</v>
      </c>
      <c r="D58" s="5" t="s">
        <v>572</v>
      </c>
      <c r="E58" s="5" t="s">
        <v>765</v>
      </c>
      <c r="F58" s="5" t="s">
        <v>87</v>
      </c>
      <c r="G58" s="5" t="s">
        <v>52</v>
      </c>
      <c r="H58" s="5" t="s">
        <v>759</v>
      </c>
      <c r="I58" s="5">
        <v>202500506</v>
      </c>
      <c r="J58" s="6">
        <v>45839</v>
      </c>
      <c r="K58" s="6">
        <v>45840</v>
      </c>
      <c r="L58" s="6">
        <v>45846</v>
      </c>
      <c r="M58" s="5" t="s">
        <v>53</v>
      </c>
      <c r="N58" s="5" t="s">
        <v>54</v>
      </c>
      <c r="O58" s="5" t="s">
        <v>41</v>
      </c>
      <c r="P58" s="30">
        <f t="shared" si="1"/>
        <v>6</v>
      </c>
      <c r="Q58" s="41">
        <v>3807.6615384615384</v>
      </c>
      <c r="R58" s="7">
        <v>6000</v>
      </c>
      <c r="S58" s="8">
        <f t="shared" si="3"/>
        <v>2192.3384615384616</v>
      </c>
    </row>
    <row r="59" spans="1:21">
      <c r="A59" s="5">
        <v>58</v>
      </c>
      <c r="B59" s="5">
        <v>2507013174</v>
      </c>
      <c r="C59" s="5" t="s">
        <v>766</v>
      </c>
      <c r="D59" s="5" t="s">
        <v>767</v>
      </c>
      <c r="E59" s="5" t="s">
        <v>768</v>
      </c>
      <c r="F59" s="5" t="s">
        <v>87</v>
      </c>
      <c r="G59" s="5" t="s">
        <v>52</v>
      </c>
      <c r="H59" s="5" t="s">
        <v>759</v>
      </c>
      <c r="I59" s="5">
        <v>202500507</v>
      </c>
      <c r="J59" s="6">
        <v>45838</v>
      </c>
      <c r="K59" s="6">
        <v>45839</v>
      </c>
      <c r="L59" s="6">
        <v>45846</v>
      </c>
      <c r="M59" s="5" t="s">
        <v>53</v>
      </c>
      <c r="N59" s="5" t="s">
        <v>54</v>
      </c>
      <c r="O59" s="5" t="s">
        <v>41</v>
      </c>
      <c r="P59" s="30">
        <f t="shared" si="1"/>
        <v>7</v>
      </c>
      <c r="Q59" s="41">
        <v>3807.6615384615384</v>
      </c>
      <c r="R59" s="7">
        <v>5500</v>
      </c>
      <c r="S59" s="8">
        <f t="shared" si="3"/>
        <v>1692.3384615384616</v>
      </c>
    </row>
    <row r="60" spans="1:21">
      <c r="A60" s="5">
        <v>59</v>
      </c>
      <c r="B60" s="5">
        <v>2507013179</v>
      </c>
      <c r="C60" s="5" t="s">
        <v>769</v>
      </c>
      <c r="D60" s="5" t="s">
        <v>257</v>
      </c>
      <c r="E60" s="5" t="s">
        <v>258</v>
      </c>
      <c r="F60" s="5" t="s">
        <v>62</v>
      </c>
      <c r="G60" s="5" t="s">
        <v>52</v>
      </c>
      <c r="H60" s="5" t="s">
        <v>759</v>
      </c>
      <c r="I60" s="5">
        <v>202500508</v>
      </c>
      <c r="J60" s="6">
        <v>45838</v>
      </c>
      <c r="K60" s="6">
        <v>45839</v>
      </c>
      <c r="L60" s="6">
        <v>45846</v>
      </c>
      <c r="M60" s="5" t="s">
        <v>53</v>
      </c>
      <c r="N60" s="5" t="s">
        <v>54</v>
      </c>
      <c r="O60" s="5" t="s">
        <v>41</v>
      </c>
      <c r="P60" s="30">
        <f t="shared" si="1"/>
        <v>7</v>
      </c>
      <c r="Q60" s="41">
        <v>3807.6615384615384</v>
      </c>
      <c r="R60" s="7">
        <v>5100</v>
      </c>
      <c r="S60" s="8">
        <f t="shared" si="3"/>
        <v>1292.3384615384616</v>
      </c>
    </row>
    <row r="61" spans="1:21">
      <c r="A61" s="5">
        <v>60</v>
      </c>
      <c r="B61" s="5">
        <v>2507023404</v>
      </c>
      <c r="C61" s="5" t="s">
        <v>770</v>
      </c>
      <c r="D61" s="5" t="s">
        <v>564</v>
      </c>
      <c r="E61" s="5" t="s">
        <v>771</v>
      </c>
      <c r="F61" s="5" t="s">
        <v>71</v>
      </c>
      <c r="G61" s="5" t="s">
        <v>75</v>
      </c>
      <c r="H61" s="5" t="s">
        <v>759</v>
      </c>
      <c r="I61" s="5">
        <v>202500509</v>
      </c>
      <c r="J61" s="6">
        <v>45840</v>
      </c>
      <c r="K61" s="6">
        <v>45840</v>
      </c>
      <c r="L61" s="6">
        <v>45846</v>
      </c>
      <c r="M61" s="5" t="s">
        <v>53</v>
      </c>
      <c r="N61" s="5" t="s">
        <v>54</v>
      </c>
      <c r="O61" s="5" t="s">
        <v>41</v>
      </c>
      <c r="P61" s="30">
        <f t="shared" si="1"/>
        <v>6</v>
      </c>
      <c r="Q61" s="41">
        <v>3807.6615384615384</v>
      </c>
      <c r="R61" s="7">
        <v>6500</v>
      </c>
      <c r="S61" s="8">
        <f t="shared" si="3"/>
        <v>2692.3384615384616</v>
      </c>
    </row>
    <row r="62" spans="1:21">
      <c r="A62" s="5">
        <v>61</v>
      </c>
      <c r="B62" s="5">
        <v>2507030157</v>
      </c>
      <c r="C62" s="5" t="s">
        <v>772</v>
      </c>
      <c r="D62" s="5" t="s">
        <v>64</v>
      </c>
      <c r="E62" s="5" t="s">
        <v>65</v>
      </c>
      <c r="F62" s="5" t="s">
        <v>66</v>
      </c>
      <c r="G62" s="5" t="s">
        <v>52</v>
      </c>
      <c r="H62" s="5" t="s">
        <v>759</v>
      </c>
      <c r="I62" s="5">
        <v>202500510</v>
      </c>
      <c r="J62" s="6">
        <v>45839</v>
      </c>
      <c r="K62" s="6">
        <v>45841</v>
      </c>
      <c r="L62" s="6">
        <v>45846</v>
      </c>
      <c r="M62" s="5" t="s">
        <v>53</v>
      </c>
      <c r="N62" s="5" t="s">
        <v>54</v>
      </c>
      <c r="O62" s="5" t="s">
        <v>41</v>
      </c>
      <c r="P62" s="30">
        <f t="shared" si="1"/>
        <v>5</v>
      </c>
      <c r="Q62" s="41">
        <v>3807.6615384615384</v>
      </c>
      <c r="R62" s="7">
        <v>5500</v>
      </c>
      <c r="S62" s="8">
        <f t="shared" si="3"/>
        <v>1692.3384615384616</v>
      </c>
    </row>
    <row r="63" spans="1:21">
      <c r="A63" s="5">
        <v>62</v>
      </c>
      <c r="B63" s="5">
        <v>2507030161</v>
      </c>
      <c r="C63" s="5" t="s">
        <v>773</v>
      </c>
      <c r="D63" s="5" t="s">
        <v>64</v>
      </c>
      <c r="E63" s="5" t="s">
        <v>65</v>
      </c>
      <c r="F63" s="5" t="s">
        <v>66</v>
      </c>
      <c r="G63" s="5" t="s">
        <v>52</v>
      </c>
      <c r="H63" s="5" t="s">
        <v>759</v>
      </c>
      <c r="I63" s="5">
        <v>202500511</v>
      </c>
      <c r="J63" s="6">
        <v>45839</v>
      </c>
      <c r="K63" s="6">
        <v>45841</v>
      </c>
      <c r="L63" s="6">
        <v>45846</v>
      </c>
      <c r="M63" s="5" t="s">
        <v>53</v>
      </c>
      <c r="N63" s="5" t="s">
        <v>54</v>
      </c>
      <c r="O63" s="5" t="s">
        <v>41</v>
      </c>
      <c r="P63" s="30">
        <f t="shared" si="1"/>
        <v>5</v>
      </c>
      <c r="Q63" s="41">
        <v>3807.6615384615384</v>
      </c>
      <c r="R63" s="7">
        <v>5500</v>
      </c>
      <c r="S63" s="8">
        <f t="shared" si="3"/>
        <v>1692.3384615384616</v>
      </c>
    </row>
    <row r="64" spans="1:21">
      <c r="A64" s="5">
        <v>63</v>
      </c>
      <c r="B64" s="5">
        <v>2507033047</v>
      </c>
      <c r="C64" s="5" t="s">
        <v>774</v>
      </c>
      <c r="D64" s="5" t="s">
        <v>775</v>
      </c>
      <c r="E64" s="5" t="s">
        <v>776</v>
      </c>
      <c r="F64" s="5" t="s">
        <v>202</v>
      </c>
      <c r="G64" s="5" t="s">
        <v>52</v>
      </c>
      <c r="H64" s="5" t="s">
        <v>759</v>
      </c>
      <c r="I64" s="5">
        <v>202500512</v>
      </c>
      <c r="J64" s="6">
        <v>45841</v>
      </c>
      <c r="K64" s="6">
        <v>45841</v>
      </c>
      <c r="L64" s="6">
        <v>45846</v>
      </c>
      <c r="M64" s="5" t="s">
        <v>53</v>
      </c>
      <c r="N64" s="5" t="s">
        <v>54</v>
      </c>
      <c r="O64" s="5" t="s">
        <v>41</v>
      </c>
      <c r="P64" s="30">
        <f t="shared" si="1"/>
        <v>5</v>
      </c>
      <c r="Q64" s="41">
        <v>3807.6615384615384</v>
      </c>
      <c r="R64" s="7">
        <v>8500</v>
      </c>
      <c r="S64" s="8">
        <f t="shared" si="3"/>
        <v>4692.3384615384621</v>
      </c>
    </row>
    <row r="65" spans="1:19">
      <c r="A65" s="5">
        <v>64</v>
      </c>
      <c r="B65" s="5">
        <v>2507033055</v>
      </c>
      <c r="C65" s="5" t="s">
        <v>777</v>
      </c>
      <c r="D65" s="5" t="s">
        <v>572</v>
      </c>
      <c r="E65" s="5" t="s">
        <v>778</v>
      </c>
      <c r="F65" s="5" t="s">
        <v>87</v>
      </c>
      <c r="G65" s="5" t="s">
        <v>52</v>
      </c>
      <c r="H65" s="5" t="s">
        <v>759</v>
      </c>
      <c r="I65" s="5">
        <v>202500513</v>
      </c>
      <c r="J65" s="6">
        <v>45841</v>
      </c>
      <c r="K65" s="6">
        <v>45841</v>
      </c>
      <c r="L65" s="6">
        <v>45846</v>
      </c>
      <c r="M65" s="5" t="s">
        <v>53</v>
      </c>
      <c r="N65" s="5" t="s">
        <v>54</v>
      </c>
      <c r="O65" s="5" t="s">
        <v>41</v>
      </c>
      <c r="P65" s="30">
        <f t="shared" si="1"/>
        <v>5</v>
      </c>
      <c r="Q65" s="41">
        <v>3807.6615384615384</v>
      </c>
      <c r="R65" s="7">
        <v>6000</v>
      </c>
      <c r="S65" s="8">
        <f t="shared" si="3"/>
        <v>2192.3384615384616</v>
      </c>
    </row>
    <row r="66" spans="1:19">
      <c r="A66" s="5">
        <v>65</v>
      </c>
      <c r="B66" s="5">
        <v>2507033074</v>
      </c>
      <c r="C66" s="5" t="s">
        <v>779</v>
      </c>
      <c r="D66" s="5" t="s">
        <v>321</v>
      </c>
      <c r="E66" s="5" t="s">
        <v>780</v>
      </c>
      <c r="F66" s="5" t="s">
        <v>202</v>
      </c>
      <c r="G66" s="5" t="s">
        <v>52</v>
      </c>
      <c r="H66" s="5" t="s">
        <v>759</v>
      </c>
      <c r="I66" s="5">
        <v>202500514</v>
      </c>
      <c r="J66" s="6">
        <v>45840</v>
      </c>
      <c r="K66" s="6">
        <v>45842</v>
      </c>
      <c r="L66" s="6">
        <v>45846</v>
      </c>
      <c r="M66" s="5" t="s">
        <v>53</v>
      </c>
      <c r="N66" s="5" t="s">
        <v>54</v>
      </c>
      <c r="O66" s="5" t="s">
        <v>41</v>
      </c>
      <c r="P66" s="30">
        <f t="shared" si="1"/>
        <v>4</v>
      </c>
      <c r="Q66" s="41">
        <v>3807.6615384615384</v>
      </c>
      <c r="R66" s="7">
        <v>7500</v>
      </c>
      <c r="S66" s="8">
        <f t="shared" si="3"/>
        <v>3692.3384615384616</v>
      </c>
    </row>
    <row r="67" spans="1:19">
      <c r="A67" s="5">
        <v>66</v>
      </c>
      <c r="B67" s="5">
        <v>2507043155</v>
      </c>
      <c r="C67" s="5" t="s">
        <v>781</v>
      </c>
      <c r="D67" s="5" t="s">
        <v>64</v>
      </c>
      <c r="E67" s="5" t="s">
        <v>65</v>
      </c>
      <c r="F67" s="5" t="s">
        <v>66</v>
      </c>
      <c r="G67" s="5" t="s">
        <v>52</v>
      </c>
      <c r="H67" s="5" t="s">
        <v>759</v>
      </c>
      <c r="I67" s="5">
        <v>202500515</v>
      </c>
      <c r="J67" s="6">
        <v>45840</v>
      </c>
      <c r="K67" s="6">
        <v>45842</v>
      </c>
      <c r="L67" s="6">
        <v>45846</v>
      </c>
      <c r="M67" s="5" t="s">
        <v>53</v>
      </c>
      <c r="N67" s="5" t="s">
        <v>54</v>
      </c>
      <c r="O67" s="5" t="s">
        <v>41</v>
      </c>
      <c r="P67" s="30">
        <f t="shared" si="1"/>
        <v>4</v>
      </c>
      <c r="Q67" s="41">
        <v>3807.6615384615384</v>
      </c>
      <c r="R67" s="7">
        <v>5500</v>
      </c>
      <c r="S67" s="8">
        <f t="shared" si="3"/>
        <v>1692.3384615384616</v>
      </c>
    </row>
    <row r="68" spans="1:19">
      <c r="A68" s="5">
        <v>67</v>
      </c>
      <c r="B68" s="5">
        <v>2507043160</v>
      </c>
      <c r="C68" s="5" t="s">
        <v>782</v>
      </c>
      <c r="D68" s="5" t="s">
        <v>631</v>
      </c>
      <c r="E68" s="5" t="s">
        <v>664</v>
      </c>
      <c r="F68" s="5" t="s">
        <v>87</v>
      </c>
      <c r="G68" s="5" t="s">
        <v>52</v>
      </c>
      <c r="H68" s="5" t="s">
        <v>759</v>
      </c>
      <c r="I68" s="5">
        <v>202500516</v>
      </c>
      <c r="J68" s="6">
        <v>45840</v>
      </c>
      <c r="K68" s="6">
        <v>45842</v>
      </c>
      <c r="L68" s="6">
        <v>45846</v>
      </c>
      <c r="M68" s="5" t="s">
        <v>53</v>
      </c>
      <c r="N68" s="5" t="s">
        <v>54</v>
      </c>
      <c r="O68" s="5" t="s">
        <v>41</v>
      </c>
      <c r="P68" s="30">
        <f t="shared" si="1"/>
        <v>4</v>
      </c>
      <c r="Q68" s="41">
        <v>3807.6615384615384</v>
      </c>
      <c r="R68" s="7">
        <v>8000</v>
      </c>
      <c r="S68" s="8">
        <f t="shared" si="3"/>
        <v>4192.3384615384621</v>
      </c>
    </row>
    <row r="69" spans="1:19">
      <c r="A69" s="5">
        <v>68</v>
      </c>
      <c r="B69" s="9">
        <v>2507043166</v>
      </c>
      <c r="C69" s="9" t="s">
        <v>783</v>
      </c>
      <c r="D69" s="9" t="s">
        <v>405</v>
      </c>
      <c r="E69" s="9" t="s">
        <v>485</v>
      </c>
      <c r="F69" s="9" t="s">
        <v>202</v>
      </c>
      <c r="G69" s="9" t="s">
        <v>43</v>
      </c>
      <c r="H69" s="9" t="s">
        <v>759</v>
      </c>
      <c r="I69" s="9">
        <v>202500517</v>
      </c>
      <c r="J69" s="10">
        <v>45841</v>
      </c>
      <c r="K69" s="10">
        <v>45842</v>
      </c>
      <c r="L69" s="10">
        <v>45846</v>
      </c>
      <c r="M69" s="9" t="s">
        <v>45</v>
      </c>
      <c r="N69" s="9" t="s">
        <v>94</v>
      </c>
      <c r="O69" s="9" t="s">
        <v>784</v>
      </c>
      <c r="P69" s="32">
        <f t="shared" si="1"/>
        <v>4</v>
      </c>
      <c r="Q69" s="11">
        <v>3807.6615384615384</v>
      </c>
      <c r="R69" s="11">
        <v>13500</v>
      </c>
      <c r="S69" s="12">
        <f t="shared" si="3"/>
        <v>9692.3384615384621</v>
      </c>
    </row>
    <row r="70" spans="1:19">
      <c r="A70" s="5">
        <v>69</v>
      </c>
      <c r="B70" s="5">
        <v>2507043171</v>
      </c>
      <c r="C70" s="5" t="s">
        <v>785</v>
      </c>
      <c r="D70" s="5" t="s">
        <v>405</v>
      </c>
      <c r="E70" s="5" t="s">
        <v>526</v>
      </c>
      <c r="F70" s="5" t="s">
        <v>202</v>
      </c>
      <c r="G70" s="5" t="s">
        <v>52</v>
      </c>
      <c r="H70" s="5" t="s">
        <v>759</v>
      </c>
      <c r="I70" s="5">
        <v>202500518</v>
      </c>
      <c r="J70" s="6">
        <v>45841</v>
      </c>
      <c r="K70" s="6">
        <v>45842</v>
      </c>
      <c r="L70" s="6">
        <v>45846</v>
      </c>
      <c r="M70" s="5" t="s">
        <v>53</v>
      </c>
      <c r="N70" s="5" t="s">
        <v>54</v>
      </c>
      <c r="O70" s="5" t="s">
        <v>41</v>
      </c>
      <c r="P70" s="30">
        <f t="shared" si="1"/>
        <v>4</v>
      </c>
      <c r="Q70" s="41">
        <v>3807.6615384615384</v>
      </c>
      <c r="R70" s="7">
        <v>6450</v>
      </c>
      <c r="S70" s="8">
        <f t="shared" si="3"/>
        <v>2642.3384615384616</v>
      </c>
    </row>
    <row r="71" spans="1:19">
      <c r="A71" s="5">
        <v>70</v>
      </c>
      <c r="B71" s="9">
        <v>2507043273</v>
      </c>
      <c r="C71" s="9" t="s">
        <v>786</v>
      </c>
      <c r="D71" s="9" t="s">
        <v>309</v>
      </c>
      <c r="E71" s="9" t="s">
        <v>310</v>
      </c>
      <c r="F71" s="9" t="s">
        <v>51</v>
      </c>
      <c r="G71" s="9" t="s">
        <v>52</v>
      </c>
      <c r="H71" s="9" t="s">
        <v>759</v>
      </c>
      <c r="I71" s="9">
        <v>202500519</v>
      </c>
      <c r="J71" s="10">
        <v>45841</v>
      </c>
      <c r="K71" s="10">
        <v>45842</v>
      </c>
      <c r="L71" s="10">
        <v>45846</v>
      </c>
      <c r="M71" s="9" t="s">
        <v>45</v>
      </c>
      <c r="N71" s="9" t="s">
        <v>94</v>
      </c>
      <c r="O71" s="63" t="s">
        <v>787</v>
      </c>
      <c r="P71" s="32">
        <f t="shared" si="1"/>
        <v>4</v>
      </c>
      <c r="Q71" s="11">
        <v>3807.6615384615384</v>
      </c>
      <c r="R71" s="11">
        <v>5500</v>
      </c>
      <c r="S71" s="12">
        <f t="shared" si="3"/>
        <v>1692.3384615384616</v>
      </c>
    </row>
    <row r="72" spans="1:19">
      <c r="A72" s="5">
        <v>71</v>
      </c>
      <c r="B72" s="5">
        <v>2507043300</v>
      </c>
      <c r="C72" s="5" t="s">
        <v>788</v>
      </c>
      <c r="D72" s="5" t="s">
        <v>296</v>
      </c>
      <c r="E72" s="5" t="s">
        <v>297</v>
      </c>
      <c r="F72" s="5" t="s">
        <v>79</v>
      </c>
      <c r="G72" s="5" t="s">
        <v>52</v>
      </c>
      <c r="H72" s="5" t="s">
        <v>759</v>
      </c>
      <c r="I72" s="5">
        <v>202500520</v>
      </c>
      <c r="J72" s="6">
        <v>45841</v>
      </c>
      <c r="K72" s="6">
        <v>45842</v>
      </c>
      <c r="L72" s="6">
        <v>45846</v>
      </c>
      <c r="M72" s="5" t="s">
        <v>53</v>
      </c>
      <c r="N72" s="5" t="s">
        <v>54</v>
      </c>
      <c r="O72" s="5" t="s">
        <v>41</v>
      </c>
      <c r="P72" s="30">
        <f t="shared" si="1"/>
        <v>4</v>
      </c>
      <c r="Q72" s="41">
        <v>3807.6615384615384</v>
      </c>
      <c r="R72" s="7">
        <v>8500</v>
      </c>
      <c r="S72" s="8">
        <f t="shared" si="3"/>
        <v>4692.3384615384621</v>
      </c>
    </row>
    <row r="73" spans="1:19">
      <c r="A73" s="5">
        <v>72</v>
      </c>
      <c r="B73" s="5">
        <v>2507041867</v>
      </c>
      <c r="C73" s="5" t="s">
        <v>789</v>
      </c>
      <c r="D73" s="5" t="s">
        <v>40</v>
      </c>
      <c r="E73" s="5" t="s">
        <v>41</v>
      </c>
      <c r="F73" s="5" t="s">
        <v>42</v>
      </c>
      <c r="G73" s="5" t="s">
        <v>43</v>
      </c>
      <c r="H73" s="5" t="s">
        <v>759</v>
      </c>
      <c r="I73" s="5">
        <v>202500521</v>
      </c>
      <c r="J73" s="6">
        <v>45842</v>
      </c>
      <c r="K73" s="6">
        <v>45842</v>
      </c>
      <c r="L73" s="6">
        <v>45846</v>
      </c>
      <c r="M73" s="5" t="s">
        <v>53</v>
      </c>
      <c r="N73" s="5" t="s">
        <v>54</v>
      </c>
      <c r="O73" s="5" t="s">
        <v>41</v>
      </c>
      <c r="P73" s="30">
        <f t="shared" si="1"/>
        <v>4</v>
      </c>
      <c r="Q73" s="41">
        <v>3807.6615384615384</v>
      </c>
      <c r="R73" s="7">
        <v>14500</v>
      </c>
      <c r="S73" s="8">
        <f t="shared" si="3"/>
        <v>10692.338461538462</v>
      </c>
    </row>
    <row r="74" spans="1:19">
      <c r="A74" s="5">
        <v>73</v>
      </c>
      <c r="B74" s="5">
        <v>2507043324</v>
      </c>
      <c r="C74" s="5" t="s">
        <v>790</v>
      </c>
      <c r="D74" s="5" t="s">
        <v>791</v>
      </c>
      <c r="E74" s="5" t="s">
        <v>792</v>
      </c>
      <c r="F74" s="5" t="s">
        <v>141</v>
      </c>
      <c r="G74" s="5" t="s">
        <v>43</v>
      </c>
      <c r="H74" s="5" t="s">
        <v>759</v>
      </c>
      <c r="I74" s="5">
        <v>202500522</v>
      </c>
      <c r="J74" s="6">
        <v>45841</v>
      </c>
      <c r="K74" s="6">
        <v>45842</v>
      </c>
      <c r="L74" s="6">
        <v>45846</v>
      </c>
      <c r="M74" s="5" t="s">
        <v>53</v>
      </c>
      <c r="N74" s="5" t="s">
        <v>54</v>
      </c>
      <c r="O74" s="5" t="s">
        <v>41</v>
      </c>
      <c r="P74" s="30">
        <f t="shared" si="1"/>
        <v>4</v>
      </c>
      <c r="Q74" s="41">
        <v>3807.6615384615384</v>
      </c>
      <c r="R74" s="7">
        <v>12500</v>
      </c>
      <c r="S74" s="8">
        <f t="shared" si="3"/>
        <v>8692.3384615384621</v>
      </c>
    </row>
    <row r="75" spans="1:19">
      <c r="A75" s="5">
        <v>74</v>
      </c>
      <c r="B75" s="5">
        <v>2507043337</v>
      </c>
      <c r="C75" s="5" t="s">
        <v>793</v>
      </c>
      <c r="D75" s="5" t="s">
        <v>405</v>
      </c>
      <c r="E75" s="5" t="s">
        <v>526</v>
      </c>
      <c r="F75" s="5" t="s">
        <v>202</v>
      </c>
      <c r="G75" s="5" t="s">
        <v>52</v>
      </c>
      <c r="H75" s="5" t="s">
        <v>759</v>
      </c>
      <c r="I75" s="5">
        <v>202500523</v>
      </c>
      <c r="J75" s="5"/>
      <c r="K75" s="6">
        <v>45842</v>
      </c>
      <c r="L75" s="6">
        <v>45846</v>
      </c>
      <c r="M75" s="5" t="s">
        <v>53</v>
      </c>
      <c r="N75" s="5" t="s">
        <v>54</v>
      </c>
      <c r="O75" s="5" t="s">
        <v>41</v>
      </c>
      <c r="P75" s="30">
        <f t="shared" si="1"/>
        <v>4</v>
      </c>
      <c r="Q75" s="41">
        <v>3807.6615384615384</v>
      </c>
      <c r="R75" s="7">
        <v>6450</v>
      </c>
      <c r="S75" s="8">
        <f t="shared" si="3"/>
        <v>2642.3384615384616</v>
      </c>
    </row>
    <row r="76" spans="1:19">
      <c r="A76" s="5">
        <v>75</v>
      </c>
      <c r="B76" s="5">
        <v>2507043340</v>
      </c>
      <c r="C76" s="5" t="s">
        <v>794</v>
      </c>
      <c r="D76" s="5" t="s">
        <v>405</v>
      </c>
      <c r="E76" s="5" t="s">
        <v>526</v>
      </c>
      <c r="F76" s="5" t="s">
        <v>202</v>
      </c>
      <c r="G76" s="5" t="s">
        <v>52</v>
      </c>
      <c r="H76" s="5" t="s">
        <v>759</v>
      </c>
      <c r="I76" s="5">
        <v>202500524</v>
      </c>
      <c r="J76" s="5"/>
      <c r="K76" s="6">
        <v>45842</v>
      </c>
      <c r="L76" s="6">
        <v>45846</v>
      </c>
      <c r="M76" s="5" t="s">
        <v>53</v>
      </c>
      <c r="N76" s="5" t="s">
        <v>54</v>
      </c>
      <c r="O76" s="5" t="s">
        <v>41</v>
      </c>
      <c r="P76" s="30">
        <f t="shared" si="1"/>
        <v>4</v>
      </c>
      <c r="Q76" s="41">
        <v>3807.6615384615384</v>
      </c>
      <c r="R76" s="7">
        <v>6450</v>
      </c>
      <c r="S76" s="8">
        <f t="shared" si="3"/>
        <v>2642.3384615384616</v>
      </c>
    </row>
    <row r="77" spans="1:19">
      <c r="A77" s="5">
        <v>76</v>
      </c>
      <c r="B77" s="5">
        <v>2507043356</v>
      </c>
      <c r="C77" s="5" t="s">
        <v>795</v>
      </c>
      <c r="D77" s="5" t="s">
        <v>564</v>
      </c>
      <c r="E77" s="5" t="s">
        <v>771</v>
      </c>
      <c r="F77" s="5" t="s">
        <v>71</v>
      </c>
      <c r="G77" s="5" t="s">
        <v>75</v>
      </c>
      <c r="H77" s="5" t="s">
        <v>759</v>
      </c>
      <c r="I77" s="5">
        <v>202500525</v>
      </c>
      <c r="J77" s="5"/>
      <c r="K77" s="6">
        <v>45842</v>
      </c>
      <c r="L77" s="6">
        <v>45846</v>
      </c>
      <c r="M77" s="5" t="s">
        <v>53</v>
      </c>
      <c r="N77" s="5" t="s">
        <v>54</v>
      </c>
      <c r="O77" s="5" t="s">
        <v>41</v>
      </c>
      <c r="P77" s="30">
        <f t="shared" si="1"/>
        <v>4</v>
      </c>
      <c r="Q77" s="41">
        <v>3807.6615384615384</v>
      </c>
      <c r="R77" s="7">
        <v>6500</v>
      </c>
      <c r="S77" s="8">
        <f t="shared" si="3"/>
        <v>2692.3384615384616</v>
      </c>
    </row>
    <row r="78" spans="1:19">
      <c r="A78" s="5">
        <v>77</v>
      </c>
      <c r="B78" s="22">
        <v>2506300553</v>
      </c>
      <c r="C78" s="22" t="s">
        <v>736</v>
      </c>
      <c r="D78" s="22" t="s">
        <v>64</v>
      </c>
      <c r="E78" s="22" t="s">
        <v>65</v>
      </c>
      <c r="F78" s="22" t="s">
        <v>66</v>
      </c>
      <c r="G78" s="22" t="s">
        <v>52</v>
      </c>
      <c r="H78" s="22" t="s">
        <v>759</v>
      </c>
      <c r="I78" s="22">
        <v>202500526</v>
      </c>
      <c r="J78" s="22"/>
      <c r="K78" s="23">
        <v>45838</v>
      </c>
      <c r="L78" s="23">
        <v>45846</v>
      </c>
      <c r="M78" s="22" t="s">
        <v>53</v>
      </c>
      <c r="N78" s="22" t="s">
        <v>54</v>
      </c>
      <c r="O78" s="22" t="s">
        <v>41</v>
      </c>
      <c r="P78" s="34">
        <f t="shared" si="1"/>
        <v>8</v>
      </c>
      <c r="Q78" s="24">
        <v>3807.66</v>
      </c>
      <c r="R78" s="24">
        <v>0</v>
      </c>
      <c r="S78" s="25">
        <f t="shared" si="3"/>
        <v>-3807.66</v>
      </c>
    </row>
    <row r="79" spans="1:19">
      <c r="A79" s="5">
        <v>78</v>
      </c>
      <c r="B79" s="5" t="s">
        <v>796</v>
      </c>
      <c r="C79" s="5"/>
      <c r="D79" s="5"/>
      <c r="E79" s="5"/>
      <c r="F79" s="5"/>
      <c r="G79" s="5" t="s">
        <v>52</v>
      </c>
      <c r="H79" s="5"/>
      <c r="I79" s="5"/>
      <c r="J79" s="5"/>
      <c r="K79" s="5"/>
      <c r="L79" s="5"/>
      <c r="M79" s="5"/>
      <c r="N79" s="5"/>
      <c r="O79" s="5"/>
      <c r="P79" s="5"/>
      <c r="Q79" s="41">
        <v>3807.6615384615384</v>
      </c>
      <c r="R79" s="7">
        <v>0</v>
      </c>
      <c r="S79" s="8">
        <f t="shared" si="3"/>
        <v>-3807.6615384615384</v>
      </c>
    </row>
    <row r="80" spans="1:19">
      <c r="A80" s="5">
        <v>79</v>
      </c>
      <c r="B80" s="5" t="s">
        <v>797</v>
      </c>
      <c r="C80" s="5"/>
      <c r="D80" s="5"/>
      <c r="E80" s="5"/>
      <c r="F80" s="5"/>
      <c r="G80" s="5" t="s">
        <v>52</v>
      </c>
      <c r="H80" s="5"/>
      <c r="I80" s="5"/>
      <c r="J80" s="5"/>
      <c r="K80" s="5"/>
      <c r="L80" s="5"/>
      <c r="M80" s="5"/>
      <c r="N80" s="5"/>
      <c r="O80" s="5"/>
      <c r="P80" s="5"/>
      <c r="Q80" s="41">
        <v>3807.6615384615384</v>
      </c>
      <c r="R80" s="7">
        <v>0</v>
      </c>
      <c r="S80" s="8">
        <f t="shared" si="3"/>
        <v>-3807.6615384615384</v>
      </c>
    </row>
    <row r="81" spans="1:19">
      <c r="A81" s="5">
        <v>80</v>
      </c>
      <c r="B81" s="5">
        <v>2507043367</v>
      </c>
      <c r="C81" s="5" t="s">
        <v>798</v>
      </c>
      <c r="D81" s="5" t="s">
        <v>564</v>
      </c>
      <c r="E81" s="5" t="s">
        <v>589</v>
      </c>
      <c r="F81" s="5" t="s">
        <v>71</v>
      </c>
      <c r="G81" s="5" t="s">
        <v>75</v>
      </c>
      <c r="H81" s="5" t="s">
        <v>799</v>
      </c>
      <c r="I81" s="5">
        <v>202500527</v>
      </c>
      <c r="J81" s="5"/>
      <c r="K81" s="6">
        <v>45842</v>
      </c>
      <c r="L81" s="6">
        <v>45848</v>
      </c>
      <c r="M81" s="5" t="s">
        <v>53</v>
      </c>
      <c r="N81" s="5" t="s">
        <v>54</v>
      </c>
      <c r="O81" s="5" t="s">
        <v>41</v>
      </c>
      <c r="P81" s="30">
        <f t="shared" ref="P81:P104" si="4">L81-K81</f>
        <v>6</v>
      </c>
      <c r="Q81" s="41">
        <v>3807.6615384615384</v>
      </c>
      <c r="R81" s="7">
        <v>6500</v>
      </c>
      <c r="S81" s="8">
        <f t="shared" si="3"/>
        <v>2692.3384615384616</v>
      </c>
    </row>
    <row r="82" spans="1:19">
      <c r="A82" s="5">
        <v>81</v>
      </c>
      <c r="B82" s="5">
        <v>2507043390</v>
      </c>
      <c r="C82" s="5" t="s">
        <v>800</v>
      </c>
      <c r="D82" s="5" t="s">
        <v>215</v>
      </c>
      <c r="E82" s="5" t="s">
        <v>216</v>
      </c>
      <c r="F82" s="5" t="s">
        <v>109</v>
      </c>
      <c r="G82" s="5" t="s">
        <v>52</v>
      </c>
      <c r="H82" s="5" t="s">
        <v>799</v>
      </c>
      <c r="I82" s="5">
        <v>202500528</v>
      </c>
      <c r="J82" s="5"/>
      <c r="K82" s="6">
        <v>45842</v>
      </c>
      <c r="L82" s="6">
        <v>45848</v>
      </c>
      <c r="M82" s="5" t="s">
        <v>53</v>
      </c>
      <c r="N82" s="5" t="s">
        <v>54</v>
      </c>
      <c r="O82" s="5" t="s">
        <v>41</v>
      </c>
      <c r="P82" s="30">
        <f t="shared" si="4"/>
        <v>6</v>
      </c>
      <c r="Q82" s="41">
        <v>3807.6615384615384</v>
      </c>
      <c r="R82" s="7">
        <v>6000</v>
      </c>
      <c r="S82" s="8">
        <f t="shared" si="3"/>
        <v>2192.3384615384616</v>
      </c>
    </row>
    <row r="83" spans="1:19">
      <c r="A83" s="5">
        <v>82</v>
      </c>
      <c r="B83" s="5">
        <v>2507050346</v>
      </c>
      <c r="C83" s="5" t="s">
        <v>801</v>
      </c>
      <c r="D83" s="5" t="s">
        <v>139</v>
      </c>
      <c r="E83" s="5" t="s">
        <v>413</v>
      </c>
      <c r="F83" s="5" t="s">
        <v>141</v>
      </c>
      <c r="G83" s="5" t="s">
        <v>52</v>
      </c>
      <c r="H83" s="5" t="s">
        <v>799</v>
      </c>
      <c r="I83" s="5">
        <v>202500529</v>
      </c>
      <c r="J83" s="5"/>
      <c r="K83" s="6">
        <v>45843</v>
      </c>
      <c r="L83" s="6">
        <v>45848</v>
      </c>
      <c r="M83" s="5" t="s">
        <v>53</v>
      </c>
      <c r="N83" s="5" t="s">
        <v>54</v>
      </c>
      <c r="O83" s="5" t="s">
        <v>41</v>
      </c>
      <c r="P83" s="30">
        <f t="shared" si="4"/>
        <v>5</v>
      </c>
      <c r="Q83" s="41">
        <v>3807.6615384615384</v>
      </c>
      <c r="R83" s="7">
        <v>6000</v>
      </c>
      <c r="S83" s="8">
        <f t="shared" si="3"/>
        <v>2192.3384615384616</v>
      </c>
    </row>
    <row r="84" spans="1:19">
      <c r="A84" s="5">
        <v>83</v>
      </c>
      <c r="B84" s="5">
        <v>2507051580</v>
      </c>
      <c r="C84" s="5" t="s">
        <v>802</v>
      </c>
      <c r="D84" s="5" t="s">
        <v>528</v>
      </c>
      <c r="E84" s="5" t="s">
        <v>529</v>
      </c>
      <c r="F84" s="5" t="s">
        <v>202</v>
      </c>
      <c r="G84" s="5" t="s">
        <v>52</v>
      </c>
      <c r="H84" s="5" t="s">
        <v>799</v>
      </c>
      <c r="I84" s="5">
        <v>202500530</v>
      </c>
      <c r="J84" s="5"/>
      <c r="K84" s="6">
        <v>45843</v>
      </c>
      <c r="L84" s="6">
        <v>45848</v>
      </c>
      <c r="M84" s="5" t="s">
        <v>53</v>
      </c>
      <c r="N84" s="5" t="s">
        <v>54</v>
      </c>
      <c r="O84" s="5" t="s">
        <v>41</v>
      </c>
      <c r="P84" s="30">
        <f t="shared" si="4"/>
        <v>5</v>
      </c>
      <c r="Q84" s="41">
        <v>3807.6615384615384</v>
      </c>
      <c r="R84" s="7">
        <v>7500</v>
      </c>
      <c r="S84" s="8">
        <f t="shared" si="3"/>
        <v>3692.3384615384616</v>
      </c>
    </row>
    <row r="85" spans="1:19">
      <c r="A85" s="5">
        <v>84</v>
      </c>
      <c r="B85" s="5">
        <v>2507051619</v>
      </c>
      <c r="C85" s="5" t="s">
        <v>803</v>
      </c>
      <c r="D85" s="5" t="s">
        <v>804</v>
      </c>
      <c r="E85" s="5" t="s">
        <v>805</v>
      </c>
      <c r="F85" s="5" t="s">
        <v>457</v>
      </c>
      <c r="G85" s="5" t="s">
        <v>52</v>
      </c>
      <c r="H85" s="5" t="s">
        <v>799</v>
      </c>
      <c r="I85" s="5">
        <v>202500531</v>
      </c>
      <c r="J85" s="5"/>
      <c r="K85" s="6">
        <v>45843</v>
      </c>
      <c r="L85" s="6">
        <v>45848</v>
      </c>
      <c r="M85" s="5" t="s">
        <v>53</v>
      </c>
      <c r="N85" s="5" t="s">
        <v>54</v>
      </c>
      <c r="O85" s="5" t="s">
        <v>41</v>
      </c>
      <c r="P85" s="30">
        <f t="shared" si="4"/>
        <v>5</v>
      </c>
      <c r="Q85" s="41">
        <v>3807.6615384615384</v>
      </c>
      <c r="R85" s="7">
        <v>5000</v>
      </c>
      <c r="S85" s="8">
        <f t="shared" si="3"/>
        <v>1192.3384615384616</v>
      </c>
    </row>
    <row r="86" spans="1:19">
      <c r="A86" s="5">
        <v>85</v>
      </c>
      <c r="B86" s="5">
        <v>2507052400</v>
      </c>
      <c r="C86" s="5" t="s">
        <v>806</v>
      </c>
      <c r="D86" s="5" t="s">
        <v>775</v>
      </c>
      <c r="E86" s="5" t="s">
        <v>776</v>
      </c>
      <c r="F86" s="5" t="s">
        <v>202</v>
      </c>
      <c r="G86" s="5" t="s">
        <v>52</v>
      </c>
      <c r="H86" s="5" t="s">
        <v>799</v>
      </c>
      <c r="I86" s="5">
        <v>202500532</v>
      </c>
      <c r="J86" s="5"/>
      <c r="K86" s="6">
        <v>45843</v>
      </c>
      <c r="L86" s="6">
        <v>45848</v>
      </c>
      <c r="M86" s="5" t="s">
        <v>53</v>
      </c>
      <c r="N86" s="5" t="s">
        <v>54</v>
      </c>
      <c r="O86" s="5" t="s">
        <v>41</v>
      </c>
      <c r="P86" s="30">
        <f t="shared" si="4"/>
        <v>5</v>
      </c>
      <c r="Q86" s="41">
        <v>3807.6615384615384</v>
      </c>
      <c r="R86" s="7">
        <v>8500</v>
      </c>
      <c r="S86" s="8">
        <f t="shared" si="3"/>
        <v>4692.3384615384621</v>
      </c>
    </row>
    <row r="87" spans="1:19">
      <c r="A87" s="5">
        <v>86</v>
      </c>
      <c r="B87" s="5">
        <v>2507052406</v>
      </c>
      <c r="C87" s="5" t="s">
        <v>807</v>
      </c>
      <c r="D87" s="5" t="s">
        <v>706</v>
      </c>
      <c r="E87" s="5" t="s">
        <v>707</v>
      </c>
      <c r="F87" s="5" t="s">
        <v>79</v>
      </c>
      <c r="G87" s="5" t="s">
        <v>52</v>
      </c>
      <c r="H87" s="5" t="s">
        <v>799</v>
      </c>
      <c r="I87" s="5">
        <v>202500533</v>
      </c>
      <c r="J87" s="5"/>
      <c r="K87" s="6">
        <v>45843</v>
      </c>
      <c r="L87" s="6">
        <v>45848</v>
      </c>
      <c r="M87" s="5" t="s">
        <v>53</v>
      </c>
      <c r="N87" s="5" t="s">
        <v>54</v>
      </c>
      <c r="O87" s="5" t="s">
        <v>41</v>
      </c>
      <c r="P87" s="30">
        <f t="shared" si="4"/>
        <v>5</v>
      </c>
      <c r="Q87" s="41">
        <v>3807.6615384615384</v>
      </c>
      <c r="R87" s="7">
        <v>7000</v>
      </c>
      <c r="S87" s="8">
        <f t="shared" si="3"/>
        <v>3192.3384615384616</v>
      </c>
    </row>
    <row r="88" spans="1:19">
      <c r="A88" s="5">
        <v>87</v>
      </c>
      <c r="B88" s="5">
        <v>2507070072</v>
      </c>
      <c r="C88" s="5" t="s">
        <v>808</v>
      </c>
      <c r="D88" s="5" t="s">
        <v>218</v>
      </c>
      <c r="E88" s="5" t="s">
        <v>219</v>
      </c>
      <c r="F88" s="5" t="s">
        <v>51</v>
      </c>
      <c r="G88" s="5" t="s">
        <v>52</v>
      </c>
      <c r="H88" s="5" t="s">
        <v>799</v>
      </c>
      <c r="I88" s="5">
        <v>202500534</v>
      </c>
      <c r="J88" s="5"/>
      <c r="K88" s="6">
        <v>45845</v>
      </c>
      <c r="L88" s="6">
        <v>45848</v>
      </c>
      <c r="M88" s="5" t="s">
        <v>53</v>
      </c>
      <c r="N88" s="5" t="s">
        <v>54</v>
      </c>
      <c r="O88" s="5" t="s">
        <v>41</v>
      </c>
      <c r="P88" s="30">
        <f t="shared" si="4"/>
        <v>3</v>
      </c>
      <c r="Q88" s="41">
        <v>3807.6615384615384</v>
      </c>
      <c r="R88" s="7">
        <v>5500</v>
      </c>
      <c r="S88" s="8">
        <f t="shared" si="3"/>
        <v>1692.3384615384616</v>
      </c>
    </row>
    <row r="89" spans="1:19">
      <c r="A89" s="5">
        <v>88</v>
      </c>
      <c r="B89" s="5">
        <v>2507061364</v>
      </c>
      <c r="C89" s="5" t="s">
        <v>809</v>
      </c>
      <c r="D89" s="5" t="s">
        <v>810</v>
      </c>
      <c r="E89" s="5" t="s">
        <v>811</v>
      </c>
      <c r="F89" s="5" t="s">
        <v>457</v>
      </c>
      <c r="G89" s="5" t="s">
        <v>52</v>
      </c>
      <c r="H89" s="5" t="s">
        <v>799</v>
      </c>
      <c r="I89" s="5">
        <v>202500535</v>
      </c>
      <c r="J89" s="5"/>
      <c r="K89" s="6">
        <v>45844</v>
      </c>
      <c r="L89" s="6">
        <v>45848</v>
      </c>
      <c r="M89" s="5" t="s">
        <v>53</v>
      </c>
      <c r="N89" s="5" t="s">
        <v>54</v>
      </c>
      <c r="O89" s="5" t="s">
        <v>41</v>
      </c>
      <c r="P89" s="30">
        <f t="shared" si="4"/>
        <v>4</v>
      </c>
      <c r="Q89" s="41">
        <v>3807.6615384615384</v>
      </c>
      <c r="R89" s="7">
        <v>5200</v>
      </c>
      <c r="S89" s="8">
        <f t="shared" si="3"/>
        <v>1392.3384615384616</v>
      </c>
    </row>
    <row r="90" spans="1:19">
      <c r="A90" s="5">
        <v>89</v>
      </c>
      <c r="B90" s="5">
        <v>2507061374</v>
      </c>
      <c r="C90" s="5" t="s">
        <v>812</v>
      </c>
      <c r="D90" s="5" t="s">
        <v>257</v>
      </c>
      <c r="E90" s="5" t="s">
        <v>258</v>
      </c>
      <c r="F90" s="5" t="s">
        <v>62</v>
      </c>
      <c r="G90" s="5" t="s">
        <v>52</v>
      </c>
      <c r="H90" s="5" t="s">
        <v>799</v>
      </c>
      <c r="I90" s="5">
        <v>202500536</v>
      </c>
      <c r="J90" s="5"/>
      <c r="K90" s="6">
        <v>45844</v>
      </c>
      <c r="L90" s="6">
        <v>45848</v>
      </c>
      <c r="M90" s="5" t="s">
        <v>53</v>
      </c>
      <c r="N90" s="5" t="s">
        <v>54</v>
      </c>
      <c r="O90" s="5" t="s">
        <v>41</v>
      </c>
      <c r="P90" s="30">
        <f t="shared" si="4"/>
        <v>4</v>
      </c>
      <c r="Q90" s="41">
        <v>3807.6615384615384</v>
      </c>
      <c r="R90" s="7">
        <v>5100</v>
      </c>
      <c r="S90" s="8">
        <f t="shared" si="3"/>
        <v>1292.3384615384616</v>
      </c>
    </row>
    <row r="91" spans="1:19">
      <c r="A91" s="5">
        <v>90</v>
      </c>
      <c r="B91" s="5">
        <v>2507061380</v>
      </c>
      <c r="C91" s="5" t="s">
        <v>813</v>
      </c>
      <c r="D91" s="5" t="s">
        <v>405</v>
      </c>
      <c r="E91" s="5" t="s">
        <v>485</v>
      </c>
      <c r="F91" s="5" t="s">
        <v>202</v>
      </c>
      <c r="G91" s="5" t="s">
        <v>52</v>
      </c>
      <c r="H91" s="5" t="s">
        <v>799</v>
      </c>
      <c r="I91" s="5">
        <v>202500537</v>
      </c>
      <c r="J91" s="5"/>
      <c r="K91" s="6">
        <v>45844</v>
      </c>
      <c r="L91" s="6">
        <v>45848</v>
      </c>
      <c r="M91" s="5" t="s">
        <v>53</v>
      </c>
      <c r="N91" s="5" t="s">
        <v>54</v>
      </c>
      <c r="O91" s="5" t="s">
        <v>41</v>
      </c>
      <c r="P91" s="30">
        <f t="shared" si="4"/>
        <v>4</v>
      </c>
      <c r="Q91" s="41">
        <v>3807.6615384615384</v>
      </c>
      <c r="R91" s="7">
        <v>6450</v>
      </c>
      <c r="S91" s="8">
        <f t="shared" si="3"/>
        <v>2642.3384615384616</v>
      </c>
    </row>
    <row r="92" spans="1:19">
      <c r="A92" s="5">
        <v>91</v>
      </c>
      <c r="B92" s="5">
        <v>2507061390</v>
      </c>
      <c r="C92" s="5" t="s">
        <v>814</v>
      </c>
      <c r="D92" s="5" t="s">
        <v>257</v>
      </c>
      <c r="E92" s="5" t="s">
        <v>258</v>
      </c>
      <c r="F92" s="5" t="s">
        <v>62</v>
      </c>
      <c r="G92" s="5" t="s">
        <v>52</v>
      </c>
      <c r="H92" s="5" t="s">
        <v>799</v>
      </c>
      <c r="I92" s="5">
        <v>202500538</v>
      </c>
      <c r="J92" s="5"/>
      <c r="K92" s="6">
        <v>45844</v>
      </c>
      <c r="L92" s="6">
        <v>45848</v>
      </c>
      <c r="M92" s="5" t="s">
        <v>53</v>
      </c>
      <c r="N92" s="5" t="s">
        <v>54</v>
      </c>
      <c r="O92" s="5" t="s">
        <v>41</v>
      </c>
      <c r="P92" s="30">
        <f t="shared" si="4"/>
        <v>4</v>
      </c>
      <c r="Q92" s="41">
        <v>3807.6615384615384</v>
      </c>
      <c r="R92" s="7">
        <v>5100</v>
      </c>
      <c r="S92" s="8">
        <f t="shared" si="3"/>
        <v>1292.3384615384616</v>
      </c>
    </row>
    <row r="93" spans="1:19">
      <c r="A93" s="5">
        <v>92</v>
      </c>
      <c r="B93" s="22">
        <v>2506261849</v>
      </c>
      <c r="C93" s="22" t="s">
        <v>688</v>
      </c>
      <c r="D93" s="22" t="s">
        <v>309</v>
      </c>
      <c r="E93" s="22" t="s">
        <v>310</v>
      </c>
      <c r="F93" s="22" t="s">
        <v>51</v>
      </c>
      <c r="G93" s="22" t="s">
        <v>52</v>
      </c>
      <c r="H93" s="22" t="s">
        <v>799</v>
      </c>
      <c r="I93" s="22">
        <v>202500539</v>
      </c>
      <c r="J93" s="22"/>
      <c r="K93" s="23">
        <v>45844</v>
      </c>
      <c r="L93" s="23">
        <v>45848</v>
      </c>
      <c r="M93" s="22" t="s">
        <v>53</v>
      </c>
      <c r="N93" s="22" t="s">
        <v>54</v>
      </c>
      <c r="O93" s="22" t="s">
        <v>425</v>
      </c>
      <c r="P93" s="34">
        <f t="shared" si="4"/>
        <v>4</v>
      </c>
      <c r="Q93" s="24">
        <v>3807.6615384615384</v>
      </c>
      <c r="R93" s="24">
        <v>0</v>
      </c>
      <c r="S93" s="25">
        <f t="shared" si="3"/>
        <v>-3807.6615384615384</v>
      </c>
    </row>
    <row r="94" spans="1:19">
      <c r="A94" s="5">
        <v>93</v>
      </c>
      <c r="B94" s="5">
        <v>2507061396</v>
      </c>
      <c r="C94" s="5" t="s">
        <v>815</v>
      </c>
      <c r="D94" s="5" t="s">
        <v>309</v>
      </c>
      <c r="E94" s="5" t="s">
        <v>310</v>
      </c>
      <c r="F94" s="5" t="s">
        <v>51</v>
      </c>
      <c r="G94" s="5" t="s">
        <v>52</v>
      </c>
      <c r="H94" s="5" t="s">
        <v>799</v>
      </c>
      <c r="I94" s="5">
        <v>202500540</v>
      </c>
      <c r="J94" s="5"/>
      <c r="K94" s="6">
        <v>45844</v>
      </c>
      <c r="L94" s="6">
        <v>45848</v>
      </c>
      <c r="M94" s="5" t="s">
        <v>53</v>
      </c>
      <c r="N94" s="5" t="s">
        <v>54</v>
      </c>
      <c r="O94" s="5" t="s">
        <v>41</v>
      </c>
      <c r="P94" s="30">
        <f t="shared" si="4"/>
        <v>4</v>
      </c>
      <c r="Q94" s="41">
        <v>3807.6615384615384</v>
      </c>
      <c r="R94" s="7">
        <v>5500</v>
      </c>
      <c r="S94" s="8">
        <f t="shared" si="3"/>
        <v>1692.3384615384616</v>
      </c>
    </row>
    <row r="95" spans="1:19">
      <c r="A95" s="5">
        <v>94</v>
      </c>
      <c r="B95" s="5">
        <v>2507061410</v>
      </c>
      <c r="C95" s="5" t="s">
        <v>816</v>
      </c>
      <c r="D95" s="5" t="s">
        <v>309</v>
      </c>
      <c r="E95" s="5" t="s">
        <v>310</v>
      </c>
      <c r="F95" s="5" t="s">
        <v>51</v>
      </c>
      <c r="G95" s="5" t="s">
        <v>52</v>
      </c>
      <c r="H95" s="5" t="s">
        <v>799</v>
      </c>
      <c r="I95" s="5">
        <v>202500541</v>
      </c>
      <c r="J95" s="5"/>
      <c r="K95" s="6">
        <v>45844</v>
      </c>
      <c r="L95" s="6">
        <v>45848</v>
      </c>
      <c r="M95" s="5" t="s">
        <v>53</v>
      </c>
      <c r="N95" s="5" t="s">
        <v>54</v>
      </c>
      <c r="O95" s="5" t="s">
        <v>41</v>
      </c>
      <c r="P95" s="30">
        <f t="shared" si="4"/>
        <v>4</v>
      </c>
      <c r="Q95" s="41">
        <v>3807.6615384615384</v>
      </c>
      <c r="R95" s="7">
        <v>5500</v>
      </c>
      <c r="S95" s="8">
        <f t="shared" si="3"/>
        <v>1692.3384615384616</v>
      </c>
    </row>
    <row r="96" spans="1:19">
      <c r="A96" s="5">
        <v>95</v>
      </c>
      <c r="B96" s="5">
        <v>2507061414</v>
      </c>
      <c r="C96" s="5" t="s">
        <v>817</v>
      </c>
      <c r="D96" s="5" t="s">
        <v>804</v>
      </c>
      <c r="E96" s="5" t="s">
        <v>310</v>
      </c>
      <c r="F96" s="5" t="s">
        <v>51</v>
      </c>
      <c r="G96" s="5" t="s">
        <v>75</v>
      </c>
      <c r="H96" s="5" t="s">
        <v>799</v>
      </c>
      <c r="I96" s="5">
        <v>202500542</v>
      </c>
      <c r="J96" s="5"/>
      <c r="K96" s="6">
        <v>45844</v>
      </c>
      <c r="L96" s="6">
        <v>45848</v>
      </c>
      <c r="M96" s="5" t="s">
        <v>53</v>
      </c>
      <c r="N96" s="5" t="s">
        <v>54</v>
      </c>
      <c r="O96" s="5" t="s">
        <v>41</v>
      </c>
      <c r="P96" s="30">
        <f t="shared" si="4"/>
        <v>4</v>
      </c>
      <c r="Q96" s="41">
        <v>3807.6615384615384</v>
      </c>
      <c r="R96" s="7">
        <v>4000</v>
      </c>
      <c r="S96" s="8">
        <f t="shared" si="3"/>
        <v>192.33846153846162</v>
      </c>
    </row>
    <row r="97" spans="1:19">
      <c r="A97" s="5">
        <v>96</v>
      </c>
      <c r="B97" s="5">
        <v>2507061421</v>
      </c>
      <c r="C97" s="5" t="s">
        <v>818</v>
      </c>
      <c r="D97" s="5" t="s">
        <v>711</v>
      </c>
      <c r="E97" s="5" t="s">
        <v>237</v>
      </c>
      <c r="F97" s="5" t="s">
        <v>71</v>
      </c>
      <c r="G97" s="5" t="s">
        <v>52</v>
      </c>
      <c r="H97" s="5" t="s">
        <v>799</v>
      </c>
      <c r="I97" s="5">
        <v>202500543</v>
      </c>
      <c r="J97" s="5"/>
      <c r="K97" s="6">
        <v>45844</v>
      </c>
      <c r="L97" s="6">
        <v>45848</v>
      </c>
      <c r="M97" s="5" t="s">
        <v>53</v>
      </c>
      <c r="N97" s="5" t="s">
        <v>54</v>
      </c>
      <c r="O97" s="5" t="s">
        <v>41</v>
      </c>
      <c r="P97" s="30">
        <f t="shared" si="4"/>
        <v>4</v>
      </c>
      <c r="Q97" s="41">
        <v>3807.6615384615384</v>
      </c>
      <c r="R97" s="7">
        <v>8000</v>
      </c>
      <c r="S97" s="8">
        <f t="shared" si="3"/>
        <v>4192.3384615384621</v>
      </c>
    </row>
    <row r="98" spans="1:19">
      <c r="A98" s="5">
        <v>97</v>
      </c>
      <c r="B98" s="5">
        <v>2507061422</v>
      </c>
      <c r="C98" s="5" t="s">
        <v>819</v>
      </c>
      <c r="D98" s="5" t="s">
        <v>321</v>
      </c>
      <c r="E98" s="5" t="s">
        <v>420</v>
      </c>
      <c r="F98" s="5" t="s">
        <v>202</v>
      </c>
      <c r="G98" s="5" t="s">
        <v>75</v>
      </c>
      <c r="H98" s="5" t="s">
        <v>799</v>
      </c>
      <c r="I98" s="5">
        <v>202500544</v>
      </c>
      <c r="J98" s="5"/>
      <c r="K98" s="6">
        <v>45844</v>
      </c>
      <c r="L98" s="6">
        <v>45848</v>
      </c>
      <c r="M98" s="5" t="s">
        <v>53</v>
      </c>
      <c r="N98" s="5" t="s">
        <v>54</v>
      </c>
      <c r="O98" s="5" t="s">
        <v>41</v>
      </c>
      <c r="P98" s="30">
        <f t="shared" si="4"/>
        <v>4</v>
      </c>
      <c r="Q98" s="41">
        <v>3807.6615384615384</v>
      </c>
      <c r="R98" s="7">
        <v>4900</v>
      </c>
      <c r="S98" s="8">
        <f t="shared" si="3"/>
        <v>1092.3384615384616</v>
      </c>
    </row>
    <row r="99" spans="1:19">
      <c r="A99" s="5">
        <v>98</v>
      </c>
      <c r="B99" s="5">
        <v>2507070073</v>
      </c>
      <c r="C99" s="5" t="s">
        <v>820</v>
      </c>
      <c r="D99" s="5" t="s">
        <v>821</v>
      </c>
      <c r="E99" s="5" t="s">
        <v>822</v>
      </c>
      <c r="F99" s="5" t="s">
        <v>678</v>
      </c>
      <c r="G99" s="5" t="s">
        <v>52</v>
      </c>
      <c r="H99" s="5" t="s">
        <v>799</v>
      </c>
      <c r="I99" s="5">
        <v>202500545</v>
      </c>
      <c r="J99" s="5"/>
      <c r="K99" s="6">
        <v>45845</v>
      </c>
      <c r="L99" s="6">
        <v>45848</v>
      </c>
      <c r="M99" s="5" t="s">
        <v>53</v>
      </c>
      <c r="N99" s="5" t="s">
        <v>54</v>
      </c>
      <c r="O99" s="5" t="s">
        <v>41</v>
      </c>
      <c r="P99" s="30">
        <f t="shared" si="4"/>
        <v>3</v>
      </c>
      <c r="Q99" s="41">
        <v>3807.6615384615384</v>
      </c>
      <c r="R99" s="7">
        <v>8500</v>
      </c>
      <c r="S99" s="8">
        <f t="shared" si="3"/>
        <v>4692.3384615384621</v>
      </c>
    </row>
    <row r="100" spans="1:19">
      <c r="A100" s="5">
        <v>99</v>
      </c>
      <c r="B100" s="5">
        <v>2507070508</v>
      </c>
      <c r="C100" s="5" t="s">
        <v>823</v>
      </c>
      <c r="D100" s="5" t="s">
        <v>77</v>
      </c>
      <c r="E100" s="5" t="s">
        <v>78</v>
      </c>
      <c r="F100" s="5" t="s">
        <v>79</v>
      </c>
      <c r="G100" s="5" t="s">
        <v>75</v>
      </c>
      <c r="H100" s="5" t="s">
        <v>799</v>
      </c>
      <c r="I100" s="5">
        <v>202500546</v>
      </c>
      <c r="J100" s="5"/>
      <c r="K100" s="6">
        <v>45845</v>
      </c>
      <c r="L100" s="6">
        <v>45848</v>
      </c>
      <c r="M100" s="5" t="s">
        <v>53</v>
      </c>
      <c r="N100" s="5" t="s">
        <v>54</v>
      </c>
      <c r="O100" s="5" t="s">
        <v>41</v>
      </c>
      <c r="P100" s="30">
        <f t="shared" si="4"/>
        <v>3</v>
      </c>
      <c r="Q100" s="41">
        <v>3807.6615384615384</v>
      </c>
      <c r="R100" s="7">
        <v>4500</v>
      </c>
      <c r="S100" s="8">
        <f t="shared" si="3"/>
        <v>692.33846153846162</v>
      </c>
    </row>
    <row r="101" spans="1:19">
      <c r="A101" s="5">
        <v>100</v>
      </c>
      <c r="B101" s="5">
        <v>2507070510</v>
      </c>
      <c r="C101" s="5" t="s">
        <v>824</v>
      </c>
      <c r="D101" s="5" t="s">
        <v>77</v>
      </c>
      <c r="E101" s="5" t="s">
        <v>78</v>
      </c>
      <c r="F101" s="5" t="s">
        <v>79</v>
      </c>
      <c r="G101" s="5" t="s">
        <v>52</v>
      </c>
      <c r="H101" s="5" t="s">
        <v>799</v>
      </c>
      <c r="I101" s="5">
        <v>202500547</v>
      </c>
      <c r="J101" s="5"/>
      <c r="K101" s="6">
        <v>45845</v>
      </c>
      <c r="L101" s="6">
        <v>45848</v>
      </c>
      <c r="M101" s="5" t="s">
        <v>53</v>
      </c>
      <c r="N101" s="5" t="s">
        <v>54</v>
      </c>
      <c r="O101" s="5" t="s">
        <v>41</v>
      </c>
      <c r="P101" s="30">
        <f t="shared" si="4"/>
        <v>3</v>
      </c>
      <c r="Q101" s="41">
        <v>3807.6615384615384</v>
      </c>
      <c r="R101" s="7">
        <v>5500</v>
      </c>
      <c r="S101" s="8">
        <f t="shared" si="3"/>
        <v>1692.3384615384616</v>
      </c>
    </row>
    <row r="102" spans="1:19">
      <c r="A102" s="5">
        <v>101</v>
      </c>
      <c r="B102" s="5">
        <v>2507070512</v>
      </c>
      <c r="C102" s="5" t="s">
        <v>825</v>
      </c>
      <c r="D102" s="5" t="s">
        <v>77</v>
      </c>
      <c r="E102" s="5" t="s">
        <v>78</v>
      </c>
      <c r="F102" s="5" t="s">
        <v>79</v>
      </c>
      <c r="G102" s="5" t="s">
        <v>52</v>
      </c>
      <c r="H102" s="5" t="s">
        <v>799</v>
      </c>
      <c r="I102" s="5">
        <v>202500548</v>
      </c>
      <c r="J102" s="5"/>
      <c r="K102" s="6">
        <v>45845</v>
      </c>
      <c r="L102" s="6">
        <v>45848</v>
      </c>
      <c r="M102" s="5" t="s">
        <v>53</v>
      </c>
      <c r="N102" s="5" t="s">
        <v>54</v>
      </c>
      <c r="O102" s="5" t="s">
        <v>41</v>
      </c>
      <c r="P102" s="30">
        <f t="shared" si="4"/>
        <v>3</v>
      </c>
      <c r="Q102" s="41">
        <v>3807.6615384615384</v>
      </c>
      <c r="R102" s="7">
        <v>5500</v>
      </c>
      <c r="S102" s="8">
        <f t="shared" si="3"/>
        <v>1692.3384615384616</v>
      </c>
    </row>
    <row r="103" spans="1:19">
      <c r="A103" s="5">
        <v>102</v>
      </c>
      <c r="B103" s="13">
        <v>2507043166</v>
      </c>
      <c r="C103" s="13" t="s">
        <v>783</v>
      </c>
      <c r="D103" s="13" t="s">
        <v>405</v>
      </c>
      <c r="E103" s="13" t="s">
        <v>485</v>
      </c>
      <c r="F103" s="13" t="s">
        <v>202</v>
      </c>
      <c r="G103" s="13" t="s">
        <v>43</v>
      </c>
      <c r="H103" s="13" t="s">
        <v>799</v>
      </c>
      <c r="I103" s="13">
        <v>202500549</v>
      </c>
      <c r="J103" s="13"/>
      <c r="K103" s="14">
        <v>45842</v>
      </c>
      <c r="L103" s="14">
        <v>45848</v>
      </c>
      <c r="M103" s="13" t="s">
        <v>45</v>
      </c>
      <c r="N103" s="13" t="s">
        <v>46</v>
      </c>
      <c r="O103" s="13" t="s">
        <v>826</v>
      </c>
      <c r="P103" s="35">
        <f>L103-K103</f>
        <v>6</v>
      </c>
      <c r="Q103" s="15">
        <v>3807.6615384615384</v>
      </c>
      <c r="R103" s="15">
        <v>0</v>
      </c>
      <c r="S103" s="16">
        <f>R103-Q103</f>
        <v>-3807.6615384615384</v>
      </c>
    </row>
    <row r="104" spans="1:19">
      <c r="A104" s="5">
        <v>103</v>
      </c>
      <c r="B104" s="22">
        <v>2507043273</v>
      </c>
      <c r="C104" s="22" t="s">
        <v>786</v>
      </c>
      <c r="D104" s="22" t="s">
        <v>309</v>
      </c>
      <c r="E104" s="22" t="s">
        <v>310</v>
      </c>
      <c r="F104" s="22" t="s">
        <v>51</v>
      </c>
      <c r="G104" s="22" t="s">
        <v>52</v>
      </c>
      <c r="H104" s="22" t="s">
        <v>799</v>
      </c>
      <c r="I104" s="22">
        <v>202500550</v>
      </c>
      <c r="J104" s="22"/>
      <c r="K104" s="23">
        <v>45842</v>
      </c>
      <c r="L104" s="23">
        <v>45848</v>
      </c>
      <c r="M104" s="22" t="s">
        <v>53</v>
      </c>
      <c r="N104" s="22" t="s">
        <v>54</v>
      </c>
      <c r="O104" s="22" t="s">
        <v>41</v>
      </c>
      <c r="P104" s="34">
        <f t="shared" si="4"/>
        <v>6</v>
      </c>
      <c r="Q104" s="24">
        <v>3807.6615384615384</v>
      </c>
      <c r="R104" s="24">
        <v>0</v>
      </c>
      <c r="S104" s="25">
        <f t="shared" si="3"/>
        <v>-3807.6615384615384</v>
      </c>
    </row>
    <row r="105" spans="1:19">
      <c r="A105" s="5">
        <v>104</v>
      </c>
      <c r="B105" s="5" t="s">
        <v>796</v>
      </c>
      <c r="C105" s="5"/>
      <c r="D105" s="5"/>
      <c r="E105" s="5"/>
      <c r="F105" s="5"/>
      <c r="G105" s="5" t="s">
        <v>52</v>
      </c>
      <c r="H105" s="5"/>
      <c r="I105" s="5"/>
      <c r="J105" s="5"/>
      <c r="K105" s="5"/>
      <c r="L105" s="5"/>
      <c r="M105" s="5"/>
      <c r="N105" s="5"/>
      <c r="O105" s="5"/>
      <c r="P105" s="5"/>
      <c r="Q105" s="41">
        <v>3807.6615384615384</v>
      </c>
      <c r="R105" s="41">
        <v>0</v>
      </c>
      <c r="S105" s="8">
        <f>R105-Q105</f>
        <v>-3807.6615384615384</v>
      </c>
    </row>
    <row r="106" spans="1:19">
      <c r="A106" s="5">
        <v>105</v>
      </c>
      <c r="B106" s="5" t="s">
        <v>797</v>
      </c>
      <c r="C106" s="5"/>
      <c r="D106" s="5"/>
      <c r="E106" s="5"/>
      <c r="F106" s="5"/>
      <c r="G106" s="5" t="s">
        <v>52</v>
      </c>
      <c r="H106" s="5"/>
      <c r="I106" s="5"/>
      <c r="J106" s="5"/>
      <c r="K106" s="5"/>
      <c r="L106" s="5"/>
      <c r="M106" s="5"/>
      <c r="N106" s="5"/>
      <c r="O106" s="5"/>
      <c r="P106" s="5"/>
      <c r="Q106" s="41">
        <v>3807.6615384615384</v>
      </c>
      <c r="R106" s="41">
        <v>0</v>
      </c>
      <c r="S106" s="8">
        <f>R106-Q106</f>
        <v>-3807.6615384615384</v>
      </c>
    </row>
    <row r="107" spans="1:19">
      <c r="A107" s="5">
        <v>106</v>
      </c>
      <c r="B107" s="5">
        <v>2507072259</v>
      </c>
      <c r="C107" s="5" t="s">
        <v>827</v>
      </c>
      <c r="D107" s="5" t="s">
        <v>89</v>
      </c>
      <c r="E107" s="5" t="s">
        <v>90</v>
      </c>
      <c r="F107" s="5" t="s">
        <v>79</v>
      </c>
      <c r="G107" s="5" t="s">
        <v>52</v>
      </c>
      <c r="H107" s="5" t="s">
        <v>828</v>
      </c>
      <c r="I107" s="5">
        <v>202500551</v>
      </c>
      <c r="J107" s="5"/>
      <c r="K107" s="6">
        <v>45845</v>
      </c>
      <c r="L107" s="6">
        <v>45849</v>
      </c>
      <c r="M107" s="5" t="s">
        <v>53</v>
      </c>
      <c r="N107" s="5" t="s">
        <v>54</v>
      </c>
      <c r="O107" s="5" t="s">
        <v>41</v>
      </c>
      <c r="P107" s="30">
        <f t="shared" ref="P107:P130" si="5">L107-K107</f>
        <v>4</v>
      </c>
      <c r="Q107" s="41">
        <v>3807.6615384615384</v>
      </c>
      <c r="R107" s="7">
        <v>5500</v>
      </c>
      <c r="S107" s="41">
        <f>R107-Q107</f>
        <v>1692.3384615384616</v>
      </c>
    </row>
    <row r="108" spans="1:19">
      <c r="A108" s="5">
        <v>107</v>
      </c>
      <c r="B108" s="5">
        <v>2507072271</v>
      </c>
      <c r="C108" s="5" t="s">
        <v>829</v>
      </c>
      <c r="D108" s="5" t="s">
        <v>564</v>
      </c>
      <c r="E108" s="5" t="s">
        <v>565</v>
      </c>
      <c r="F108" s="5" t="s">
        <v>71</v>
      </c>
      <c r="G108" s="5" t="s">
        <v>75</v>
      </c>
      <c r="H108" s="5" t="s">
        <v>828</v>
      </c>
      <c r="I108" s="5">
        <v>202500552</v>
      </c>
      <c r="J108" s="5"/>
      <c r="K108" s="6">
        <v>45845</v>
      </c>
      <c r="L108" s="6">
        <v>45849</v>
      </c>
      <c r="M108" s="5" t="s">
        <v>53</v>
      </c>
      <c r="N108" s="5" t="s">
        <v>54</v>
      </c>
      <c r="O108" s="5" t="s">
        <v>41</v>
      </c>
      <c r="P108" s="30">
        <f t="shared" si="5"/>
        <v>4</v>
      </c>
      <c r="Q108" s="41">
        <v>3807.6615384615384</v>
      </c>
      <c r="R108" s="41">
        <v>6500</v>
      </c>
      <c r="S108" s="41">
        <f t="shared" ref="S108:S122" si="6">R108-Q108</f>
        <v>2692.3384615384616</v>
      </c>
    </row>
    <row r="109" spans="1:19">
      <c r="A109" s="5">
        <v>108</v>
      </c>
      <c r="B109" s="5">
        <v>2507072275</v>
      </c>
      <c r="C109" s="5" t="s">
        <v>830</v>
      </c>
      <c r="D109" s="5" t="s">
        <v>103</v>
      </c>
      <c r="E109" s="5" t="s">
        <v>104</v>
      </c>
      <c r="F109" s="5" t="s">
        <v>51</v>
      </c>
      <c r="G109" s="5" t="s">
        <v>52</v>
      </c>
      <c r="H109" s="5" t="s">
        <v>828</v>
      </c>
      <c r="I109" s="5">
        <v>202500553</v>
      </c>
      <c r="J109" s="5"/>
      <c r="K109" s="6">
        <v>45845</v>
      </c>
      <c r="L109" s="6">
        <v>45849</v>
      </c>
      <c r="M109" s="5" t="s">
        <v>53</v>
      </c>
      <c r="N109" s="5" t="s">
        <v>54</v>
      </c>
      <c r="O109" s="5" t="s">
        <v>41</v>
      </c>
      <c r="P109" s="30">
        <f t="shared" si="5"/>
        <v>4</v>
      </c>
      <c r="Q109" s="41">
        <v>3807.6615384615384</v>
      </c>
      <c r="R109" s="41">
        <v>8000</v>
      </c>
      <c r="S109" s="41">
        <f t="shared" si="6"/>
        <v>4192.3384615384621</v>
      </c>
    </row>
    <row r="110" spans="1:19">
      <c r="A110" s="5">
        <v>109</v>
      </c>
      <c r="B110" s="22">
        <v>2506220658</v>
      </c>
      <c r="C110" s="22" t="s">
        <v>622</v>
      </c>
      <c r="D110" s="22" t="s">
        <v>40</v>
      </c>
      <c r="E110" s="22" t="s">
        <v>41</v>
      </c>
      <c r="F110" s="22" t="s">
        <v>42</v>
      </c>
      <c r="G110" s="22" t="s">
        <v>43</v>
      </c>
      <c r="H110" s="22" t="s">
        <v>828</v>
      </c>
      <c r="I110" s="22">
        <v>202500554</v>
      </c>
      <c r="J110" s="22"/>
      <c r="K110" s="23">
        <v>45845</v>
      </c>
      <c r="L110" s="23">
        <v>45849</v>
      </c>
      <c r="M110" s="22" t="s">
        <v>53</v>
      </c>
      <c r="N110" s="22" t="s">
        <v>54</v>
      </c>
      <c r="O110" s="22" t="s">
        <v>41</v>
      </c>
      <c r="P110" s="34">
        <f t="shared" si="5"/>
        <v>4</v>
      </c>
      <c r="Q110" s="24">
        <v>3807.6615384615384</v>
      </c>
      <c r="R110" s="24">
        <v>0</v>
      </c>
      <c r="S110" s="24">
        <f t="shared" si="6"/>
        <v>-3807.6615384615384</v>
      </c>
    </row>
    <row r="111" spans="1:19">
      <c r="A111" s="5">
        <v>110</v>
      </c>
      <c r="B111" s="5">
        <v>2507070700</v>
      </c>
      <c r="C111" s="5" t="s">
        <v>831</v>
      </c>
      <c r="D111" s="5" t="s">
        <v>40</v>
      </c>
      <c r="E111" s="5" t="s">
        <v>41</v>
      </c>
      <c r="F111" s="5" t="s">
        <v>42</v>
      </c>
      <c r="G111" s="5" t="s">
        <v>52</v>
      </c>
      <c r="H111" s="5" t="s">
        <v>828</v>
      </c>
      <c r="I111" s="5">
        <v>202500555</v>
      </c>
      <c r="J111" s="5"/>
      <c r="K111" s="6">
        <v>45845</v>
      </c>
      <c r="L111" s="6">
        <v>45849</v>
      </c>
      <c r="M111" s="5" t="s">
        <v>53</v>
      </c>
      <c r="N111" s="5" t="s">
        <v>54</v>
      </c>
      <c r="O111" s="5" t="s">
        <v>41</v>
      </c>
      <c r="P111" s="30">
        <f t="shared" si="5"/>
        <v>4</v>
      </c>
      <c r="Q111" s="41">
        <v>3807.6615384615384</v>
      </c>
      <c r="R111" s="41">
        <v>9500</v>
      </c>
      <c r="S111" s="41">
        <f t="shared" si="6"/>
        <v>5692.3384615384621</v>
      </c>
    </row>
    <row r="112" spans="1:19">
      <c r="A112" s="5">
        <v>111</v>
      </c>
      <c r="B112" s="5">
        <v>2507072279</v>
      </c>
      <c r="C112" s="5" t="s">
        <v>832</v>
      </c>
      <c r="D112" s="5" t="s">
        <v>437</v>
      </c>
      <c r="E112" s="5" t="s">
        <v>438</v>
      </c>
      <c r="F112" s="5" t="s">
        <v>71</v>
      </c>
      <c r="G112" s="5" t="s">
        <v>52</v>
      </c>
      <c r="H112" s="5" t="s">
        <v>828</v>
      </c>
      <c r="I112" s="5">
        <v>202500556</v>
      </c>
      <c r="J112" s="5"/>
      <c r="K112" s="6">
        <v>45845</v>
      </c>
      <c r="L112" s="6">
        <v>45849</v>
      </c>
      <c r="M112" s="5" t="s">
        <v>53</v>
      </c>
      <c r="N112" s="5" t="s">
        <v>54</v>
      </c>
      <c r="O112" s="5" t="s">
        <v>41</v>
      </c>
      <c r="P112" s="30">
        <f t="shared" si="5"/>
        <v>4</v>
      </c>
      <c r="Q112" s="41">
        <v>3807.6615384615384</v>
      </c>
      <c r="R112" s="41">
        <v>8000</v>
      </c>
      <c r="S112" s="41">
        <f t="shared" si="6"/>
        <v>4192.3384615384621</v>
      </c>
    </row>
    <row r="113" spans="1:19">
      <c r="A113" s="5">
        <v>112</v>
      </c>
      <c r="B113" s="5">
        <v>2507072284</v>
      </c>
      <c r="C113" s="5" t="s">
        <v>833</v>
      </c>
      <c r="D113" s="5" t="s">
        <v>448</v>
      </c>
      <c r="E113" s="5" t="s">
        <v>635</v>
      </c>
      <c r="F113" s="5" t="s">
        <v>109</v>
      </c>
      <c r="G113" s="5" t="s">
        <v>75</v>
      </c>
      <c r="H113" s="5" t="s">
        <v>828</v>
      </c>
      <c r="I113" s="5">
        <v>202500557</v>
      </c>
      <c r="J113" s="5"/>
      <c r="K113" s="6">
        <v>45845</v>
      </c>
      <c r="L113" s="6">
        <v>45849</v>
      </c>
      <c r="M113" s="5" t="s">
        <v>53</v>
      </c>
      <c r="N113" s="5" t="s">
        <v>54</v>
      </c>
      <c r="O113" s="5" t="s">
        <v>41</v>
      </c>
      <c r="P113" s="30">
        <f t="shared" si="5"/>
        <v>4</v>
      </c>
      <c r="Q113" s="41">
        <v>3807.6615384615384</v>
      </c>
      <c r="R113" s="41">
        <v>4900</v>
      </c>
      <c r="S113" s="41">
        <f t="shared" si="6"/>
        <v>1092.3384615384616</v>
      </c>
    </row>
    <row r="114" spans="1:19">
      <c r="A114" s="5">
        <v>113</v>
      </c>
      <c r="B114" s="5">
        <v>2507072287</v>
      </c>
      <c r="C114" s="5" t="s">
        <v>834</v>
      </c>
      <c r="D114" s="5" t="s">
        <v>564</v>
      </c>
      <c r="E114" s="5" t="s">
        <v>565</v>
      </c>
      <c r="F114" s="5" t="s">
        <v>71</v>
      </c>
      <c r="G114" s="5" t="s">
        <v>75</v>
      </c>
      <c r="H114" s="5" t="s">
        <v>828</v>
      </c>
      <c r="I114" s="5">
        <v>202500558</v>
      </c>
      <c r="J114" s="5"/>
      <c r="K114" s="6">
        <v>45845</v>
      </c>
      <c r="L114" s="6">
        <v>45849</v>
      </c>
      <c r="M114" s="5" t="s">
        <v>53</v>
      </c>
      <c r="N114" s="5" t="s">
        <v>54</v>
      </c>
      <c r="O114" s="5" t="s">
        <v>41</v>
      </c>
      <c r="P114" s="30">
        <f t="shared" si="5"/>
        <v>4</v>
      </c>
      <c r="Q114" s="41">
        <v>3807.6615384615384</v>
      </c>
      <c r="R114" s="41">
        <v>6500</v>
      </c>
      <c r="S114" s="41">
        <f t="shared" si="6"/>
        <v>2692.3384615384616</v>
      </c>
    </row>
    <row r="115" spans="1:19">
      <c r="A115" s="5">
        <v>114</v>
      </c>
      <c r="B115" s="5">
        <v>2507072292</v>
      </c>
      <c r="C115" s="5" t="s">
        <v>835</v>
      </c>
      <c r="D115" s="5" t="s">
        <v>564</v>
      </c>
      <c r="E115" s="5" t="s">
        <v>565</v>
      </c>
      <c r="F115" s="5" t="s">
        <v>71</v>
      </c>
      <c r="G115" s="5" t="s">
        <v>75</v>
      </c>
      <c r="H115" s="5" t="s">
        <v>828</v>
      </c>
      <c r="I115" s="5">
        <v>202500559</v>
      </c>
      <c r="J115" s="5"/>
      <c r="K115" s="6">
        <v>45845</v>
      </c>
      <c r="L115" s="6">
        <v>45849</v>
      </c>
      <c r="M115" s="5" t="s">
        <v>53</v>
      </c>
      <c r="N115" s="5" t="s">
        <v>54</v>
      </c>
      <c r="O115" s="5" t="s">
        <v>41</v>
      </c>
      <c r="P115" s="30">
        <f t="shared" si="5"/>
        <v>4</v>
      </c>
      <c r="Q115" s="41">
        <v>3807.6615384615384</v>
      </c>
      <c r="R115" s="41">
        <v>6500</v>
      </c>
      <c r="S115" s="41">
        <f t="shared" si="6"/>
        <v>2692.3384615384616</v>
      </c>
    </row>
    <row r="116" spans="1:19">
      <c r="A116" s="5">
        <v>115</v>
      </c>
      <c r="B116" s="5">
        <v>2507072296</v>
      </c>
      <c r="C116" s="5" t="s">
        <v>836</v>
      </c>
      <c r="D116" s="5" t="s">
        <v>599</v>
      </c>
      <c r="E116" s="5" t="s">
        <v>837</v>
      </c>
      <c r="F116" s="5" t="s">
        <v>169</v>
      </c>
      <c r="G116" s="5" t="s">
        <v>75</v>
      </c>
      <c r="H116" s="5" t="s">
        <v>828</v>
      </c>
      <c r="I116" s="5">
        <v>202500560</v>
      </c>
      <c r="J116" s="5"/>
      <c r="K116" s="6">
        <v>45845</v>
      </c>
      <c r="L116" s="6">
        <v>45849</v>
      </c>
      <c r="M116" s="5" t="s">
        <v>53</v>
      </c>
      <c r="N116" s="5" t="s">
        <v>54</v>
      </c>
      <c r="O116" s="5" t="s">
        <v>41</v>
      </c>
      <c r="P116" s="30">
        <f t="shared" si="5"/>
        <v>4</v>
      </c>
      <c r="Q116" s="41">
        <v>3807.6615384615384</v>
      </c>
      <c r="R116" s="41">
        <v>5000</v>
      </c>
      <c r="S116" s="41">
        <f t="shared" si="6"/>
        <v>1192.3384615384616</v>
      </c>
    </row>
    <row r="117" spans="1:19">
      <c r="A117" s="5">
        <v>116</v>
      </c>
      <c r="B117" s="5">
        <v>2507072299</v>
      </c>
      <c r="C117" s="5" t="s">
        <v>838</v>
      </c>
      <c r="D117" s="5" t="s">
        <v>567</v>
      </c>
      <c r="E117" s="5" t="s">
        <v>568</v>
      </c>
      <c r="F117" s="5" t="s">
        <v>169</v>
      </c>
      <c r="G117" s="5" t="s">
        <v>52</v>
      </c>
      <c r="H117" s="5" t="s">
        <v>828</v>
      </c>
      <c r="I117" s="5">
        <v>202500561</v>
      </c>
      <c r="J117" s="5"/>
      <c r="K117" s="6">
        <v>45845</v>
      </c>
      <c r="L117" s="6">
        <v>45849</v>
      </c>
      <c r="M117" s="5" t="s">
        <v>53</v>
      </c>
      <c r="N117" s="5" t="s">
        <v>54</v>
      </c>
      <c r="O117" s="5" t="s">
        <v>41</v>
      </c>
      <c r="P117" s="30">
        <f t="shared" si="5"/>
        <v>4</v>
      </c>
      <c r="Q117" s="41">
        <v>3807.6615384615384</v>
      </c>
      <c r="R117" s="41">
        <v>6000</v>
      </c>
      <c r="S117" s="41">
        <f t="shared" si="6"/>
        <v>2192.3384615384616</v>
      </c>
    </row>
    <row r="118" spans="1:19">
      <c r="A118" s="5">
        <v>117</v>
      </c>
      <c r="B118" s="5">
        <v>2507072301</v>
      </c>
      <c r="C118" s="5" t="s">
        <v>839</v>
      </c>
      <c r="D118" s="5" t="s">
        <v>444</v>
      </c>
      <c r="E118" s="5" t="s">
        <v>670</v>
      </c>
      <c r="F118" s="5" t="s">
        <v>109</v>
      </c>
      <c r="G118" s="5" t="s">
        <v>52</v>
      </c>
      <c r="H118" s="5" t="s">
        <v>828</v>
      </c>
      <c r="I118" s="5">
        <v>202500562</v>
      </c>
      <c r="J118" s="5"/>
      <c r="K118" s="6">
        <v>45845</v>
      </c>
      <c r="L118" s="6">
        <v>45849</v>
      </c>
      <c r="M118" s="5" t="s">
        <v>53</v>
      </c>
      <c r="N118" s="5" t="s">
        <v>54</v>
      </c>
      <c r="O118" s="5" t="s">
        <v>41</v>
      </c>
      <c r="P118" s="30">
        <f t="shared" si="5"/>
        <v>4</v>
      </c>
      <c r="Q118" s="41">
        <v>3807.6615384615384</v>
      </c>
      <c r="R118" s="41">
        <v>5950</v>
      </c>
      <c r="S118" s="41">
        <f t="shared" si="6"/>
        <v>2142.3384615384616</v>
      </c>
    </row>
    <row r="119" spans="1:19">
      <c r="A119" s="5">
        <v>118</v>
      </c>
      <c r="B119" s="5">
        <v>2507072305</v>
      </c>
      <c r="C119" s="5" t="s">
        <v>840</v>
      </c>
      <c r="D119" s="5" t="s">
        <v>841</v>
      </c>
      <c r="E119" s="5" t="s">
        <v>842</v>
      </c>
      <c r="F119" s="5" t="s">
        <v>202</v>
      </c>
      <c r="G119" s="5" t="s">
        <v>52</v>
      </c>
      <c r="H119" s="5" t="s">
        <v>828</v>
      </c>
      <c r="I119" s="5">
        <v>202500563</v>
      </c>
      <c r="J119" s="5"/>
      <c r="K119" s="6">
        <v>45845</v>
      </c>
      <c r="L119" s="6">
        <v>45849</v>
      </c>
      <c r="M119" s="5" t="s">
        <v>53</v>
      </c>
      <c r="N119" s="5" t="s">
        <v>54</v>
      </c>
      <c r="O119" s="5" t="s">
        <v>41</v>
      </c>
      <c r="P119" s="30">
        <f t="shared" si="5"/>
        <v>4</v>
      </c>
      <c r="Q119" s="41">
        <v>3807.6615384615384</v>
      </c>
      <c r="R119" s="41">
        <v>7000</v>
      </c>
      <c r="S119" s="41">
        <f t="shared" si="6"/>
        <v>3192.3384615384616</v>
      </c>
    </row>
    <row r="120" spans="1:19">
      <c r="A120" s="5">
        <v>119</v>
      </c>
      <c r="B120" s="5">
        <v>2507072308</v>
      </c>
      <c r="C120" s="5" t="s">
        <v>843</v>
      </c>
      <c r="D120" s="5" t="s">
        <v>405</v>
      </c>
      <c r="E120" s="5" t="s">
        <v>619</v>
      </c>
      <c r="F120" s="5" t="s">
        <v>71</v>
      </c>
      <c r="G120" s="5" t="s">
        <v>52</v>
      </c>
      <c r="H120" s="5" t="s">
        <v>828</v>
      </c>
      <c r="I120" s="5">
        <v>202500564</v>
      </c>
      <c r="J120" s="5"/>
      <c r="K120" s="6">
        <v>45845</v>
      </c>
      <c r="L120" s="6">
        <v>45849</v>
      </c>
      <c r="M120" s="5" t="s">
        <v>53</v>
      </c>
      <c r="N120" s="5" t="s">
        <v>54</v>
      </c>
      <c r="O120" s="5" t="s">
        <v>41</v>
      </c>
      <c r="P120" s="30">
        <f t="shared" si="5"/>
        <v>4</v>
      </c>
      <c r="Q120" s="41">
        <v>3807.6615384615384</v>
      </c>
      <c r="R120" s="41">
        <v>6450</v>
      </c>
      <c r="S120" s="41">
        <f t="shared" si="6"/>
        <v>2642.3384615384616</v>
      </c>
    </row>
    <row r="121" spans="1:19">
      <c r="A121" s="5">
        <v>120</v>
      </c>
      <c r="B121" s="5">
        <v>2507072309</v>
      </c>
      <c r="C121" s="5" t="s">
        <v>844</v>
      </c>
      <c r="D121" s="5" t="s">
        <v>572</v>
      </c>
      <c r="E121" s="5" t="s">
        <v>845</v>
      </c>
      <c r="F121" s="5" t="s">
        <v>87</v>
      </c>
      <c r="G121" s="5" t="s">
        <v>52</v>
      </c>
      <c r="H121" s="5" t="s">
        <v>828</v>
      </c>
      <c r="I121" s="5">
        <v>202500565</v>
      </c>
      <c r="J121" s="5"/>
      <c r="K121" s="6">
        <v>45845</v>
      </c>
      <c r="L121" s="6">
        <v>45849</v>
      </c>
      <c r="M121" s="5" t="s">
        <v>53</v>
      </c>
      <c r="N121" s="5" t="s">
        <v>54</v>
      </c>
      <c r="O121" s="5" t="s">
        <v>41</v>
      </c>
      <c r="P121" s="30">
        <f t="shared" si="5"/>
        <v>4</v>
      </c>
      <c r="Q121" s="41">
        <v>3807.6615384615384</v>
      </c>
      <c r="R121" s="41">
        <v>6000</v>
      </c>
      <c r="S121" s="41">
        <f t="shared" si="6"/>
        <v>2192.3384615384616</v>
      </c>
    </row>
    <row r="122" spans="1:19">
      <c r="A122" s="5">
        <v>121</v>
      </c>
      <c r="B122" s="5">
        <v>2507080136</v>
      </c>
      <c r="C122" s="5" t="s">
        <v>846</v>
      </c>
      <c r="D122" s="5" t="s">
        <v>348</v>
      </c>
      <c r="E122" s="5" t="s">
        <v>349</v>
      </c>
      <c r="F122" s="5" t="s">
        <v>71</v>
      </c>
      <c r="G122" s="5" t="s">
        <v>52</v>
      </c>
      <c r="H122" s="5" t="s">
        <v>828</v>
      </c>
      <c r="I122" s="5">
        <v>202500566</v>
      </c>
      <c r="J122" s="5"/>
      <c r="K122" s="6">
        <v>45846</v>
      </c>
      <c r="L122" s="6">
        <v>45849</v>
      </c>
      <c r="M122" s="5" t="s">
        <v>53</v>
      </c>
      <c r="N122" s="5" t="s">
        <v>54</v>
      </c>
      <c r="O122" s="5" t="s">
        <v>41</v>
      </c>
      <c r="P122" s="30">
        <f t="shared" si="5"/>
        <v>3</v>
      </c>
      <c r="Q122" s="41">
        <v>3807.6615384615384</v>
      </c>
      <c r="R122" s="41">
        <v>7000</v>
      </c>
      <c r="S122" s="41">
        <f t="shared" si="6"/>
        <v>3192.3384615384616</v>
      </c>
    </row>
    <row r="123" spans="1:19">
      <c r="A123" s="5">
        <v>122</v>
      </c>
      <c r="B123" s="9">
        <v>2507080139</v>
      </c>
      <c r="C123" s="9" t="s">
        <v>847</v>
      </c>
      <c r="D123" s="9" t="s">
        <v>64</v>
      </c>
      <c r="E123" s="9" t="s">
        <v>65</v>
      </c>
      <c r="F123" s="9" t="s">
        <v>66</v>
      </c>
      <c r="G123" s="9" t="s">
        <v>52</v>
      </c>
      <c r="H123" s="9" t="s">
        <v>828</v>
      </c>
      <c r="I123" s="9">
        <v>202500567</v>
      </c>
      <c r="J123" s="9"/>
      <c r="K123" s="10">
        <v>45846</v>
      </c>
      <c r="L123" s="10">
        <v>45849</v>
      </c>
      <c r="M123" s="9" t="s">
        <v>45</v>
      </c>
      <c r="N123" s="9" t="s">
        <v>94</v>
      </c>
      <c r="O123" s="63" t="s">
        <v>848</v>
      </c>
      <c r="P123" s="32">
        <f t="shared" si="5"/>
        <v>3</v>
      </c>
      <c r="Q123" s="11">
        <v>3807.6615384615384</v>
      </c>
      <c r="R123" s="11">
        <v>5500</v>
      </c>
      <c r="S123" s="11">
        <f>R123-Q123</f>
        <v>1692.3384615384616</v>
      </c>
    </row>
    <row r="124" spans="1:19">
      <c r="A124" s="5">
        <v>123</v>
      </c>
      <c r="B124" s="5">
        <v>2507083613</v>
      </c>
      <c r="C124" s="5" t="s">
        <v>849</v>
      </c>
      <c r="D124" s="5" t="s">
        <v>631</v>
      </c>
      <c r="E124" s="5" t="s">
        <v>664</v>
      </c>
      <c r="F124" s="5" t="s">
        <v>87</v>
      </c>
      <c r="G124" s="5" t="s">
        <v>52</v>
      </c>
      <c r="H124" s="5" t="s">
        <v>828</v>
      </c>
      <c r="I124" s="5">
        <v>202500568</v>
      </c>
      <c r="J124" s="5"/>
      <c r="K124" s="6">
        <v>45846</v>
      </c>
      <c r="L124" s="6">
        <v>45849</v>
      </c>
      <c r="M124" s="5" t="s">
        <v>53</v>
      </c>
      <c r="N124" s="5" t="s">
        <v>54</v>
      </c>
      <c r="O124" s="5" t="s">
        <v>41</v>
      </c>
      <c r="P124" s="30">
        <f t="shared" si="5"/>
        <v>3</v>
      </c>
      <c r="Q124" s="41">
        <v>3807.6615384615384</v>
      </c>
      <c r="R124" s="41">
        <v>8000</v>
      </c>
      <c r="S124" s="41">
        <f>R124-Q124</f>
        <v>4192.3384615384621</v>
      </c>
    </row>
    <row r="125" spans="1:19">
      <c r="A125" s="5">
        <v>124</v>
      </c>
      <c r="B125" s="5">
        <v>2507083619</v>
      </c>
      <c r="C125" s="5" t="s">
        <v>850</v>
      </c>
      <c r="D125" s="5" t="s">
        <v>810</v>
      </c>
      <c r="E125" s="5" t="s">
        <v>851</v>
      </c>
      <c r="F125" s="5" t="s">
        <v>457</v>
      </c>
      <c r="G125" s="5" t="s">
        <v>43</v>
      </c>
      <c r="H125" s="5" t="s">
        <v>828</v>
      </c>
      <c r="I125" s="5">
        <v>202500569</v>
      </c>
      <c r="J125" s="5"/>
      <c r="K125" s="6">
        <v>45846</v>
      </c>
      <c r="L125" s="6">
        <v>45849</v>
      </c>
      <c r="M125" s="5" t="s">
        <v>53</v>
      </c>
      <c r="N125" s="5" t="s">
        <v>54</v>
      </c>
      <c r="O125" s="5" t="s">
        <v>41</v>
      </c>
      <c r="P125" s="30">
        <f t="shared" si="5"/>
        <v>3</v>
      </c>
      <c r="Q125" s="41">
        <v>3807.6615384615384</v>
      </c>
      <c r="R125" s="41">
        <v>12500</v>
      </c>
      <c r="S125" s="41">
        <f t="shared" ref="S125:S188" si="7">R125-Q125</f>
        <v>8692.3384615384621</v>
      </c>
    </row>
    <row r="126" spans="1:19">
      <c r="A126" s="5">
        <v>125</v>
      </c>
      <c r="B126" s="5">
        <v>2507083622</v>
      </c>
      <c r="C126" s="5" t="s">
        <v>852</v>
      </c>
      <c r="D126" s="5" t="s">
        <v>810</v>
      </c>
      <c r="E126" s="5" t="s">
        <v>853</v>
      </c>
      <c r="F126" s="5" t="s">
        <v>457</v>
      </c>
      <c r="G126" s="5" t="s">
        <v>52</v>
      </c>
      <c r="H126" s="5" t="s">
        <v>828</v>
      </c>
      <c r="I126" s="5">
        <v>202500570</v>
      </c>
      <c r="J126" s="5"/>
      <c r="K126" s="6">
        <v>45846</v>
      </c>
      <c r="L126" s="6">
        <v>45849</v>
      </c>
      <c r="M126" s="5" t="s">
        <v>53</v>
      </c>
      <c r="N126" s="5" t="s">
        <v>54</v>
      </c>
      <c r="O126" s="5" t="s">
        <v>41</v>
      </c>
      <c r="P126" s="30">
        <f t="shared" si="5"/>
        <v>3</v>
      </c>
      <c r="Q126" s="41">
        <v>3807.6615384615384</v>
      </c>
      <c r="R126" s="41">
        <v>5200</v>
      </c>
      <c r="S126" s="41">
        <f t="shared" si="7"/>
        <v>1392.3384615384616</v>
      </c>
    </row>
    <row r="127" spans="1:19">
      <c r="A127" s="5">
        <v>126</v>
      </c>
      <c r="B127" s="5">
        <v>2507083656</v>
      </c>
      <c r="C127" s="5" t="s">
        <v>854</v>
      </c>
      <c r="D127" s="5" t="s">
        <v>855</v>
      </c>
      <c r="E127" s="5" t="s">
        <v>856</v>
      </c>
      <c r="F127" s="5" t="s">
        <v>51</v>
      </c>
      <c r="G127" s="5" t="s">
        <v>190</v>
      </c>
      <c r="H127" s="5" t="s">
        <v>828</v>
      </c>
      <c r="I127" s="5">
        <v>202500571</v>
      </c>
      <c r="J127" s="5"/>
      <c r="K127" s="6">
        <v>45846</v>
      </c>
      <c r="L127" s="6">
        <v>45849</v>
      </c>
      <c r="M127" s="5" t="s">
        <v>53</v>
      </c>
      <c r="N127" s="5" t="s">
        <v>54</v>
      </c>
      <c r="O127" s="5" t="s">
        <v>41</v>
      </c>
      <c r="P127" s="30">
        <f t="shared" si="5"/>
        <v>3</v>
      </c>
      <c r="Q127" s="41">
        <v>3807.6615384615384</v>
      </c>
      <c r="R127" s="41">
        <v>11000</v>
      </c>
      <c r="S127" s="41">
        <f t="shared" si="7"/>
        <v>7192.3384615384621</v>
      </c>
    </row>
    <row r="128" spans="1:19">
      <c r="A128" s="5">
        <v>127</v>
      </c>
      <c r="B128" s="5">
        <v>2507083642</v>
      </c>
      <c r="C128" s="5" t="s">
        <v>857</v>
      </c>
      <c r="D128" s="5" t="s">
        <v>858</v>
      </c>
      <c r="E128" s="5" t="s">
        <v>859</v>
      </c>
      <c r="F128" s="5" t="s">
        <v>169</v>
      </c>
      <c r="G128" s="5" t="s">
        <v>43</v>
      </c>
      <c r="H128" s="5" t="s">
        <v>828</v>
      </c>
      <c r="I128" s="5">
        <v>202500572</v>
      </c>
      <c r="J128" s="5"/>
      <c r="K128" s="6">
        <v>45846</v>
      </c>
      <c r="L128" s="6">
        <v>45849</v>
      </c>
      <c r="M128" s="5" t="s">
        <v>53</v>
      </c>
      <c r="N128" s="5" t="s">
        <v>54</v>
      </c>
      <c r="O128" s="5" t="s">
        <v>41</v>
      </c>
      <c r="P128" s="30">
        <f t="shared" si="5"/>
        <v>3</v>
      </c>
      <c r="Q128" s="41">
        <v>3807.6615384615384</v>
      </c>
      <c r="R128" s="41">
        <v>11000</v>
      </c>
      <c r="S128" s="41">
        <f t="shared" si="7"/>
        <v>7192.3384615384621</v>
      </c>
    </row>
    <row r="129" spans="1:19">
      <c r="A129" s="5">
        <v>128</v>
      </c>
      <c r="B129" s="5">
        <v>2507083644</v>
      </c>
      <c r="C129" s="5" t="s">
        <v>860</v>
      </c>
      <c r="D129" s="5" t="s">
        <v>599</v>
      </c>
      <c r="E129" s="5" t="s">
        <v>837</v>
      </c>
      <c r="F129" s="5" t="s">
        <v>169</v>
      </c>
      <c r="G129" s="5" t="s">
        <v>52</v>
      </c>
      <c r="H129" s="5" t="s">
        <v>828</v>
      </c>
      <c r="I129" s="5">
        <v>202500573</v>
      </c>
      <c r="J129" s="5"/>
      <c r="K129" s="6">
        <v>45846</v>
      </c>
      <c r="L129" s="6">
        <v>45849</v>
      </c>
      <c r="M129" s="5" t="s">
        <v>53</v>
      </c>
      <c r="N129" s="5" t="s">
        <v>54</v>
      </c>
      <c r="O129" s="5" t="s">
        <v>41</v>
      </c>
      <c r="P129" s="30">
        <f t="shared" si="5"/>
        <v>3</v>
      </c>
      <c r="Q129" s="41">
        <v>3807.6615384615384</v>
      </c>
      <c r="R129" s="41">
        <v>7500</v>
      </c>
      <c r="S129" s="41">
        <f t="shared" si="7"/>
        <v>3692.3384615384616</v>
      </c>
    </row>
    <row r="130" spans="1:19">
      <c r="A130" s="5">
        <v>129</v>
      </c>
      <c r="B130" s="5">
        <v>2507083647</v>
      </c>
      <c r="C130" s="5" t="s">
        <v>861</v>
      </c>
      <c r="D130" s="5" t="s">
        <v>599</v>
      </c>
      <c r="E130" s="5" t="s">
        <v>837</v>
      </c>
      <c r="F130" s="5" t="s">
        <v>169</v>
      </c>
      <c r="G130" s="5" t="s">
        <v>75</v>
      </c>
      <c r="H130" s="5" t="s">
        <v>828</v>
      </c>
      <c r="I130" s="5">
        <v>202500574</v>
      </c>
      <c r="J130" s="5"/>
      <c r="K130" s="6">
        <v>45846</v>
      </c>
      <c r="L130" s="6">
        <v>45849</v>
      </c>
      <c r="M130" s="5" t="s">
        <v>53</v>
      </c>
      <c r="N130" s="5" t="s">
        <v>54</v>
      </c>
      <c r="O130" s="5" t="s">
        <v>41</v>
      </c>
      <c r="P130" s="30">
        <f t="shared" si="5"/>
        <v>3</v>
      </c>
      <c r="Q130" s="41">
        <v>3807.6615384615384</v>
      </c>
      <c r="R130" s="41">
        <v>5000</v>
      </c>
      <c r="S130" s="41">
        <f t="shared" si="7"/>
        <v>1192.3384615384616</v>
      </c>
    </row>
    <row r="131" spans="1:19">
      <c r="A131" s="5">
        <v>130</v>
      </c>
      <c r="B131" s="5" t="s">
        <v>862</v>
      </c>
      <c r="C131" s="5"/>
      <c r="D131" s="5"/>
      <c r="E131" s="5"/>
      <c r="F131" s="5"/>
      <c r="G131" s="5" t="s">
        <v>52</v>
      </c>
      <c r="H131" s="5"/>
      <c r="I131" s="5"/>
      <c r="J131" s="5"/>
      <c r="K131" s="5"/>
      <c r="L131" s="5"/>
      <c r="M131" s="5"/>
      <c r="N131" s="5"/>
      <c r="O131" s="5"/>
      <c r="P131" s="5"/>
      <c r="Q131" s="41">
        <v>3807.6615384615384</v>
      </c>
      <c r="R131" s="41">
        <v>0</v>
      </c>
      <c r="S131" s="41">
        <f t="shared" si="7"/>
        <v>-3807.6615384615384</v>
      </c>
    </row>
    <row r="132" spans="1:19">
      <c r="A132" s="5">
        <v>131</v>
      </c>
      <c r="B132" s="5" t="s">
        <v>863</v>
      </c>
      <c r="C132" s="5"/>
      <c r="D132" s="5"/>
      <c r="E132" s="5"/>
      <c r="F132" s="5"/>
      <c r="G132" s="5" t="s">
        <v>52</v>
      </c>
      <c r="H132" s="5"/>
      <c r="I132" s="5"/>
      <c r="J132" s="5"/>
      <c r="K132" s="5"/>
      <c r="L132" s="5"/>
      <c r="M132" s="5"/>
      <c r="N132" s="5"/>
      <c r="O132" s="5"/>
      <c r="P132" s="5"/>
      <c r="Q132" s="41">
        <v>3807.6615384615384</v>
      </c>
      <c r="R132" s="41">
        <v>0</v>
      </c>
      <c r="S132" s="41">
        <f t="shared" si="7"/>
        <v>-3807.6615384615384</v>
      </c>
    </row>
    <row r="133" spans="1:19">
      <c r="A133" s="5">
        <v>132</v>
      </c>
      <c r="B133" s="5">
        <v>2507083649</v>
      </c>
      <c r="C133" s="5" t="s">
        <v>864</v>
      </c>
      <c r="D133" s="5" t="s">
        <v>153</v>
      </c>
      <c r="E133" s="5" t="s">
        <v>154</v>
      </c>
      <c r="F133" s="5" t="s">
        <v>141</v>
      </c>
      <c r="G133" s="5" t="s">
        <v>43</v>
      </c>
      <c r="H133" s="5" t="s">
        <v>865</v>
      </c>
      <c r="I133" s="5">
        <v>202500575</v>
      </c>
      <c r="J133" s="5"/>
      <c r="K133" s="6">
        <v>45846</v>
      </c>
      <c r="L133" s="6">
        <v>45850</v>
      </c>
      <c r="M133" s="5" t="s">
        <v>53</v>
      </c>
      <c r="N133" s="5" t="s">
        <v>54</v>
      </c>
      <c r="O133" s="5" t="s">
        <v>41</v>
      </c>
      <c r="P133" s="30">
        <f t="shared" ref="P133:P156" si="8">L133-K133</f>
        <v>4</v>
      </c>
      <c r="Q133" s="41">
        <v>3807.6615384615384</v>
      </c>
      <c r="R133" s="41">
        <v>10000</v>
      </c>
      <c r="S133" s="41">
        <f t="shared" si="7"/>
        <v>6192.3384615384621</v>
      </c>
    </row>
    <row r="134" spans="1:19">
      <c r="A134" s="5">
        <v>133</v>
      </c>
      <c r="B134" s="13">
        <v>2507083650</v>
      </c>
      <c r="C134" s="13" t="s">
        <v>866</v>
      </c>
      <c r="D134" s="13" t="s">
        <v>354</v>
      </c>
      <c r="E134" s="13" t="s">
        <v>355</v>
      </c>
      <c r="F134" s="13" t="s">
        <v>141</v>
      </c>
      <c r="G134" s="13" t="s">
        <v>52</v>
      </c>
      <c r="H134" s="13" t="s">
        <v>865</v>
      </c>
      <c r="I134" s="13">
        <v>202500576</v>
      </c>
      <c r="J134" s="13"/>
      <c r="K134" s="14">
        <v>45846</v>
      </c>
      <c r="L134" s="14">
        <v>45850</v>
      </c>
      <c r="M134" s="13" t="s">
        <v>45</v>
      </c>
      <c r="N134" s="13" t="s">
        <v>46</v>
      </c>
      <c r="O134" s="13" t="s">
        <v>867</v>
      </c>
      <c r="P134" s="35">
        <f t="shared" si="8"/>
        <v>4</v>
      </c>
      <c r="Q134" s="15">
        <v>3807.6615384615384</v>
      </c>
      <c r="R134" s="15">
        <v>7000</v>
      </c>
      <c r="S134" s="15">
        <f t="shared" si="7"/>
        <v>3192.3384615384616</v>
      </c>
    </row>
    <row r="135" spans="1:19">
      <c r="A135" s="5">
        <v>134</v>
      </c>
      <c r="B135" s="5">
        <v>2507083651</v>
      </c>
      <c r="C135" s="5" t="s">
        <v>868</v>
      </c>
      <c r="D135" s="5" t="s">
        <v>745</v>
      </c>
      <c r="E135" s="5" t="s">
        <v>869</v>
      </c>
      <c r="F135" s="5" t="s">
        <v>202</v>
      </c>
      <c r="G135" s="5" t="s">
        <v>75</v>
      </c>
      <c r="H135" s="5" t="s">
        <v>865</v>
      </c>
      <c r="I135" s="5">
        <v>202500577</v>
      </c>
      <c r="J135" s="5"/>
      <c r="K135" s="6">
        <v>45846</v>
      </c>
      <c r="L135" s="6">
        <v>45850</v>
      </c>
      <c r="M135" s="5" t="s">
        <v>53</v>
      </c>
      <c r="N135" s="5" t="s">
        <v>54</v>
      </c>
      <c r="O135" s="5" t="s">
        <v>41</v>
      </c>
      <c r="P135" s="30">
        <f t="shared" si="8"/>
        <v>4</v>
      </c>
      <c r="Q135" s="41">
        <v>3807.6615384615384</v>
      </c>
      <c r="R135" s="41">
        <v>4900</v>
      </c>
      <c r="S135" s="41">
        <f t="shared" si="7"/>
        <v>1092.3384615384616</v>
      </c>
    </row>
    <row r="136" spans="1:19">
      <c r="A136" s="5">
        <v>135</v>
      </c>
      <c r="B136" s="5">
        <v>2507083652</v>
      </c>
      <c r="C136" s="5" t="s">
        <v>870</v>
      </c>
      <c r="D136" s="5" t="s">
        <v>107</v>
      </c>
      <c r="E136" s="5" t="s">
        <v>205</v>
      </c>
      <c r="F136" s="5" t="s">
        <v>109</v>
      </c>
      <c r="G136" s="5" t="s">
        <v>52</v>
      </c>
      <c r="H136" s="5" t="s">
        <v>865</v>
      </c>
      <c r="I136" s="5">
        <v>202500578</v>
      </c>
      <c r="J136" s="5"/>
      <c r="K136" s="6">
        <v>45846</v>
      </c>
      <c r="L136" s="6">
        <v>45850</v>
      </c>
      <c r="M136" s="5" t="s">
        <v>53</v>
      </c>
      <c r="N136" s="5" t="s">
        <v>54</v>
      </c>
      <c r="O136" s="5" t="s">
        <v>41</v>
      </c>
      <c r="P136" s="30">
        <f t="shared" si="8"/>
        <v>4</v>
      </c>
      <c r="Q136" s="41">
        <v>3807.6615384615384</v>
      </c>
      <c r="R136" s="41">
        <v>5500</v>
      </c>
      <c r="S136" s="41">
        <f t="shared" si="7"/>
        <v>1692.3384615384616</v>
      </c>
    </row>
    <row r="137" spans="1:19">
      <c r="A137" s="5">
        <v>136</v>
      </c>
      <c r="B137" s="5">
        <v>2507083653</v>
      </c>
      <c r="C137" s="5" t="s">
        <v>871</v>
      </c>
      <c r="D137" s="5" t="s">
        <v>405</v>
      </c>
      <c r="E137" s="5" t="s">
        <v>485</v>
      </c>
      <c r="F137" s="5" t="s">
        <v>202</v>
      </c>
      <c r="G137" s="5" t="s">
        <v>52</v>
      </c>
      <c r="H137" s="5" t="s">
        <v>865</v>
      </c>
      <c r="I137" s="5">
        <v>202500579</v>
      </c>
      <c r="J137" s="5"/>
      <c r="K137" s="6">
        <v>45846</v>
      </c>
      <c r="L137" s="6">
        <v>45850</v>
      </c>
      <c r="M137" s="5" t="s">
        <v>53</v>
      </c>
      <c r="N137" s="5" t="s">
        <v>54</v>
      </c>
      <c r="O137" s="5" t="s">
        <v>41</v>
      </c>
      <c r="P137" s="30">
        <f t="shared" si="8"/>
        <v>4</v>
      </c>
      <c r="Q137" s="41">
        <v>3807.6615384615384</v>
      </c>
      <c r="R137" s="41">
        <v>6450</v>
      </c>
      <c r="S137" s="41">
        <f t="shared" si="7"/>
        <v>2642.3384615384616</v>
      </c>
    </row>
    <row r="138" spans="1:19">
      <c r="A138" s="5">
        <v>137</v>
      </c>
      <c r="B138" s="5">
        <v>2507083654</v>
      </c>
      <c r="C138" s="5" t="s">
        <v>872</v>
      </c>
      <c r="D138" s="5" t="s">
        <v>405</v>
      </c>
      <c r="E138" s="5" t="s">
        <v>873</v>
      </c>
      <c r="F138" s="5" t="s">
        <v>202</v>
      </c>
      <c r="G138" s="5" t="s">
        <v>52</v>
      </c>
      <c r="H138" s="5" t="s">
        <v>865</v>
      </c>
      <c r="I138" s="5">
        <v>202500580</v>
      </c>
      <c r="J138" s="5"/>
      <c r="K138" s="6">
        <v>45846</v>
      </c>
      <c r="L138" s="6">
        <v>45850</v>
      </c>
      <c r="M138" s="5" t="s">
        <v>53</v>
      </c>
      <c r="N138" s="5" t="s">
        <v>54</v>
      </c>
      <c r="O138" s="5" t="s">
        <v>41</v>
      </c>
      <c r="P138" s="30">
        <f t="shared" si="8"/>
        <v>4</v>
      </c>
      <c r="Q138" s="41">
        <v>3807.6615384615384</v>
      </c>
      <c r="R138" s="41">
        <v>6450</v>
      </c>
      <c r="S138" s="41">
        <f t="shared" si="7"/>
        <v>2642.3384615384616</v>
      </c>
    </row>
    <row r="139" spans="1:19">
      <c r="A139" s="5">
        <v>138</v>
      </c>
      <c r="B139" s="5">
        <v>2507083655</v>
      </c>
      <c r="C139" s="5" t="s">
        <v>874</v>
      </c>
      <c r="D139" s="5" t="s">
        <v>393</v>
      </c>
      <c r="E139" s="5" t="s">
        <v>394</v>
      </c>
      <c r="F139" s="5" t="s">
        <v>202</v>
      </c>
      <c r="G139" s="5" t="s">
        <v>43</v>
      </c>
      <c r="H139" s="5" t="s">
        <v>865</v>
      </c>
      <c r="I139" s="5">
        <v>202500581</v>
      </c>
      <c r="J139" s="5"/>
      <c r="K139" s="6">
        <v>45846</v>
      </c>
      <c r="L139" s="6">
        <v>45850</v>
      </c>
      <c r="M139" s="5" t="s">
        <v>53</v>
      </c>
      <c r="N139" s="5" t="s">
        <v>54</v>
      </c>
      <c r="O139" s="5" t="s">
        <v>41</v>
      </c>
      <c r="P139" s="30">
        <f t="shared" si="8"/>
        <v>4</v>
      </c>
      <c r="Q139" s="41">
        <v>3807.6615384615384</v>
      </c>
      <c r="R139" s="41">
        <v>13500</v>
      </c>
      <c r="S139" s="41">
        <f t="shared" si="7"/>
        <v>9692.3384615384621</v>
      </c>
    </row>
    <row r="140" spans="1:19">
      <c r="A140" s="5">
        <v>139</v>
      </c>
      <c r="B140" s="5">
        <v>2507093099</v>
      </c>
      <c r="C140" s="5" t="s">
        <v>875</v>
      </c>
      <c r="D140" s="5" t="s">
        <v>77</v>
      </c>
      <c r="E140" s="5" t="s">
        <v>78</v>
      </c>
      <c r="F140" s="5" t="s">
        <v>79</v>
      </c>
      <c r="G140" s="5" t="s">
        <v>52</v>
      </c>
      <c r="H140" s="5" t="s">
        <v>865</v>
      </c>
      <c r="I140" s="5">
        <v>202500582</v>
      </c>
      <c r="J140" s="5"/>
      <c r="K140" s="6">
        <v>45847</v>
      </c>
      <c r="L140" s="6">
        <v>45850</v>
      </c>
      <c r="M140" s="5" t="s">
        <v>53</v>
      </c>
      <c r="N140" s="5" t="s">
        <v>54</v>
      </c>
      <c r="O140" s="5" t="s">
        <v>41</v>
      </c>
      <c r="P140" s="30">
        <f t="shared" si="8"/>
        <v>3</v>
      </c>
      <c r="Q140" s="41">
        <v>3807.6615384615384</v>
      </c>
      <c r="R140" s="41">
        <v>5500</v>
      </c>
      <c r="S140" s="41">
        <f t="shared" si="7"/>
        <v>1692.3384615384616</v>
      </c>
    </row>
    <row r="141" spans="1:19">
      <c r="A141" s="5">
        <v>140</v>
      </c>
      <c r="B141" s="5">
        <v>2507093108</v>
      </c>
      <c r="C141" s="5" t="s">
        <v>876</v>
      </c>
      <c r="D141" s="5" t="s">
        <v>77</v>
      </c>
      <c r="E141" s="5" t="s">
        <v>78</v>
      </c>
      <c r="F141" s="5" t="s">
        <v>79</v>
      </c>
      <c r="G141" s="5" t="s">
        <v>52</v>
      </c>
      <c r="H141" s="5" t="s">
        <v>865</v>
      </c>
      <c r="I141" s="5">
        <v>202500583</v>
      </c>
      <c r="J141" s="5"/>
      <c r="K141" s="6">
        <v>45847</v>
      </c>
      <c r="L141" s="6">
        <v>45850</v>
      </c>
      <c r="M141" s="5" t="s">
        <v>53</v>
      </c>
      <c r="N141" s="5" t="s">
        <v>54</v>
      </c>
      <c r="O141" s="5" t="s">
        <v>41</v>
      </c>
      <c r="P141" s="30">
        <f t="shared" si="8"/>
        <v>3</v>
      </c>
      <c r="Q141" s="41">
        <v>3807.6615384615384</v>
      </c>
      <c r="R141" s="41">
        <v>5500</v>
      </c>
      <c r="S141" s="41">
        <f t="shared" si="7"/>
        <v>1692.3384615384616</v>
      </c>
    </row>
    <row r="142" spans="1:19">
      <c r="A142" s="5">
        <v>141</v>
      </c>
      <c r="B142" s="5">
        <v>2507093115</v>
      </c>
      <c r="C142" s="5" t="s">
        <v>877</v>
      </c>
      <c r="D142" s="5" t="s">
        <v>77</v>
      </c>
      <c r="E142" s="5" t="s">
        <v>78</v>
      </c>
      <c r="F142" s="5" t="s">
        <v>79</v>
      </c>
      <c r="G142" s="5" t="s">
        <v>52</v>
      </c>
      <c r="H142" s="5" t="s">
        <v>865</v>
      </c>
      <c r="I142" s="5">
        <v>202500584</v>
      </c>
      <c r="J142" s="5"/>
      <c r="K142" s="6">
        <v>45847</v>
      </c>
      <c r="L142" s="6">
        <v>45850</v>
      </c>
      <c r="M142" s="5" t="s">
        <v>53</v>
      </c>
      <c r="N142" s="5" t="s">
        <v>54</v>
      </c>
      <c r="O142" s="5" t="s">
        <v>41</v>
      </c>
      <c r="P142" s="30">
        <f t="shared" si="8"/>
        <v>3</v>
      </c>
      <c r="Q142" s="41">
        <v>3807.6615384615384</v>
      </c>
      <c r="R142" s="41">
        <v>5500</v>
      </c>
      <c r="S142" s="41">
        <f t="shared" si="7"/>
        <v>1692.3384615384616</v>
      </c>
    </row>
    <row r="143" spans="1:19">
      <c r="A143" s="5">
        <v>142</v>
      </c>
      <c r="B143" s="5">
        <v>2507093130</v>
      </c>
      <c r="C143" s="5" t="s">
        <v>878</v>
      </c>
      <c r="D143" s="5" t="s">
        <v>810</v>
      </c>
      <c r="E143" s="5" t="s">
        <v>879</v>
      </c>
      <c r="F143" s="5" t="s">
        <v>457</v>
      </c>
      <c r="G143" s="5" t="s">
        <v>43</v>
      </c>
      <c r="H143" s="5" t="s">
        <v>865</v>
      </c>
      <c r="I143" s="5">
        <v>202500585</v>
      </c>
      <c r="J143" s="5"/>
      <c r="K143" s="6">
        <v>45847</v>
      </c>
      <c r="L143" s="6">
        <v>45850</v>
      </c>
      <c r="M143" s="5" t="s">
        <v>53</v>
      </c>
      <c r="N143" s="5" t="s">
        <v>54</v>
      </c>
      <c r="O143" s="5" t="s">
        <v>41</v>
      </c>
      <c r="P143" s="30">
        <f t="shared" si="8"/>
        <v>3</v>
      </c>
      <c r="Q143" s="41">
        <v>3807.6615384615384</v>
      </c>
      <c r="R143" s="41">
        <v>12500</v>
      </c>
      <c r="S143" s="41">
        <f t="shared" si="7"/>
        <v>8692.3384615384621</v>
      </c>
    </row>
    <row r="144" spans="1:19">
      <c r="A144" s="5">
        <v>143</v>
      </c>
      <c r="B144" s="9">
        <v>2507093160</v>
      </c>
      <c r="C144" s="9" t="s">
        <v>880</v>
      </c>
      <c r="D144" s="9" t="s">
        <v>881</v>
      </c>
      <c r="E144" s="9" t="s">
        <v>882</v>
      </c>
      <c r="F144" s="9" t="s">
        <v>457</v>
      </c>
      <c r="G144" s="9" t="s">
        <v>52</v>
      </c>
      <c r="H144" s="9" t="s">
        <v>865</v>
      </c>
      <c r="I144" s="9">
        <v>202500586</v>
      </c>
      <c r="J144" s="9"/>
      <c r="K144" s="10">
        <v>45847</v>
      </c>
      <c r="L144" s="10">
        <v>45850</v>
      </c>
      <c r="M144" s="9" t="s">
        <v>45</v>
      </c>
      <c r="N144" s="9" t="s">
        <v>94</v>
      </c>
      <c r="O144" s="63" t="s">
        <v>883</v>
      </c>
      <c r="P144" s="32">
        <f t="shared" si="8"/>
        <v>3</v>
      </c>
      <c r="Q144" s="11">
        <v>3807.6615384615384</v>
      </c>
      <c r="R144" s="11">
        <v>6000</v>
      </c>
      <c r="S144" s="11">
        <f t="shared" si="7"/>
        <v>2192.3384615384616</v>
      </c>
    </row>
    <row r="145" spans="1:19">
      <c r="A145" s="5">
        <v>144</v>
      </c>
      <c r="B145" s="5">
        <v>2507093167</v>
      </c>
      <c r="C145" s="5" t="s">
        <v>884</v>
      </c>
      <c r="D145" s="5" t="s">
        <v>103</v>
      </c>
      <c r="E145" s="5" t="s">
        <v>104</v>
      </c>
      <c r="F145" s="5" t="s">
        <v>51</v>
      </c>
      <c r="G145" s="5" t="s">
        <v>52</v>
      </c>
      <c r="H145" s="5" t="s">
        <v>865</v>
      </c>
      <c r="I145" s="5">
        <v>202500587</v>
      </c>
      <c r="J145" s="5"/>
      <c r="K145" s="6">
        <v>45847</v>
      </c>
      <c r="L145" s="6">
        <v>45850</v>
      </c>
      <c r="M145" s="5" t="s">
        <v>53</v>
      </c>
      <c r="N145" s="5" t="s">
        <v>54</v>
      </c>
      <c r="O145" s="5" t="s">
        <v>41</v>
      </c>
      <c r="P145" s="30">
        <f t="shared" si="8"/>
        <v>3</v>
      </c>
      <c r="Q145" s="41">
        <v>3807.6615384615384</v>
      </c>
      <c r="R145" s="41">
        <v>8000</v>
      </c>
      <c r="S145" s="41">
        <f t="shared" si="7"/>
        <v>4192.3384615384621</v>
      </c>
    </row>
    <row r="146" spans="1:19">
      <c r="A146" s="5">
        <v>145</v>
      </c>
      <c r="B146" s="5">
        <v>2507093180</v>
      </c>
      <c r="C146" s="5" t="s">
        <v>885</v>
      </c>
      <c r="D146" s="5" t="s">
        <v>177</v>
      </c>
      <c r="E146" s="5" t="s">
        <v>98</v>
      </c>
      <c r="F146" s="5" t="s">
        <v>71</v>
      </c>
      <c r="G146" s="5" t="s">
        <v>75</v>
      </c>
      <c r="H146" s="5" t="s">
        <v>865</v>
      </c>
      <c r="I146" s="5">
        <v>202500588</v>
      </c>
      <c r="J146" s="5"/>
      <c r="K146" s="6">
        <v>45847</v>
      </c>
      <c r="L146" s="6">
        <v>45850</v>
      </c>
      <c r="M146" s="5" t="s">
        <v>53</v>
      </c>
      <c r="N146" s="5" t="s">
        <v>54</v>
      </c>
      <c r="O146" s="5" t="s">
        <v>41</v>
      </c>
      <c r="P146" s="30">
        <f t="shared" si="8"/>
        <v>3</v>
      </c>
      <c r="Q146" s="41">
        <v>3807.6615384615384</v>
      </c>
      <c r="R146" s="41">
        <v>4900</v>
      </c>
      <c r="S146" s="41">
        <f t="shared" si="7"/>
        <v>1092.3384615384616</v>
      </c>
    </row>
    <row r="147" spans="1:19">
      <c r="A147" s="5">
        <v>146</v>
      </c>
      <c r="B147" s="5">
        <v>2507093186</v>
      </c>
      <c r="C147" s="5" t="s">
        <v>886</v>
      </c>
      <c r="D147" s="5" t="s">
        <v>64</v>
      </c>
      <c r="E147" s="5" t="s">
        <v>65</v>
      </c>
      <c r="F147" s="5" t="s">
        <v>66</v>
      </c>
      <c r="G147" s="5" t="s">
        <v>52</v>
      </c>
      <c r="H147" s="5" t="s">
        <v>865</v>
      </c>
      <c r="I147" s="5">
        <v>202500589</v>
      </c>
      <c r="J147" s="5"/>
      <c r="K147" s="6">
        <v>45847</v>
      </c>
      <c r="L147" s="6">
        <v>45850</v>
      </c>
      <c r="M147" s="5" t="s">
        <v>53</v>
      </c>
      <c r="N147" s="5" t="s">
        <v>54</v>
      </c>
      <c r="O147" s="5" t="s">
        <v>41</v>
      </c>
      <c r="P147" s="30">
        <f t="shared" si="8"/>
        <v>3</v>
      </c>
      <c r="Q147" s="41">
        <v>3807.6615384615384</v>
      </c>
      <c r="R147" s="41">
        <v>5500</v>
      </c>
      <c r="S147" s="41">
        <f t="shared" si="7"/>
        <v>1692.3384615384616</v>
      </c>
    </row>
    <row r="148" spans="1:19">
      <c r="A148" s="5">
        <v>147</v>
      </c>
      <c r="B148" s="9">
        <v>2507093190</v>
      </c>
      <c r="C148" s="9" t="s">
        <v>887</v>
      </c>
      <c r="D148" s="9" t="s">
        <v>405</v>
      </c>
      <c r="E148" s="9" t="s">
        <v>526</v>
      </c>
      <c r="F148" s="9" t="s">
        <v>202</v>
      </c>
      <c r="G148" s="9" t="s">
        <v>52</v>
      </c>
      <c r="H148" s="9" t="s">
        <v>865</v>
      </c>
      <c r="I148" s="9">
        <v>202500590</v>
      </c>
      <c r="J148" s="9"/>
      <c r="K148" s="10">
        <v>45847</v>
      </c>
      <c r="L148" s="10">
        <v>45850</v>
      </c>
      <c r="M148" s="9" t="s">
        <v>45</v>
      </c>
      <c r="N148" s="9" t="s">
        <v>94</v>
      </c>
      <c r="O148" s="63" t="s">
        <v>888</v>
      </c>
      <c r="P148" s="32">
        <f t="shared" si="8"/>
        <v>3</v>
      </c>
      <c r="Q148" s="11">
        <v>3807.6615384615384</v>
      </c>
      <c r="R148" s="11">
        <v>6450</v>
      </c>
      <c r="S148" s="11">
        <f t="shared" si="7"/>
        <v>2642.3384615384616</v>
      </c>
    </row>
    <row r="149" spans="1:19">
      <c r="A149" s="5">
        <v>148</v>
      </c>
      <c r="B149" s="5">
        <v>2507093193</v>
      </c>
      <c r="C149" s="5" t="s">
        <v>889</v>
      </c>
      <c r="D149" s="5" t="s">
        <v>564</v>
      </c>
      <c r="E149" s="5" t="s">
        <v>890</v>
      </c>
      <c r="F149" s="5" t="s">
        <v>71</v>
      </c>
      <c r="G149" s="5" t="s">
        <v>52</v>
      </c>
      <c r="H149" s="5" t="s">
        <v>865</v>
      </c>
      <c r="I149" s="5">
        <v>202500591</v>
      </c>
      <c r="J149" s="5"/>
      <c r="K149" s="6">
        <v>45847</v>
      </c>
      <c r="L149" s="6">
        <v>45850</v>
      </c>
      <c r="M149" s="5" t="s">
        <v>53</v>
      </c>
      <c r="N149" s="5" t="s">
        <v>54</v>
      </c>
      <c r="O149" s="5" t="s">
        <v>41</v>
      </c>
      <c r="P149" s="30">
        <f t="shared" si="8"/>
        <v>3</v>
      </c>
      <c r="Q149" s="41">
        <v>3807.6615384615384</v>
      </c>
      <c r="R149" s="41">
        <v>8500</v>
      </c>
      <c r="S149" s="41">
        <f t="shared" si="7"/>
        <v>4692.3384615384621</v>
      </c>
    </row>
    <row r="150" spans="1:19">
      <c r="A150" s="5">
        <v>149</v>
      </c>
      <c r="B150" s="5">
        <v>2507093197</v>
      </c>
      <c r="C150" s="5" t="s">
        <v>891</v>
      </c>
      <c r="D150" s="5" t="s">
        <v>69</v>
      </c>
      <c r="E150" s="5" t="s">
        <v>502</v>
      </c>
      <c r="F150" s="5" t="s">
        <v>71</v>
      </c>
      <c r="G150" s="5" t="s">
        <v>43</v>
      </c>
      <c r="H150" s="5" t="s">
        <v>865</v>
      </c>
      <c r="I150" s="5">
        <v>202500592</v>
      </c>
      <c r="J150" s="5"/>
      <c r="K150" s="6">
        <v>45847</v>
      </c>
      <c r="L150" s="6">
        <v>45850</v>
      </c>
      <c r="M150" s="5" t="s">
        <v>53</v>
      </c>
      <c r="N150" s="5" t="s">
        <v>54</v>
      </c>
      <c r="O150" s="5" t="s">
        <v>41</v>
      </c>
      <c r="P150" s="30">
        <f t="shared" si="8"/>
        <v>3</v>
      </c>
      <c r="Q150" s="41">
        <v>3807.6615384615384</v>
      </c>
      <c r="R150" s="41">
        <v>12000</v>
      </c>
      <c r="S150" s="41">
        <f t="shared" si="7"/>
        <v>8192.3384615384621</v>
      </c>
    </row>
    <row r="151" spans="1:19">
      <c r="A151" s="5">
        <v>150</v>
      </c>
      <c r="B151" s="5">
        <v>2507093201</v>
      </c>
      <c r="C151" s="5" t="s">
        <v>892</v>
      </c>
      <c r="D151" s="5" t="s">
        <v>893</v>
      </c>
      <c r="E151" s="5" t="s">
        <v>894</v>
      </c>
      <c r="F151" s="5" t="s">
        <v>66</v>
      </c>
      <c r="G151" s="5" t="s">
        <v>52</v>
      </c>
      <c r="H151" s="5" t="s">
        <v>865</v>
      </c>
      <c r="I151" s="5">
        <v>202500593</v>
      </c>
      <c r="J151" s="5"/>
      <c r="K151" s="6">
        <v>45847</v>
      </c>
      <c r="L151" s="6">
        <v>45850</v>
      </c>
      <c r="M151" s="5" t="s">
        <v>53</v>
      </c>
      <c r="N151" s="5" t="s">
        <v>54</v>
      </c>
      <c r="O151" s="5" t="s">
        <v>41</v>
      </c>
      <c r="P151" s="30">
        <f t="shared" si="8"/>
        <v>3</v>
      </c>
      <c r="Q151" s="41">
        <v>3807.6615384615384</v>
      </c>
      <c r="R151" s="41">
        <v>6000</v>
      </c>
      <c r="S151" s="41">
        <f t="shared" si="7"/>
        <v>2192.3384615384616</v>
      </c>
    </row>
    <row r="152" spans="1:19">
      <c r="A152" s="5">
        <v>151</v>
      </c>
      <c r="B152" s="5">
        <v>2507093208</v>
      </c>
      <c r="C152" s="5" t="s">
        <v>895</v>
      </c>
      <c r="D152" s="5" t="s">
        <v>437</v>
      </c>
      <c r="E152" s="5" t="s">
        <v>896</v>
      </c>
      <c r="F152" s="5" t="s">
        <v>71</v>
      </c>
      <c r="G152" s="5" t="s">
        <v>52</v>
      </c>
      <c r="H152" s="5" t="s">
        <v>865</v>
      </c>
      <c r="I152" s="5">
        <v>202500594</v>
      </c>
      <c r="J152" s="5"/>
      <c r="K152" s="6">
        <v>45847</v>
      </c>
      <c r="L152" s="6">
        <v>45850</v>
      </c>
      <c r="M152" s="5" t="s">
        <v>53</v>
      </c>
      <c r="N152" s="5" t="s">
        <v>54</v>
      </c>
      <c r="O152" s="5" t="s">
        <v>41</v>
      </c>
      <c r="P152" s="30">
        <f t="shared" si="8"/>
        <v>3</v>
      </c>
      <c r="Q152" s="41">
        <v>3807.6615384615384</v>
      </c>
      <c r="R152" s="41">
        <v>8500</v>
      </c>
      <c r="S152" s="41">
        <f t="shared" si="7"/>
        <v>4692.3384615384621</v>
      </c>
    </row>
    <row r="153" spans="1:19">
      <c r="A153" s="5">
        <v>152</v>
      </c>
      <c r="B153" s="5">
        <v>2507093212</v>
      </c>
      <c r="C153" s="5" t="s">
        <v>897</v>
      </c>
      <c r="D153" s="5" t="s">
        <v>791</v>
      </c>
      <c r="E153" s="5" t="s">
        <v>792</v>
      </c>
      <c r="F153" s="5" t="s">
        <v>141</v>
      </c>
      <c r="G153" s="5" t="s">
        <v>52</v>
      </c>
      <c r="H153" s="5" t="s">
        <v>865</v>
      </c>
      <c r="I153" s="5">
        <v>202500595</v>
      </c>
      <c r="J153" s="5"/>
      <c r="K153" s="6">
        <v>45847</v>
      </c>
      <c r="L153" s="6">
        <v>45850</v>
      </c>
      <c r="M153" s="5" t="s">
        <v>53</v>
      </c>
      <c r="N153" s="5" t="s">
        <v>54</v>
      </c>
      <c r="O153" s="5" t="s">
        <v>41</v>
      </c>
      <c r="P153" s="30">
        <f t="shared" si="8"/>
        <v>3</v>
      </c>
      <c r="Q153" s="41">
        <v>3807.6615384615384</v>
      </c>
      <c r="R153" s="41">
        <v>6000</v>
      </c>
      <c r="S153" s="41">
        <f t="shared" si="7"/>
        <v>2192.3384615384616</v>
      </c>
    </row>
    <row r="154" spans="1:19">
      <c r="A154" s="5">
        <v>153</v>
      </c>
      <c r="B154" s="5">
        <v>2507093216</v>
      </c>
      <c r="C154" s="5" t="s">
        <v>898</v>
      </c>
      <c r="D154" s="5" t="s">
        <v>86</v>
      </c>
      <c r="E154" s="5" t="s">
        <v>270</v>
      </c>
      <c r="F154" s="5" t="s">
        <v>87</v>
      </c>
      <c r="G154" s="5" t="s">
        <v>52</v>
      </c>
      <c r="H154" s="5" t="s">
        <v>865</v>
      </c>
      <c r="I154" s="5">
        <v>202500596</v>
      </c>
      <c r="J154" s="5"/>
      <c r="K154" s="6">
        <v>45847</v>
      </c>
      <c r="L154" s="6">
        <v>45850</v>
      </c>
      <c r="M154" s="5" t="s">
        <v>53</v>
      </c>
      <c r="N154" s="5" t="s">
        <v>54</v>
      </c>
      <c r="O154" s="5" t="s">
        <v>41</v>
      </c>
      <c r="P154" s="30">
        <f t="shared" si="8"/>
        <v>3</v>
      </c>
      <c r="Q154" s="41">
        <v>3807.6615384615384</v>
      </c>
      <c r="R154" s="41">
        <v>6000</v>
      </c>
      <c r="S154" s="41">
        <f t="shared" si="7"/>
        <v>2192.3384615384616</v>
      </c>
    </row>
    <row r="155" spans="1:19">
      <c r="A155" s="5">
        <v>154</v>
      </c>
      <c r="B155" s="5">
        <v>2507093220</v>
      </c>
      <c r="C155" s="5" t="s">
        <v>899</v>
      </c>
      <c r="D155" s="5" t="s">
        <v>599</v>
      </c>
      <c r="E155" s="5" t="s">
        <v>837</v>
      </c>
      <c r="F155" s="5" t="s">
        <v>169</v>
      </c>
      <c r="G155" s="5" t="s">
        <v>52</v>
      </c>
      <c r="H155" s="5" t="s">
        <v>865</v>
      </c>
      <c r="I155" s="5">
        <v>202500597</v>
      </c>
      <c r="J155" s="5"/>
      <c r="K155" s="6">
        <v>45847</v>
      </c>
      <c r="L155" s="6">
        <v>45850</v>
      </c>
      <c r="M155" s="5" t="s">
        <v>53</v>
      </c>
      <c r="N155" s="5" t="s">
        <v>54</v>
      </c>
      <c r="O155" s="5" t="s">
        <v>41</v>
      </c>
      <c r="P155" s="30">
        <f t="shared" si="8"/>
        <v>3</v>
      </c>
      <c r="Q155" s="41">
        <v>3807.6615384615384</v>
      </c>
      <c r="R155" s="41">
        <v>7500</v>
      </c>
      <c r="S155" s="41">
        <f t="shared" si="7"/>
        <v>3692.3384615384616</v>
      </c>
    </row>
    <row r="156" spans="1:19">
      <c r="A156" s="5">
        <v>155</v>
      </c>
      <c r="B156" s="22">
        <v>2507080139</v>
      </c>
      <c r="C156" s="22" t="s">
        <v>847</v>
      </c>
      <c r="D156" s="22" t="s">
        <v>64</v>
      </c>
      <c r="E156" s="22" t="s">
        <v>65</v>
      </c>
      <c r="F156" s="22" t="s">
        <v>66</v>
      </c>
      <c r="G156" s="22" t="s">
        <v>52</v>
      </c>
      <c r="H156" s="22" t="s">
        <v>865</v>
      </c>
      <c r="I156" s="22">
        <v>202500598</v>
      </c>
      <c r="J156" s="22"/>
      <c r="K156" s="23">
        <v>45846</v>
      </c>
      <c r="L156" s="23">
        <v>45850</v>
      </c>
      <c r="M156" s="22" t="s">
        <v>53</v>
      </c>
      <c r="N156" s="22" t="s">
        <v>54</v>
      </c>
      <c r="O156" s="22" t="s">
        <v>41</v>
      </c>
      <c r="P156" s="34">
        <f t="shared" si="8"/>
        <v>4</v>
      </c>
      <c r="Q156" s="24">
        <v>3807.6615384615384</v>
      </c>
      <c r="R156" s="24">
        <v>0</v>
      </c>
      <c r="S156" s="24">
        <f t="shared" si="7"/>
        <v>-3807.6615384615384</v>
      </c>
    </row>
    <row r="157" spans="1:19">
      <c r="A157" s="5">
        <v>156</v>
      </c>
      <c r="B157" s="5" t="s">
        <v>900</v>
      </c>
      <c r="C157" s="5"/>
      <c r="D157" s="5"/>
      <c r="E157" s="5"/>
      <c r="F157" s="5"/>
      <c r="G157" s="5" t="s">
        <v>52</v>
      </c>
      <c r="H157" s="5"/>
      <c r="I157" s="5"/>
      <c r="J157" s="5"/>
      <c r="K157" s="5"/>
      <c r="L157" s="5"/>
      <c r="M157" s="5"/>
      <c r="N157" s="5"/>
      <c r="O157" s="5"/>
      <c r="P157" s="5"/>
      <c r="Q157" s="41">
        <v>3807.6615384615384</v>
      </c>
      <c r="R157" s="41">
        <v>0</v>
      </c>
      <c r="S157" s="41">
        <f t="shared" si="7"/>
        <v>-3807.6615384615384</v>
      </c>
    </row>
    <row r="158" spans="1:19">
      <c r="A158" s="5">
        <v>157</v>
      </c>
      <c r="B158" s="5" t="s">
        <v>901</v>
      </c>
      <c r="C158" s="5"/>
      <c r="D158" s="5"/>
      <c r="E158" s="5"/>
      <c r="F158" s="5"/>
      <c r="G158" s="5" t="s">
        <v>52</v>
      </c>
      <c r="H158" s="5"/>
      <c r="I158" s="5"/>
      <c r="J158" s="5"/>
      <c r="K158" s="5"/>
      <c r="L158" s="5"/>
      <c r="M158" s="5"/>
      <c r="N158" s="5"/>
      <c r="O158" s="5"/>
      <c r="P158" s="5"/>
      <c r="Q158" s="41">
        <v>3807.6615384615384</v>
      </c>
      <c r="R158" s="41">
        <v>0</v>
      </c>
      <c r="S158" s="41">
        <f t="shared" si="7"/>
        <v>-3807.6615384615384</v>
      </c>
    </row>
    <row r="159" spans="1:19">
      <c r="A159" s="5">
        <v>158</v>
      </c>
      <c r="B159" s="5">
        <v>2507093223</v>
      </c>
      <c r="C159" s="5" t="s">
        <v>902</v>
      </c>
      <c r="D159" s="5" t="s">
        <v>564</v>
      </c>
      <c r="E159" s="5" t="s">
        <v>694</v>
      </c>
      <c r="F159" s="5" t="s">
        <v>71</v>
      </c>
      <c r="G159" s="5" t="s">
        <v>52</v>
      </c>
      <c r="H159" s="5" t="s">
        <v>903</v>
      </c>
      <c r="I159" s="5">
        <v>202500599</v>
      </c>
      <c r="J159" s="5"/>
      <c r="K159" s="6">
        <v>45847</v>
      </c>
      <c r="L159" s="6">
        <v>45854</v>
      </c>
      <c r="M159" s="5" t="s">
        <v>53</v>
      </c>
      <c r="N159" s="5" t="s">
        <v>54</v>
      </c>
      <c r="O159" s="5" t="s">
        <v>41</v>
      </c>
      <c r="P159" s="30">
        <f t="shared" ref="P159:P182" si="9">L159-K159</f>
        <v>7</v>
      </c>
      <c r="Q159" s="41">
        <v>3807.6615384615384</v>
      </c>
      <c r="R159" s="41">
        <v>8500</v>
      </c>
      <c r="S159" s="41">
        <f t="shared" si="7"/>
        <v>4692.3384615384621</v>
      </c>
    </row>
    <row r="160" spans="1:19">
      <c r="A160" s="5">
        <v>159</v>
      </c>
      <c r="B160" s="5">
        <v>2507093224</v>
      </c>
      <c r="C160" s="5" t="s">
        <v>904</v>
      </c>
      <c r="D160" s="5" t="s">
        <v>581</v>
      </c>
      <c r="E160" s="5" t="s">
        <v>905</v>
      </c>
      <c r="F160" s="5" t="s">
        <v>202</v>
      </c>
      <c r="G160" s="5" t="s">
        <v>75</v>
      </c>
      <c r="H160" s="5" t="s">
        <v>903</v>
      </c>
      <c r="I160" s="5">
        <v>202500600</v>
      </c>
      <c r="J160" s="5"/>
      <c r="K160" s="6">
        <v>45847</v>
      </c>
      <c r="L160" s="6">
        <v>45854</v>
      </c>
      <c r="M160" s="5" t="s">
        <v>53</v>
      </c>
      <c r="N160" s="5" t="s">
        <v>54</v>
      </c>
      <c r="O160" s="5" t="s">
        <v>41</v>
      </c>
      <c r="P160" s="30">
        <f t="shared" si="9"/>
        <v>7</v>
      </c>
      <c r="Q160" s="41">
        <v>3807.6615384615384</v>
      </c>
      <c r="R160" s="41">
        <v>5900</v>
      </c>
      <c r="S160" s="41">
        <f t="shared" si="7"/>
        <v>2092.3384615384616</v>
      </c>
    </row>
    <row r="161" spans="1:19">
      <c r="A161" s="5">
        <v>160</v>
      </c>
      <c r="B161" s="5">
        <v>2507093225</v>
      </c>
      <c r="C161" s="5" t="s">
        <v>906</v>
      </c>
      <c r="D161" s="5" t="s">
        <v>444</v>
      </c>
      <c r="E161" s="5" t="s">
        <v>670</v>
      </c>
      <c r="F161" s="5" t="s">
        <v>109</v>
      </c>
      <c r="G161" s="5" t="s">
        <v>52</v>
      </c>
      <c r="H161" s="5" t="s">
        <v>903</v>
      </c>
      <c r="I161" s="5">
        <v>202500601</v>
      </c>
      <c r="J161" s="5"/>
      <c r="K161" s="6">
        <v>45847</v>
      </c>
      <c r="L161" s="6">
        <v>45854</v>
      </c>
      <c r="M161" s="5" t="s">
        <v>53</v>
      </c>
      <c r="N161" s="5" t="s">
        <v>54</v>
      </c>
      <c r="O161" s="5" t="s">
        <v>41</v>
      </c>
      <c r="P161" s="30">
        <f t="shared" si="9"/>
        <v>7</v>
      </c>
      <c r="Q161" s="41">
        <v>3807.6615384615384</v>
      </c>
      <c r="R161" s="41">
        <v>5950</v>
      </c>
      <c r="S161" s="41">
        <f t="shared" si="7"/>
        <v>2142.3384615384616</v>
      </c>
    </row>
    <row r="162" spans="1:19">
      <c r="A162" s="5">
        <v>161</v>
      </c>
      <c r="B162" s="5">
        <v>2507101597</v>
      </c>
      <c r="C162" s="5" t="s">
        <v>907</v>
      </c>
      <c r="D162" s="5" t="s">
        <v>908</v>
      </c>
      <c r="E162" s="5" t="s">
        <v>909</v>
      </c>
      <c r="F162" s="5" t="s">
        <v>362</v>
      </c>
      <c r="G162" s="5" t="s">
        <v>52</v>
      </c>
      <c r="H162" s="5" t="s">
        <v>903</v>
      </c>
      <c r="I162" s="5">
        <v>202500602</v>
      </c>
      <c r="J162" s="5"/>
      <c r="K162" s="6">
        <v>45848</v>
      </c>
      <c r="L162" s="6">
        <v>45854</v>
      </c>
      <c r="M162" s="5" t="s">
        <v>53</v>
      </c>
      <c r="N162" s="5" t="s">
        <v>54</v>
      </c>
      <c r="O162" s="5" t="s">
        <v>41</v>
      </c>
      <c r="P162" s="30">
        <f t="shared" si="9"/>
        <v>6</v>
      </c>
      <c r="Q162" s="41">
        <v>3807.6615384615384</v>
      </c>
      <c r="R162" s="41">
        <v>5500</v>
      </c>
      <c r="S162" s="41">
        <f t="shared" si="7"/>
        <v>1692.3384615384616</v>
      </c>
    </row>
    <row r="163" spans="1:19">
      <c r="A163" s="5">
        <v>162</v>
      </c>
      <c r="B163" s="5">
        <v>2507101601</v>
      </c>
      <c r="C163" s="5" t="s">
        <v>910</v>
      </c>
      <c r="D163" s="5" t="s">
        <v>64</v>
      </c>
      <c r="E163" s="5" t="s">
        <v>65</v>
      </c>
      <c r="F163" s="5" t="s">
        <v>66</v>
      </c>
      <c r="G163" s="5" t="s">
        <v>52</v>
      </c>
      <c r="H163" s="5" t="s">
        <v>903</v>
      </c>
      <c r="I163" s="5">
        <v>202500603</v>
      </c>
      <c r="J163" s="5"/>
      <c r="K163" s="6">
        <v>45848</v>
      </c>
      <c r="L163" s="6">
        <v>45854</v>
      </c>
      <c r="M163" s="5" t="s">
        <v>53</v>
      </c>
      <c r="N163" s="5" t="s">
        <v>54</v>
      </c>
      <c r="O163" s="5" t="s">
        <v>41</v>
      </c>
      <c r="P163" s="30">
        <f t="shared" si="9"/>
        <v>6</v>
      </c>
      <c r="Q163" s="41">
        <v>3807.6615384615384</v>
      </c>
      <c r="R163" s="41">
        <v>5500</v>
      </c>
      <c r="S163" s="41">
        <f t="shared" si="7"/>
        <v>1692.3384615384616</v>
      </c>
    </row>
    <row r="164" spans="1:19">
      <c r="A164" s="5">
        <v>163</v>
      </c>
      <c r="B164" s="5">
        <v>2507101605</v>
      </c>
      <c r="C164" s="5" t="s">
        <v>911</v>
      </c>
      <c r="D164" s="5" t="s">
        <v>64</v>
      </c>
      <c r="E164" s="5" t="s">
        <v>65</v>
      </c>
      <c r="F164" s="5" t="s">
        <v>66</v>
      </c>
      <c r="G164" s="5" t="s">
        <v>52</v>
      </c>
      <c r="H164" s="5" t="s">
        <v>903</v>
      </c>
      <c r="I164" s="5">
        <v>202500604</v>
      </c>
      <c r="J164" s="5"/>
      <c r="K164" s="6">
        <v>45848</v>
      </c>
      <c r="L164" s="6">
        <v>45854</v>
      </c>
      <c r="M164" s="5" t="s">
        <v>53</v>
      </c>
      <c r="N164" s="5" t="s">
        <v>54</v>
      </c>
      <c r="O164" s="5" t="s">
        <v>41</v>
      </c>
      <c r="P164" s="30">
        <f t="shared" si="9"/>
        <v>6</v>
      </c>
      <c r="Q164" s="41">
        <v>3807.6615384615384</v>
      </c>
      <c r="R164" s="41">
        <v>5500</v>
      </c>
      <c r="S164" s="41">
        <f t="shared" si="7"/>
        <v>1692.3384615384616</v>
      </c>
    </row>
    <row r="165" spans="1:19">
      <c r="A165" s="5">
        <v>164</v>
      </c>
      <c r="B165" s="5">
        <v>2507101610</v>
      </c>
      <c r="C165" s="5" t="s">
        <v>912</v>
      </c>
      <c r="D165" s="5" t="s">
        <v>514</v>
      </c>
      <c r="E165" s="5" t="s">
        <v>913</v>
      </c>
      <c r="F165" s="5" t="s">
        <v>516</v>
      </c>
      <c r="G165" s="5" t="s">
        <v>43</v>
      </c>
      <c r="H165" s="5" t="s">
        <v>903</v>
      </c>
      <c r="I165" s="5">
        <v>202500605</v>
      </c>
      <c r="J165" s="5"/>
      <c r="K165" s="6">
        <v>45848</v>
      </c>
      <c r="L165" s="6">
        <v>45854</v>
      </c>
      <c r="M165" s="5" t="s">
        <v>53</v>
      </c>
      <c r="N165" s="5" t="s">
        <v>54</v>
      </c>
      <c r="O165" s="5" t="s">
        <v>41</v>
      </c>
      <c r="P165" s="30">
        <f t="shared" si="9"/>
        <v>6</v>
      </c>
      <c r="Q165" s="41">
        <v>3807.6615384615384</v>
      </c>
      <c r="R165" s="41">
        <v>12000</v>
      </c>
      <c r="S165" s="41">
        <f t="shared" si="7"/>
        <v>8192.3384615384621</v>
      </c>
    </row>
    <row r="166" spans="1:19">
      <c r="A166" s="5">
        <v>165</v>
      </c>
      <c r="B166" s="5">
        <v>2507101616</v>
      </c>
      <c r="C166" s="5" t="s">
        <v>914</v>
      </c>
      <c r="D166" s="5" t="s">
        <v>139</v>
      </c>
      <c r="E166" s="5" t="s">
        <v>140</v>
      </c>
      <c r="F166" s="5" t="s">
        <v>141</v>
      </c>
      <c r="G166" s="5" t="s">
        <v>52</v>
      </c>
      <c r="H166" s="5" t="s">
        <v>903</v>
      </c>
      <c r="I166" s="5">
        <v>202500606</v>
      </c>
      <c r="J166" s="5"/>
      <c r="K166" s="6">
        <v>45848</v>
      </c>
      <c r="L166" s="6">
        <v>45854</v>
      </c>
      <c r="M166" s="5" t="s">
        <v>53</v>
      </c>
      <c r="N166" s="5" t="s">
        <v>54</v>
      </c>
      <c r="O166" s="5" t="s">
        <v>41</v>
      </c>
      <c r="P166" s="30">
        <f t="shared" si="9"/>
        <v>6</v>
      </c>
      <c r="Q166" s="41">
        <v>3807.6615384615384</v>
      </c>
      <c r="R166" s="41">
        <v>6000</v>
      </c>
      <c r="S166" s="41">
        <f t="shared" si="7"/>
        <v>2192.3384615384616</v>
      </c>
    </row>
    <row r="167" spans="1:19">
      <c r="A167" s="5">
        <v>166</v>
      </c>
      <c r="B167" s="5">
        <v>2507101622</v>
      </c>
      <c r="C167" s="5" t="s">
        <v>915</v>
      </c>
      <c r="D167" s="5" t="s">
        <v>437</v>
      </c>
      <c r="E167" s="5" t="s">
        <v>896</v>
      </c>
      <c r="F167" s="5" t="s">
        <v>71</v>
      </c>
      <c r="G167" s="5" t="s">
        <v>52</v>
      </c>
      <c r="H167" s="5" t="s">
        <v>903</v>
      </c>
      <c r="I167" s="5">
        <v>202500607</v>
      </c>
      <c r="J167" s="5"/>
      <c r="K167" s="6">
        <v>45848</v>
      </c>
      <c r="L167" s="6">
        <v>45854</v>
      </c>
      <c r="M167" s="5" t="s">
        <v>53</v>
      </c>
      <c r="N167" s="5" t="s">
        <v>54</v>
      </c>
      <c r="O167" s="5" t="s">
        <v>41</v>
      </c>
      <c r="P167" s="30">
        <f t="shared" si="9"/>
        <v>6</v>
      </c>
      <c r="Q167" s="41">
        <v>3807.6615384615384</v>
      </c>
      <c r="R167" s="41">
        <v>8500</v>
      </c>
      <c r="S167" s="41">
        <f t="shared" si="7"/>
        <v>4692.3384615384621</v>
      </c>
    </row>
    <row r="168" spans="1:19">
      <c r="A168" s="5">
        <v>167</v>
      </c>
      <c r="B168" s="5">
        <v>2507101627</v>
      </c>
      <c r="C168" s="5" t="s">
        <v>916</v>
      </c>
      <c r="D168" s="5" t="s">
        <v>437</v>
      </c>
      <c r="E168" s="5" t="s">
        <v>896</v>
      </c>
      <c r="F168" s="5" t="s">
        <v>71</v>
      </c>
      <c r="G168" s="5" t="s">
        <v>52</v>
      </c>
      <c r="H168" s="5" t="s">
        <v>903</v>
      </c>
      <c r="I168" s="5">
        <v>202500608</v>
      </c>
      <c r="J168" s="5"/>
      <c r="K168" s="6">
        <v>45848</v>
      </c>
      <c r="L168" s="6">
        <v>45854</v>
      </c>
      <c r="M168" s="5" t="s">
        <v>53</v>
      </c>
      <c r="N168" s="5" t="s">
        <v>54</v>
      </c>
      <c r="O168" s="5" t="s">
        <v>41</v>
      </c>
      <c r="P168" s="30">
        <f t="shared" si="9"/>
        <v>6</v>
      </c>
      <c r="Q168" s="41">
        <v>3807.6615384615384</v>
      </c>
      <c r="R168" s="41">
        <v>8500</v>
      </c>
      <c r="S168" s="41">
        <f t="shared" si="7"/>
        <v>4692.3384615384621</v>
      </c>
    </row>
    <row r="169" spans="1:19">
      <c r="A169" s="5">
        <v>168</v>
      </c>
      <c r="B169" s="5">
        <v>2507110713</v>
      </c>
      <c r="C169" s="5" t="s">
        <v>917</v>
      </c>
      <c r="D169" s="5" t="s">
        <v>918</v>
      </c>
      <c r="E169" s="5" t="s">
        <v>919</v>
      </c>
      <c r="F169" s="5" t="s">
        <v>51</v>
      </c>
      <c r="G169" s="5" t="s">
        <v>52</v>
      </c>
      <c r="H169" s="5" t="s">
        <v>903</v>
      </c>
      <c r="I169" s="5">
        <v>202500609</v>
      </c>
      <c r="J169" s="5"/>
      <c r="K169" s="6">
        <v>45849</v>
      </c>
      <c r="L169" s="6">
        <v>45854</v>
      </c>
      <c r="M169" s="5" t="s">
        <v>53</v>
      </c>
      <c r="N169" s="5" t="s">
        <v>54</v>
      </c>
      <c r="O169" s="5" t="s">
        <v>41</v>
      </c>
      <c r="P169" s="30">
        <f t="shared" si="9"/>
        <v>5</v>
      </c>
      <c r="Q169" s="41">
        <v>3807.6615384615384</v>
      </c>
      <c r="R169" s="41">
        <v>5500</v>
      </c>
      <c r="S169" s="41">
        <f t="shared" si="7"/>
        <v>1692.3384615384616</v>
      </c>
    </row>
    <row r="170" spans="1:19">
      <c r="A170" s="5">
        <v>169</v>
      </c>
      <c r="B170" s="5">
        <v>2507110040</v>
      </c>
      <c r="C170" s="5" t="s">
        <v>920</v>
      </c>
      <c r="D170" s="5" t="s">
        <v>107</v>
      </c>
      <c r="E170" s="5" t="s">
        <v>205</v>
      </c>
      <c r="F170" s="5" t="s">
        <v>109</v>
      </c>
      <c r="G170" s="5" t="s">
        <v>52</v>
      </c>
      <c r="H170" s="5" t="s">
        <v>903</v>
      </c>
      <c r="I170" s="5">
        <v>202500610</v>
      </c>
      <c r="J170" s="5"/>
      <c r="K170" s="6">
        <v>45849</v>
      </c>
      <c r="L170" s="6">
        <v>45854</v>
      </c>
      <c r="M170" s="5" t="s">
        <v>53</v>
      </c>
      <c r="N170" s="5" t="s">
        <v>54</v>
      </c>
      <c r="O170" s="5" t="s">
        <v>41</v>
      </c>
      <c r="P170" s="30">
        <f t="shared" si="9"/>
        <v>5</v>
      </c>
      <c r="Q170" s="41">
        <v>3807.6615384615384</v>
      </c>
      <c r="R170" s="41">
        <v>5500</v>
      </c>
      <c r="S170" s="41">
        <f t="shared" si="7"/>
        <v>1692.3384615384616</v>
      </c>
    </row>
    <row r="171" spans="1:19">
      <c r="A171" s="5">
        <v>170</v>
      </c>
      <c r="B171" s="5">
        <v>2507110724</v>
      </c>
      <c r="C171" s="5" t="s">
        <v>921</v>
      </c>
      <c r="D171" s="5" t="s">
        <v>249</v>
      </c>
      <c r="E171" s="5" t="s">
        <v>250</v>
      </c>
      <c r="F171" s="5" t="s">
        <v>141</v>
      </c>
      <c r="G171" s="5" t="s">
        <v>52</v>
      </c>
      <c r="H171" s="5" t="s">
        <v>903</v>
      </c>
      <c r="I171" s="5">
        <v>202500611</v>
      </c>
      <c r="J171" s="5"/>
      <c r="K171" s="6">
        <v>45849</v>
      </c>
      <c r="L171" s="6">
        <v>45854</v>
      </c>
      <c r="M171" s="5" t="s">
        <v>53</v>
      </c>
      <c r="N171" s="5" t="s">
        <v>54</v>
      </c>
      <c r="O171" s="5" t="s">
        <v>41</v>
      </c>
      <c r="P171" s="30">
        <f t="shared" si="9"/>
        <v>5</v>
      </c>
      <c r="Q171" s="41">
        <v>3807.6615384615384</v>
      </c>
      <c r="R171" s="41">
        <v>5500</v>
      </c>
      <c r="S171" s="41">
        <f t="shared" si="7"/>
        <v>1692.3384615384616</v>
      </c>
    </row>
    <row r="172" spans="1:19">
      <c r="A172" s="5">
        <v>171</v>
      </c>
      <c r="B172" s="5">
        <v>2507110743</v>
      </c>
      <c r="C172" s="5" t="s">
        <v>922</v>
      </c>
      <c r="D172" s="5" t="s">
        <v>474</v>
      </c>
      <c r="E172" s="5" t="s">
        <v>475</v>
      </c>
      <c r="F172" s="5" t="s">
        <v>169</v>
      </c>
      <c r="G172" s="5" t="s">
        <v>75</v>
      </c>
      <c r="H172" s="5" t="s">
        <v>903</v>
      </c>
      <c r="I172" s="5">
        <v>202500612</v>
      </c>
      <c r="J172" s="5"/>
      <c r="K172" s="6">
        <v>45849</v>
      </c>
      <c r="L172" s="6">
        <v>45854</v>
      </c>
      <c r="M172" s="5" t="s">
        <v>53</v>
      </c>
      <c r="N172" s="5" t="s">
        <v>54</v>
      </c>
      <c r="O172" s="5" t="s">
        <v>41</v>
      </c>
      <c r="P172" s="30">
        <f t="shared" si="9"/>
        <v>5</v>
      </c>
      <c r="Q172" s="41">
        <v>3807.6615384615384</v>
      </c>
      <c r="R172" s="41">
        <v>4500</v>
      </c>
      <c r="S172" s="41">
        <f t="shared" si="7"/>
        <v>692.33846153846162</v>
      </c>
    </row>
    <row r="173" spans="1:19">
      <c r="A173" s="5">
        <v>172</v>
      </c>
      <c r="B173" s="5">
        <v>2507111965</v>
      </c>
      <c r="C173" s="5" t="s">
        <v>923</v>
      </c>
      <c r="D173" s="5" t="s">
        <v>334</v>
      </c>
      <c r="E173" s="5" t="s">
        <v>335</v>
      </c>
      <c r="F173" s="5" t="s">
        <v>71</v>
      </c>
      <c r="G173" s="5" t="s">
        <v>52</v>
      </c>
      <c r="H173" s="5" t="s">
        <v>903</v>
      </c>
      <c r="I173" s="5">
        <v>202500613</v>
      </c>
      <c r="J173" s="5"/>
      <c r="K173" s="6">
        <v>45849</v>
      </c>
      <c r="L173" s="6">
        <v>45854</v>
      </c>
      <c r="M173" s="5" t="s">
        <v>53</v>
      </c>
      <c r="N173" s="5" t="s">
        <v>54</v>
      </c>
      <c r="O173" s="5" t="s">
        <v>41</v>
      </c>
      <c r="P173" s="30">
        <f t="shared" si="9"/>
        <v>5</v>
      </c>
      <c r="Q173" s="41">
        <v>3807.6615384615384</v>
      </c>
      <c r="R173" s="41">
        <v>5950</v>
      </c>
      <c r="S173" s="41">
        <f t="shared" si="7"/>
        <v>2142.3384615384616</v>
      </c>
    </row>
    <row r="174" spans="1:19">
      <c r="A174" s="5">
        <v>173</v>
      </c>
      <c r="B174" s="5">
        <v>2507111973</v>
      </c>
      <c r="C174" s="5" t="s">
        <v>924</v>
      </c>
      <c r="D174" s="5" t="s">
        <v>167</v>
      </c>
      <c r="E174" s="5" t="s">
        <v>659</v>
      </c>
      <c r="F174" s="5" t="s">
        <v>169</v>
      </c>
      <c r="G174" s="5" t="s">
        <v>43</v>
      </c>
      <c r="H174" s="5" t="s">
        <v>903</v>
      </c>
      <c r="I174" s="5">
        <v>202500614</v>
      </c>
      <c r="J174" s="5"/>
      <c r="K174" s="6">
        <v>45849</v>
      </c>
      <c r="L174" s="6">
        <v>45854</v>
      </c>
      <c r="M174" s="5" t="s">
        <v>53</v>
      </c>
      <c r="N174" s="5" t="s">
        <v>54</v>
      </c>
      <c r="O174" s="5" t="s">
        <v>41</v>
      </c>
      <c r="P174" s="30">
        <f t="shared" si="9"/>
        <v>5</v>
      </c>
      <c r="Q174" s="41">
        <v>3807.6615384615384</v>
      </c>
      <c r="R174" s="41">
        <v>11000</v>
      </c>
      <c r="S174" s="41">
        <f t="shared" si="7"/>
        <v>7192.3384615384621</v>
      </c>
    </row>
    <row r="175" spans="1:19">
      <c r="A175" s="5">
        <v>174</v>
      </c>
      <c r="B175" s="5">
        <v>2507111979</v>
      </c>
      <c r="C175" s="5" t="s">
        <v>925</v>
      </c>
      <c r="D175" s="5" t="s">
        <v>881</v>
      </c>
      <c r="E175" s="5" t="s">
        <v>882</v>
      </c>
      <c r="F175" s="5" t="s">
        <v>457</v>
      </c>
      <c r="G175" s="5" t="s">
        <v>52</v>
      </c>
      <c r="H175" s="5" t="s">
        <v>903</v>
      </c>
      <c r="I175" s="5">
        <v>202500615</v>
      </c>
      <c r="J175" s="5"/>
      <c r="K175" s="6">
        <v>45849</v>
      </c>
      <c r="L175" s="6">
        <v>45854</v>
      </c>
      <c r="M175" s="5" t="s">
        <v>53</v>
      </c>
      <c r="N175" s="5" t="s">
        <v>54</v>
      </c>
      <c r="O175" s="5" t="s">
        <v>41</v>
      </c>
      <c r="P175" s="30">
        <f t="shared" si="9"/>
        <v>5</v>
      </c>
      <c r="Q175" s="41">
        <v>3807.6615384615384</v>
      </c>
      <c r="R175" s="41">
        <v>6000</v>
      </c>
      <c r="S175" s="41">
        <f t="shared" si="7"/>
        <v>2192.3384615384616</v>
      </c>
    </row>
    <row r="176" spans="1:19">
      <c r="A176" s="5">
        <v>175</v>
      </c>
      <c r="B176" s="5">
        <v>2507111985</v>
      </c>
      <c r="C176" s="5" t="s">
        <v>926</v>
      </c>
      <c r="D176" s="5" t="s">
        <v>86</v>
      </c>
      <c r="E176" s="5" t="s">
        <v>699</v>
      </c>
      <c r="F176" s="5" t="s">
        <v>87</v>
      </c>
      <c r="G176" s="5" t="s">
        <v>75</v>
      </c>
      <c r="H176" s="5" t="s">
        <v>903</v>
      </c>
      <c r="I176" s="5">
        <v>202500616</v>
      </c>
      <c r="J176" s="5"/>
      <c r="K176" s="6">
        <v>45849</v>
      </c>
      <c r="L176" s="6">
        <v>45854</v>
      </c>
      <c r="M176" s="5" t="s">
        <v>53</v>
      </c>
      <c r="N176" s="5" t="s">
        <v>54</v>
      </c>
      <c r="O176" s="5" t="s">
        <v>41</v>
      </c>
      <c r="P176" s="30">
        <f t="shared" si="9"/>
        <v>5</v>
      </c>
      <c r="Q176" s="41">
        <v>3807.6615384615384</v>
      </c>
      <c r="R176" s="41">
        <v>4500</v>
      </c>
      <c r="S176" s="41">
        <f t="shared" si="7"/>
        <v>692.33846153846162</v>
      </c>
    </row>
    <row r="177" spans="1:19">
      <c r="A177" s="5">
        <v>176</v>
      </c>
      <c r="B177" s="5">
        <v>2507111990</v>
      </c>
      <c r="C177" s="5" t="s">
        <v>927</v>
      </c>
      <c r="D177" s="5" t="s">
        <v>107</v>
      </c>
      <c r="E177" s="5" t="s">
        <v>205</v>
      </c>
      <c r="F177" s="5" t="s">
        <v>109</v>
      </c>
      <c r="G177" s="5" t="s">
        <v>52</v>
      </c>
      <c r="H177" s="5" t="s">
        <v>903</v>
      </c>
      <c r="I177" s="5">
        <v>202500617</v>
      </c>
      <c r="J177" s="5"/>
      <c r="K177" s="6">
        <v>45849</v>
      </c>
      <c r="L177" s="6">
        <v>45854</v>
      </c>
      <c r="M177" s="5" t="s">
        <v>53</v>
      </c>
      <c r="N177" s="5" t="s">
        <v>54</v>
      </c>
      <c r="O177" s="5" t="s">
        <v>41</v>
      </c>
      <c r="P177" s="30">
        <f t="shared" si="9"/>
        <v>5</v>
      </c>
      <c r="Q177" s="41">
        <v>3807.6615384615384</v>
      </c>
      <c r="R177" s="41">
        <v>5500</v>
      </c>
      <c r="S177" s="41">
        <f t="shared" si="7"/>
        <v>1692.3384615384616</v>
      </c>
    </row>
    <row r="178" spans="1:19">
      <c r="A178" s="5">
        <v>177</v>
      </c>
      <c r="B178" s="5">
        <v>2507111995</v>
      </c>
      <c r="C178" s="5" t="s">
        <v>928</v>
      </c>
      <c r="D178" s="5" t="s">
        <v>321</v>
      </c>
      <c r="E178" s="5" t="s">
        <v>322</v>
      </c>
      <c r="F178" s="5" t="s">
        <v>202</v>
      </c>
      <c r="G178" s="5" t="s">
        <v>43</v>
      </c>
      <c r="H178" s="5" t="s">
        <v>903</v>
      </c>
      <c r="I178" s="5">
        <v>202500618</v>
      </c>
      <c r="J178" s="5"/>
      <c r="K178" s="6">
        <v>45849</v>
      </c>
      <c r="L178" s="6">
        <v>45854</v>
      </c>
      <c r="M178" s="5" t="s">
        <v>53</v>
      </c>
      <c r="N178" s="5" t="s">
        <v>54</v>
      </c>
      <c r="O178" s="5" t="s">
        <v>41</v>
      </c>
      <c r="P178" s="30">
        <f t="shared" si="9"/>
        <v>5</v>
      </c>
      <c r="Q178" s="41">
        <v>3807.6615384615384</v>
      </c>
      <c r="R178" s="41">
        <v>12000</v>
      </c>
      <c r="S178" s="41">
        <f t="shared" si="7"/>
        <v>8192.3384615384621</v>
      </c>
    </row>
    <row r="179" spans="1:19">
      <c r="A179" s="5">
        <v>178</v>
      </c>
      <c r="B179" s="5">
        <v>2507112002</v>
      </c>
      <c r="C179" s="5" t="s">
        <v>929</v>
      </c>
      <c r="D179" s="5" t="s">
        <v>60</v>
      </c>
      <c r="E179" s="5" t="s">
        <v>61</v>
      </c>
      <c r="F179" s="5" t="s">
        <v>62</v>
      </c>
      <c r="G179" s="5" t="s">
        <v>52</v>
      </c>
      <c r="H179" s="5" t="s">
        <v>903</v>
      </c>
      <c r="I179" s="5">
        <v>202500619</v>
      </c>
      <c r="J179" s="5"/>
      <c r="K179" s="6">
        <v>45849</v>
      </c>
      <c r="L179" s="6">
        <v>45854</v>
      </c>
      <c r="M179" s="5" t="s">
        <v>53</v>
      </c>
      <c r="N179" s="5" t="s">
        <v>54</v>
      </c>
      <c r="O179" s="5" t="s">
        <v>41</v>
      </c>
      <c r="P179" s="30">
        <f t="shared" si="9"/>
        <v>5</v>
      </c>
      <c r="Q179" s="41">
        <v>3807.6615384615384</v>
      </c>
      <c r="R179" s="41">
        <v>6000</v>
      </c>
      <c r="S179" s="41">
        <f t="shared" si="7"/>
        <v>2192.3384615384616</v>
      </c>
    </row>
    <row r="180" spans="1:19">
      <c r="A180" s="5">
        <v>179</v>
      </c>
      <c r="B180" s="5">
        <v>2507120045</v>
      </c>
      <c r="C180" s="5" t="s">
        <v>930</v>
      </c>
      <c r="D180" s="5" t="s">
        <v>348</v>
      </c>
      <c r="E180" s="5" t="s">
        <v>349</v>
      </c>
      <c r="F180" s="5" t="s">
        <v>71</v>
      </c>
      <c r="G180" s="5" t="s">
        <v>52</v>
      </c>
      <c r="H180" s="5" t="s">
        <v>903</v>
      </c>
      <c r="I180" s="5">
        <v>202500620</v>
      </c>
      <c r="J180" s="5"/>
      <c r="K180" s="6">
        <v>45850</v>
      </c>
      <c r="L180" s="6">
        <v>45854</v>
      </c>
      <c r="M180" s="5" t="s">
        <v>53</v>
      </c>
      <c r="N180" s="5" t="s">
        <v>54</v>
      </c>
      <c r="O180" s="5" t="s">
        <v>41</v>
      </c>
      <c r="P180" s="30">
        <f t="shared" si="9"/>
        <v>4</v>
      </c>
      <c r="Q180" s="41">
        <v>3807.6615384615384</v>
      </c>
      <c r="R180" s="41">
        <v>7000</v>
      </c>
      <c r="S180" s="41">
        <f t="shared" si="7"/>
        <v>3192.3384615384616</v>
      </c>
    </row>
    <row r="181" spans="1:19">
      <c r="A181" s="5">
        <v>180</v>
      </c>
      <c r="B181" s="22">
        <v>2507093160</v>
      </c>
      <c r="C181" s="22" t="s">
        <v>880</v>
      </c>
      <c r="D181" s="22" t="s">
        <v>881</v>
      </c>
      <c r="E181" s="22" t="s">
        <v>882</v>
      </c>
      <c r="F181" s="22" t="s">
        <v>457</v>
      </c>
      <c r="G181" s="22" t="s">
        <v>52</v>
      </c>
      <c r="H181" s="22" t="s">
        <v>903</v>
      </c>
      <c r="I181" s="22">
        <v>202500621</v>
      </c>
      <c r="J181" s="22"/>
      <c r="K181" s="23">
        <v>45847</v>
      </c>
      <c r="L181" s="23">
        <v>45854</v>
      </c>
      <c r="M181" s="22" t="s">
        <v>53</v>
      </c>
      <c r="N181" s="22" t="s">
        <v>54</v>
      </c>
      <c r="O181" s="22" t="s">
        <v>41</v>
      </c>
      <c r="P181" s="34">
        <f t="shared" si="9"/>
        <v>7</v>
      </c>
      <c r="Q181" s="24">
        <v>3807.6615384615384</v>
      </c>
      <c r="R181" s="24">
        <v>0</v>
      </c>
      <c r="S181" s="24">
        <f t="shared" si="7"/>
        <v>-3807.6615384615384</v>
      </c>
    </row>
    <row r="182" spans="1:19">
      <c r="A182" s="5">
        <v>181</v>
      </c>
      <c r="B182" s="13">
        <v>2507093190</v>
      </c>
      <c r="C182" s="13" t="s">
        <v>887</v>
      </c>
      <c r="D182" s="13" t="s">
        <v>405</v>
      </c>
      <c r="E182" s="13" t="s">
        <v>526</v>
      </c>
      <c r="F182" s="13" t="s">
        <v>202</v>
      </c>
      <c r="G182" s="13" t="s">
        <v>52</v>
      </c>
      <c r="H182" s="13" t="s">
        <v>903</v>
      </c>
      <c r="I182" s="13">
        <v>202500622</v>
      </c>
      <c r="J182" s="13"/>
      <c r="K182" s="14">
        <v>45847</v>
      </c>
      <c r="L182" s="14">
        <v>45854</v>
      </c>
      <c r="M182" s="13" t="s">
        <v>45</v>
      </c>
      <c r="N182" s="13" t="s">
        <v>46</v>
      </c>
      <c r="O182" s="64" t="s">
        <v>888</v>
      </c>
      <c r="P182" s="35">
        <f t="shared" si="9"/>
        <v>7</v>
      </c>
      <c r="Q182" s="15">
        <v>3807.6615384615384</v>
      </c>
      <c r="R182" s="15">
        <v>0</v>
      </c>
      <c r="S182" s="15">
        <f t="shared" si="7"/>
        <v>-3807.6615384615384</v>
      </c>
    </row>
    <row r="183" spans="1:19">
      <c r="A183" s="5">
        <v>182</v>
      </c>
      <c r="B183" s="5" t="s">
        <v>931</v>
      </c>
      <c r="C183" s="5"/>
      <c r="D183" s="5"/>
      <c r="E183" s="5"/>
      <c r="F183" s="5"/>
      <c r="G183" s="5" t="s">
        <v>52</v>
      </c>
      <c r="H183" s="5"/>
      <c r="I183" s="5"/>
      <c r="J183" s="5"/>
      <c r="K183" s="5"/>
      <c r="L183" s="5"/>
      <c r="M183" s="5"/>
      <c r="N183" s="5"/>
      <c r="O183" s="5"/>
      <c r="P183" s="5"/>
      <c r="Q183" s="41">
        <v>3807.6615384615384</v>
      </c>
      <c r="R183" s="41">
        <v>0</v>
      </c>
      <c r="S183" s="41">
        <f t="shared" si="7"/>
        <v>-3807.6615384615384</v>
      </c>
    </row>
    <row r="184" spans="1:19">
      <c r="A184" s="5">
        <v>183</v>
      </c>
      <c r="B184" s="5" t="s">
        <v>932</v>
      </c>
      <c r="C184" s="5"/>
      <c r="D184" s="5"/>
      <c r="E184" s="5"/>
      <c r="F184" s="5"/>
      <c r="G184" s="5" t="s">
        <v>52</v>
      </c>
      <c r="H184" s="5"/>
      <c r="I184" s="5"/>
      <c r="J184" s="5"/>
      <c r="K184" s="5"/>
      <c r="L184" s="5"/>
      <c r="M184" s="5"/>
      <c r="N184" s="5"/>
      <c r="O184" s="5"/>
      <c r="P184" s="5"/>
      <c r="Q184" s="41">
        <v>3807.6615384615384</v>
      </c>
      <c r="R184" s="41">
        <v>0</v>
      </c>
      <c r="S184" s="41">
        <f t="shared" si="7"/>
        <v>-3807.6615384615384</v>
      </c>
    </row>
    <row r="185" spans="1:19">
      <c r="A185" s="5">
        <v>184</v>
      </c>
      <c r="B185" s="5">
        <v>2507120047</v>
      </c>
      <c r="C185" s="5" t="s">
        <v>933</v>
      </c>
      <c r="D185" s="5" t="s">
        <v>40</v>
      </c>
      <c r="E185" s="5" t="s">
        <v>41</v>
      </c>
      <c r="F185" s="5" t="s">
        <v>42</v>
      </c>
      <c r="G185" s="5" t="s">
        <v>43</v>
      </c>
      <c r="H185" s="5" t="s">
        <v>934</v>
      </c>
      <c r="I185" s="5">
        <v>202500623</v>
      </c>
      <c r="J185" s="5"/>
      <c r="K185" s="6">
        <v>45850</v>
      </c>
      <c r="L185" s="6">
        <v>45856</v>
      </c>
      <c r="M185" s="5" t="s">
        <v>53</v>
      </c>
      <c r="N185" s="5" t="s">
        <v>54</v>
      </c>
      <c r="O185" s="5" t="s">
        <v>41</v>
      </c>
      <c r="P185" s="30">
        <f t="shared" ref="P185:P204" si="10">L185-K185</f>
        <v>6</v>
      </c>
      <c r="Q185" s="41">
        <v>4425.4181818181814</v>
      </c>
      <c r="R185" s="41">
        <v>14500</v>
      </c>
      <c r="S185" s="41">
        <f t="shared" si="7"/>
        <v>10074.581818181818</v>
      </c>
    </row>
    <row r="186" spans="1:19">
      <c r="A186" s="5">
        <v>185</v>
      </c>
      <c r="B186" s="5">
        <v>2507120349</v>
      </c>
      <c r="C186" s="5" t="s">
        <v>935</v>
      </c>
      <c r="D186" s="5" t="s">
        <v>40</v>
      </c>
      <c r="E186" s="5" t="s">
        <v>41</v>
      </c>
      <c r="F186" s="5" t="s">
        <v>42</v>
      </c>
      <c r="G186" s="5" t="s">
        <v>43</v>
      </c>
      <c r="H186" s="5" t="s">
        <v>934</v>
      </c>
      <c r="I186" s="5">
        <v>202500624</v>
      </c>
      <c r="J186" s="5"/>
      <c r="K186" s="6">
        <v>45850</v>
      </c>
      <c r="L186" s="6">
        <v>45856</v>
      </c>
      <c r="M186" s="5" t="s">
        <v>53</v>
      </c>
      <c r="N186" s="5" t="s">
        <v>54</v>
      </c>
      <c r="O186" s="5" t="s">
        <v>41</v>
      </c>
      <c r="P186" s="30">
        <f t="shared" si="10"/>
        <v>6</v>
      </c>
      <c r="Q186" s="41">
        <v>4425.4181818181814</v>
      </c>
      <c r="R186" s="41">
        <v>13050</v>
      </c>
      <c r="S186" s="41">
        <f t="shared" si="7"/>
        <v>8624.5818181818177</v>
      </c>
    </row>
    <row r="187" spans="1:19">
      <c r="A187" s="5">
        <v>186</v>
      </c>
      <c r="B187" s="5">
        <v>2507120712</v>
      </c>
      <c r="C187" s="5" t="s">
        <v>936</v>
      </c>
      <c r="D187" s="5" t="s">
        <v>334</v>
      </c>
      <c r="E187" s="5" t="s">
        <v>335</v>
      </c>
      <c r="F187" s="5" t="s">
        <v>71</v>
      </c>
      <c r="G187" s="5" t="s">
        <v>43</v>
      </c>
      <c r="H187" s="5" t="s">
        <v>934</v>
      </c>
      <c r="I187" s="5">
        <v>202500625</v>
      </c>
      <c r="J187" s="5"/>
      <c r="K187" s="6">
        <v>45850</v>
      </c>
      <c r="L187" s="6">
        <v>45856</v>
      </c>
      <c r="M187" s="5" t="s">
        <v>53</v>
      </c>
      <c r="N187" s="5" t="s">
        <v>54</v>
      </c>
      <c r="O187" s="5" t="s">
        <v>41</v>
      </c>
      <c r="P187" s="30">
        <f t="shared" si="10"/>
        <v>6</v>
      </c>
      <c r="Q187" s="41">
        <v>4425.4181818181814</v>
      </c>
      <c r="R187" s="41">
        <v>12000</v>
      </c>
      <c r="S187" s="41">
        <f t="shared" si="7"/>
        <v>7574.5818181818186</v>
      </c>
    </row>
    <row r="188" spans="1:19">
      <c r="A188" s="5">
        <v>187</v>
      </c>
      <c r="B188" s="5">
        <v>2507120717</v>
      </c>
      <c r="C188" s="5" t="s">
        <v>937</v>
      </c>
      <c r="D188" s="5" t="s">
        <v>309</v>
      </c>
      <c r="E188" s="5" t="s">
        <v>310</v>
      </c>
      <c r="F188" s="5" t="s">
        <v>51</v>
      </c>
      <c r="G188" s="5" t="s">
        <v>52</v>
      </c>
      <c r="H188" s="5" t="s">
        <v>934</v>
      </c>
      <c r="I188" s="5">
        <v>202500626</v>
      </c>
      <c r="J188" s="5"/>
      <c r="K188" s="6">
        <v>45850</v>
      </c>
      <c r="L188" s="6">
        <v>45856</v>
      </c>
      <c r="M188" s="5" t="s">
        <v>53</v>
      </c>
      <c r="N188" s="5" t="s">
        <v>54</v>
      </c>
      <c r="O188" s="5" t="s">
        <v>41</v>
      </c>
      <c r="P188" s="30">
        <f t="shared" si="10"/>
        <v>6</v>
      </c>
      <c r="Q188" s="41">
        <v>4425.4181818181814</v>
      </c>
      <c r="R188" s="41">
        <v>5500</v>
      </c>
      <c r="S188" s="41">
        <f t="shared" si="7"/>
        <v>1074.5818181818186</v>
      </c>
    </row>
    <row r="189" spans="1:19">
      <c r="A189" s="5">
        <v>188</v>
      </c>
      <c r="B189" s="5">
        <v>2507121554</v>
      </c>
      <c r="C189" s="5" t="s">
        <v>938</v>
      </c>
      <c r="D189" s="5" t="s">
        <v>528</v>
      </c>
      <c r="E189" s="5" t="s">
        <v>529</v>
      </c>
      <c r="F189" s="5" t="s">
        <v>202</v>
      </c>
      <c r="G189" s="5" t="s">
        <v>52</v>
      </c>
      <c r="H189" s="5" t="s">
        <v>934</v>
      </c>
      <c r="I189" s="5">
        <v>202500627</v>
      </c>
      <c r="J189" s="5"/>
      <c r="K189" s="6">
        <v>45850</v>
      </c>
      <c r="L189" s="6">
        <v>45856</v>
      </c>
      <c r="M189" s="5" t="s">
        <v>53</v>
      </c>
      <c r="N189" s="5" t="s">
        <v>54</v>
      </c>
      <c r="O189" s="5" t="s">
        <v>41</v>
      </c>
      <c r="P189" s="30">
        <f t="shared" si="10"/>
        <v>6</v>
      </c>
      <c r="Q189" s="41">
        <v>4425.4181818181814</v>
      </c>
      <c r="R189" s="41">
        <v>7500</v>
      </c>
      <c r="S189" s="41">
        <f t="shared" ref="S189:S206" si="11">R189-Q189</f>
        <v>3074.5818181818186</v>
      </c>
    </row>
    <row r="190" spans="1:19">
      <c r="A190" s="5">
        <v>189</v>
      </c>
      <c r="B190" s="5">
        <v>2507121570</v>
      </c>
      <c r="C190" s="5" t="s">
        <v>939</v>
      </c>
      <c r="D190" s="5" t="s">
        <v>715</v>
      </c>
      <c r="E190" s="5" t="s">
        <v>716</v>
      </c>
      <c r="F190" s="5" t="s">
        <v>71</v>
      </c>
      <c r="G190" s="5" t="s">
        <v>43</v>
      </c>
      <c r="H190" s="5" t="s">
        <v>934</v>
      </c>
      <c r="I190" s="5">
        <v>202500628</v>
      </c>
      <c r="J190" s="5"/>
      <c r="K190" s="6">
        <v>45850</v>
      </c>
      <c r="L190" s="6">
        <v>45856</v>
      </c>
      <c r="M190" s="5" t="s">
        <v>53</v>
      </c>
      <c r="N190" s="5" t="s">
        <v>54</v>
      </c>
      <c r="O190" s="5" t="s">
        <v>41</v>
      </c>
      <c r="P190" s="30">
        <f t="shared" si="10"/>
        <v>6</v>
      </c>
      <c r="Q190" s="41">
        <v>4425.4181818181814</v>
      </c>
      <c r="R190" s="41">
        <v>9000</v>
      </c>
      <c r="S190" s="41">
        <f t="shared" si="11"/>
        <v>4574.5818181818186</v>
      </c>
    </row>
    <row r="191" spans="1:19">
      <c r="A191" s="5">
        <v>190</v>
      </c>
      <c r="B191" s="5">
        <v>2507121577</v>
      </c>
      <c r="C191" s="5" t="s">
        <v>940</v>
      </c>
      <c r="D191" s="5" t="s">
        <v>257</v>
      </c>
      <c r="E191" s="5" t="s">
        <v>258</v>
      </c>
      <c r="F191" s="5" t="s">
        <v>62</v>
      </c>
      <c r="G191" s="5" t="s">
        <v>52</v>
      </c>
      <c r="H191" s="5" t="s">
        <v>934</v>
      </c>
      <c r="I191" s="5">
        <v>202500629</v>
      </c>
      <c r="J191" s="5"/>
      <c r="K191" s="6">
        <v>45850</v>
      </c>
      <c r="L191" s="6">
        <v>45856</v>
      </c>
      <c r="M191" s="5" t="s">
        <v>53</v>
      </c>
      <c r="N191" s="5" t="s">
        <v>54</v>
      </c>
      <c r="O191" s="5" t="s">
        <v>41</v>
      </c>
      <c r="P191" s="30">
        <f t="shared" si="10"/>
        <v>6</v>
      </c>
      <c r="Q191" s="41">
        <v>4425.4181818181814</v>
      </c>
      <c r="R191" s="41">
        <v>5100</v>
      </c>
      <c r="S191" s="41">
        <f t="shared" si="11"/>
        <v>674.58181818181856</v>
      </c>
    </row>
    <row r="192" spans="1:19">
      <c r="A192" s="5">
        <v>191</v>
      </c>
      <c r="B192" s="5">
        <v>2507131093</v>
      </c>
      <c r="C192" s="5" t="s">
        <v>941</v>
      </c>
      <c r="D192" s="5" t="s">
        <v>511</v>
      </c>
      <c r="E192" s="5" t="s">
        <v>942</v>
      </c>
      <c r="F192" s="5" t="s">
        <v>79</v>
      </c>
      <c r="G192" s="5" t="s">
        <v>52</v>
      </c>
      <c r="H192" s="5" t="s">
        <v>934</v>
      </c>
      <c r="I192" s="5">
        <v>202500630</v>
      </c>
      <c r="J192" s="5"/>
      <c r="K192" s="6">
        <v>45851</v>
      </c>
      <c r="L192" s="6">
        <v>45856</v>
      </c>
      <c r="M192" s="5" t="s">
        <v>53</v>
      </c>
      <c r="N192" s="5" t="s">
        <v>54</v>
      </c>
      <c r="O192" s="5" t="s">
        <v>41</v>
      </c>
      <c r="P192" s="30">
        <f t="shared" si="10"/>
        <v>5</v>
      </c>
      <c r="Q192" s="41">
        <v>4425.4181818181814</v>
      </c>
      <c r="R192" s="41">
        <v>5500</v>
      </c>
      <c r="S192" s="41">
        <f t="shared" si="11"/>
        <v>1074.5818181818186</v>
      </c>
    </row>
    <row r="193" spans="1:19">
      <c r="A193" s="5">
        <v>192</v>
      </c>
      <c r="B193" s="5">
        <v>2507131099</v>
      </c>
      <c r="C193" s="5" t="s">
        <v>943</v>
      </c>
      <c r="D193" s="5" t="s">
        <v>405</v>
      </c>
      <c r="E193" s="5" t="s">
        <v>485</v>
      </c>
      <c r="F193" s="5" t="s">
        <v>202</v>
      </c>
      <c r="G193" s="5" t="s">
        <v>52</v>
      </c>
      <c r="H193" s="5" t="s">
        <v>934</v>
      </c>
      <c r="I193" s="5">
        <v>202500631</v>
      </c>
      <c r="J193" s="5"/>
      <c r="K193" s="6">
        <v>45851</v>
      </c>
      <c r="L193" s="6">
        <v>45856</v>
      </c>
      <c r="M193" s="5" t="s">
        <v>53</v>
      </c>
      <c r="N193" s="5" t="s">
        <v>54</v>
      </c>
      <c r="O193" s="5" t="s">
        <v>41</v>
      </c>
      <c r="P193" s="30">
        <f t="shared" si="10"/>
        <v>5</v>
      </c>
      <c r="Q193" s="41">
        <v>4425.4181818181814</v>
      </c>
      <c r="R193" s="41">
        <v>6450</v>
      </c>
      <c r="S193" s="41">
        <f t="shared" si="11"/>
        <v>2024.5818181818186</v>
      </c>
    </row>
    <row r="194" spans="1:19">
      <c r="A194" s="5">
        <v>193</v>
      </c>
      <c r="B194" s="5">
        <v>2507131107</v>
      </c>
      <c r="C194" s="5" t="s">
        <v>944</v>
      </c>
      <c r="D194" s="5" t="s">
        <v>321</v>
      </c>
      <c r="E194" s="5" t="s">
        <v>322</v>
      </c>
      <c r="F194" s="5" t="s">
        <v>202</v>
      </c>
      <c r="G194" s="5" t="s">
        <v>52</v>
      </c>
      <c r="H194" s="5" t="s">
        <v>934</v>
      </c>
      <c r="I194" s="5">
        <v>202500632</v>
      </c>
      <c r="J194" s="5"/>
      <c r="K194" s="6">
        <v>45851</v>
      </c>
      <c r="L194" s="6">
        <v>45856</v>
      </c>
      <c r="M194" s="5" t="s">
        <v>53</v>
      </c>
      <c r="N194" s="5" t="s">
        <v>54</v>
      </c>
      <c r="O194" s="5" t="s">
        <v>41</v>
      </c>
      <c r="P194" s="30">
        <f t="shared" si="10"/>
        <v>5</v>
      </c>
      <c r="Q194" s="41">
        <v>4425.4181818181814</v>
      </c>
      <c r="R194" s="41">
        <v>7500</v>
      </c>
      <c r="S194" s="41">
        <f t="shared" si="11"/>
        <v>3074.5818181818186</v>
      </c>
    </row>
    <row r="195" spans="1:19">
      <c r="A195" s="5">
        <v>194</v>
      </c>
      <c r="B195" s="5">
        <v>2507131117</v>
      </c>
      <c r="C195" s="5" t="s">
        <v>945</v>
      </c>
      <c r="D195" s="5" t="s">
        <v>321</v>
      </c>
      <c r="E195" s="5" t="s">
        <v>322</v>
      </c>
      <c r="F195" s="5" t="s">
        <v>202</v>
      </c>
      <c r="G195" s="5" t="s">
        <v>43</v>
      </c>
      <c r="H195" s="5" t="s">
        <v>934</v>
      </c>
      <c r="I195" s="5">
        <v>202500633</v>
      </c>
      <c r="J195" s="5"/>
      <c r="K195" s="6">
        <v>45851</v>
      </c>
      <c r="L195" s="6">
        <v>45856</v>
      </c>
      <c r="M195" s="5" t="s">
        <v>53</v>
      </c>
      <c r="N195" s="5" t="s">
        <v>54</v>
      </c>
      <c r="O195" s="5" t="s">
        <v>41</v>
      </c>
      <c r="P195" s="30">
        <f t="shared" si="10"/>
        <v>5</v>
      </c>
      <c r="Q195" s="41">
        <v>4425.4181818181814</v>
      </c>
      <c r="R195" s="41">
        <v>12000</v>
      </c>
      <c r="S195" s="41">
        <f t="shared" si="11"/>
        <v>7574.5818181818186</v>
      </c>
    </row>
    <row r="196" spans="1:19">
      <c r="A196" s="5">
        <v>195</v>
      </c>
      <c r="B196" s="5">
        <v>2507131123</v>
      </c>
      <c r="C196" s="5" t="s">
        <v>946</v>
      </c>
      <c r="D196" s="5" t="s">
        <v>748</v>
      </c>
      <c r="E196" s="5" t="s">
        <v>947</v>
      </c>
      <c r="F196" s="5" t="s">
        <v>51</v>
      </c>
      <c r="G196" s="5" t="s">
        <v>43</v>
      </c>
      <c r="H196" s="5" t="s">
        <v>934</v>
      </c>
      <c r="I196" s="5">
        <v>202500634</v>
      </c>
      <c r="J196" s="5"/>
      <c r="K196" s="6">
        <v>45851</v>
      </c>
      <c r="L196" s="6">
        <v>45856</v>
      </c>
      <c r="M196" s="5" t="s">
        <v>53</v>
      </c>
      <c r="N196" s="5" t="s">
        <v>54</v>
      </c>
      <c r="O196" s="5" t="s">
        <v>41</v>
      </c>
      <c r="P196" s="30">
        <f t="shared" si="10"/>
        <v>5</v>
      </c>
      <c r="Q196" s="41">
        <v>4425.4181818181814</v>
      </c>
      <c r="R196" s="41">
        <v>10000</v>
      </c>
      <c r="S196" s="41">
        <f t="shared" si="11"/>
        <v>5574.5818181818186</v>
      </c>
    </row>
    <row r="197" spans="1:19">
      <c r="A197" s="5">
        <v>196</v>
      </c>
      <c r="B197" s="5">
        <v>2507131129</v>
      </c>
      <c r="C197" s="5" t="s">
        <v>948</v>
      </c>
      <c r="D197" s="5" t="s">
        <v>77</v>
      </c>
      <c r="E197" s="5" t="s">
        <v>78</v>
      </c>
      <c r="F197" s="5" t="s">
        <v>79</v>
      </c>
      <c r="G197" s="5" t="s">
        <v>75</v>
      </c>
      <c r="H197" s="5" t="s">
        <v>934</v>
      </c>
      <c r="I197" s="5">
        <v>202500635</v>
      </c>
      <c r="J197" s="5"/>
      <c r="K197" s="6">
        <v>45851</v>
      </c>
      <c r="L197" s="6">
        <v>45856</v>
      </c>
      <c r="M197" s="5" t="s">
        <v>53</v>
      </c>
      <c r="N197" s="5" t="s">
        <v>54</v>
      </c>
      <c r="O197" s="5" t="s">
        <v>41</v>
      </c>
      <c r="P197" s="30">
        <f t="shared" si="10"/>
        <v>5</v>
      </c>
      <c r="Q197" s="41">
        <v>4425.4181818181814</v>
      </c>
      <c r="R197" s="41">
        <v>4500</v>
      </c>
      <c r="S197" s="41">
        <f t="shared" si="11"/>
        <v>74.581818181818562</v>
      </c>
    </row>
    <row r="198" spans="1:19">
      <c r="A198" s="5">
        <v>197</v>
      </c>
      <c r="B198" s="5">
        <v>2507131141</v>
      </c>
      <c r="C198" s="5" t="s">
        <v>949</v>
      </c>
      <c r="D198" s="5" t="s">
        <v>139</v>
      </c>
      <c r="E198" s="5" t="s">
        <v>140</v>
      </c>
      <c r="F198" s="5" t="s">
        <v>141</v>
      </c>
      <c r="G198" s="5" t="s">
        <v>52</v>
      </c>
      <c r="H198" s="5" t="s">
        <v>934</v>
      </c>
      <c r="I198" s="5">
        <v>202500636</v>
      </c>
      <c r="J198" s="5"/>
      <c r="K198" s="6">
        <v>45851</v>
      </c>
      <c r="L198" s="6">
        <v>45856</v>
      </c>
      <c r="M198" s="5" t="s">
        <v>53</v>
      </c>
      <c r="N198" s="5" t="s">
        <v>54</v>
      </c>
      <c r="O198" s="5" t="s">
        <v>41</v>
      </c>
      <c r="P198" s="30">
        <f t="shared" si="10"/>
        <v>5</v>
      </c>
      <c r="Q198" s="41">
        <v>4425.4181818181814</v>
      </c>
      <c r="R198" s="41">
        <v>6000</v>
      </c>
      <c r="S198" s="41">
        <f t="shared" si="11"/>
        <v>1574.5818181818186</v>
      </c>
    </row>
    <row r="199" spans="1:19">
      <c r="A199" s="5">
        <v>198</v>
      </c>
      <c r="B199" s="5">
        <v>2507140029</v>
      </c>
      <c r="C199" s="5" t="s">
        <v>950</v>
      </c>
      <c r="D199" s="5" t="s">
        <v>293</v>
      </c>
      <c r="E199" s="5" t="s">
        <v>294</v>
      </c>
      <c r="F199" s="5" t="s">
        <v>51</v>
      </c>
      <c r="G199" s="5" t="s">
        <v>52</v>
      </c>
      <c r="H199" s="5" t="s">
        <v>934</v>
      </c>
      <c r="I199" s="5">
        <v>202500637</v>
      </c>
      <c r="J199" s="5"/>
      <c r="K199" s="6">
        <v>45852</v>
      </c>
      <c r="L199" s="6">
        <v>45856</v>
      </c>
      <c r="M199" s="5" t="s">
        <v>53</v>
      </c>
      <c r="N199" s="5" t="s">
        <v>54</v>
      </c>
      <c r="O199" s="5" t="s">
        <v>41</v>
      </c>
      <c r="P199" s="30">
        <f t="shared" si="10"/>
        <v>4</v>
      </c>
      <c r="Q199" s="41">
        <v>4425.4181818181814</v>
      </c>
      <c r="R199" s="41">
        <v>6000</v>
      </c>
      <c r="S199" s="41">
        <f t="shared" si="11"/>
        <v>1574.5818181818186</v>
      </c>
    </row>
    <row r="200" spans="1:19">
      <c r="A200" s="5">
        <v>199</v>
      </c>
      <c r="B200" s="5">
        <v>2507142263</v>
      </c>
      <c r="C200" s="5" t="s">
        <v>951</v>
      </c>
      <c r="D200" s="5" t="s">
        <v>334</v>
      </c>
      <c r="E200" s="5" t="s">
        <v>335</v>
      </c>
      <c r="F200" s="5" t="s">
        <v>71</v>
      </c>
      <c r="G200" s="5" t="s">
        <v>52</v>
      </c>
      <c r="H200" s="5" t="s">
        <v>934</v>
      </c>
      <c r="I200" s="5">
        <v>202500638</v>
      </c>
      <c r="J200" s="5"/>
      <c r="K200" s="6">
        <v>45852</v>
      </c>
      <c r="L200" s="6">
        <v>45856</v>
      </c>
      <c r="M200" s="5" t="s">
        <v>53</v>
      </c>
      <c r="N200" s="5" t="s">
        <v>54</v>
      </c>
      <c r="O200" s="5" t="s">
        <v>41</v>
      </c>
      <c r="P200" s="30">
        <f t="shared" si="10"/>
        <v>4</v>
      </c>
      <c r="Q200" s="41">
        <v>4425.4181818181814</v>
      </c>
      <c r="R200" s="41">
        <v>5950</v>
      </c>
      <c r="S200" s="41">
        <f t="shared" si="11"/>
        <v>1524.5818181818186</v>
      </c>
    </row>
    <row r="201" spans="1:19">
      <c r="A201" s="5">
        <v>200</v>
      </c>
      <c r="B201" s="5">
        <v>2507142264</v>
      </c>
      <c r="C201" s="5" t="s">
        <v>952</v>
      </c>
      <c r="D201" s="5" t="s">
        <v>103</v>
      </c>
      <c r="E201" s="5" t="s">
        <v>104</v>
      </c>
      <c r="F201" s="5" t="s">
        <v>51</v>
      </c>
      <c r="G201" s="5" t="s">
        <v>52</v>
      </c>
      <c r="H201" s="5" t="s">
        <v>934</v>
      </c>
      <c r="I201" s="5">
        <v>202500639</v>
      </c>
      <c r="J201" s="5"/>
      <c r="K201" s="6">
        <v>45852</v>
      </c>
      <c r="L201" s="6">
        <v>45856</v>
      </c>
      <c r="M201" s="5" t="s">
        <v>53</v>
      </c>
      <c r="N201" s="5" t="s">
        <v>54</v>
      </c>
      <c r="O201" s="5" t="s">
        <v>41</v>
      </c>
      <c r="P201" s="30">
        <f t="shared" si="10"/>
        <v>4</v>
      </c>
      <c r="Q201" s="41">
        <v>4425.4181818181814</v>
      </c>
      <c r="R201" s="41">
        <v>8000</v>
      </c>
      <c r="S201" s="41">
        <f t="shared" si="11"/>
        <v>3574.5818181818186</v>
      </c>
    </row>
    <row r="202" spans="1:19">
      <c r="A202" s="5">
        <v>201</v>
      </c>
      <c r="B202" s="5">
        <v>2507142266</v>
      </c>
      <c r="C202" s="5" t="s">
        <v>953</v>
      </c>
      <c r="D202" s="5" t="s">
        <v>77</v>
      </c>
      <c r="E202" s="5" t="s">
        <v>78</v>
      </c>
      <c r="F202" s="5" t="s">
        <v>79</v>
      </c>
      <c r="G202" s="5" t="s">
        <v>52</v>
      </c>
      <c r="H202" s="5" t="s">
        <v>934</v>
      </c>
      <c r="I202" s="5">
        <v>202500640</v>
      </c>
      <c r="J202" s="5"/>
      <c r="K202" s="6">
        <v>45852</v>
      </c>
      <c r="L202" s="6">
        <v>45856</v>
      </c>
      <c r="M202" s="5" t="s">
        <v>53</v>
      </c>
      <c r="N202" s="5" t="s">
        <v>54</v>
      </c>
      <c r="O202" s="5" t="s">
        <v>41</v>
      </c>
      <c r="P202" s="30">
        <f t="shared" si="10"/>
        <v>4</v>
      </c>
      <c r="Q202" s="41">
        <v>4425.4181818181814</v>
      </c>
      <c r="R202" s="41">
        <v>5500</v>
      </c>
      <c r="S202" s="41">
        <f t="shared" si="11"/>
        <v>1074.5818181818186</v>
      </c>
    </row>
    <row r="203" spans="1:19">
      <c r="A203" s="5">
        <v>202</v>
      </c>
      <c r="B203" s="5">
        <v>2507142273</v>
      </c>
      <c r="C203" s="5" t="s">
        <v>954</v>
      </c>
      <c r="D203" s="5" t="s">
        <v>955</v>
      </c>
      <c r="E203" s="5" t="s">
        <v>41</v>
      </c>
      <c r="F203" s="5" t="s">
        <v>202</v>
      </c>
      <c r="G203" s="5" t="s">
        <v>75</v>
      </c>
      <c r="H203" s="5" t="s">
        <v>934</v>
      </c>
      <c r="I203" s="5">
        <v>202500641</v>
      </c>
      <c r="J203" s="5"/>
      <c r="K203" s="6">
        <v>45852</v>
      </c>
      <c r="L203" s="6">
        <v>45856</v>
      </c>
      <c r="M203" s="5" t="s">
        <v>53</v>
      </c>
      <c r="N203" s="5" t="s">
        <v>54</v>
      </c>
      <c r="O203" s="5" t="s">
        <v>41</v>
      </c>
      <c r="P203" s="30">
        <f t="shared" si="10"/>
        <v>4</v>
      </c>
      <c r="Q203" s="41">
        <v>4425.4181818181814</v>
      </c>
      <c r="R203" s="41">
        <v>4900</v>
      </c>
      <c r="S203" s="41">
        <f t="shared" si="11"/>
        <v>474.58181818181856</v>
      </c>
    </row>
    <row r="204" spans="1:19">
      <c r="A204" s="5">
        <v>203</v>
      </c>
      <c r="B204" s="17">
        <v>2507043166</v>
      </c>
      <c r="C204" s="17" t="s">
        <v>783</v>
      </c>
      <c r="D204" s="17" t="s">
        <v>405</v>
      </c>
      <c r="E204" s="17" t="s">
        <v>485</v>
      </c>
      <c r="F204" s="17" t="s">
        <v>202</v>
      </c>
      <c r="G204" s="17" t="s">
        <v>43</v>
      </c>
      <c r="H204" s="17" t="s">
        <v>934</v>
      </c>
      <c r="I204" s="17">
        <v>202500642</v>
      </c>
      <c r="J204" s="17"/>
      <c r="K204" s="18">
        <v>45852</v>
      </c>
      <c r="L204" s="18">
        <v>45856</v>
      </c>
      <c r="M204" s="17" t="s">
        <v>53</v>
      </c>
      <c r="N204" s="17" t="s">
        <v>480</v>
      </c>
      <c r="O204" s="17" t="s">
        <v>958</v>
      </c>
      <c r="P204" s="31">
        <f t="shared" si="10"/>
        <v>4</v>
      </c>
      <c r="Q204" s="19">
        <v>4425.4181818181814</v>
      </c>
      <c r="R204" s="19">
        <v>0</v>
      </c>
      <c r="S204" s="19">
        <f t="shared" si="11"/>
        <v>-4425.4181818181814</v>
      </c>
    </row>
    <row r="205" spans="1:19">
      <c r="A205" s="5">
        <v>204</v>
      </c>
      <c r="B205" s="5" t="s">
        <v>956</v>
      </c>
      <c r="C205" s="5"/>
      <c r="D205" s="5"/>
      <c r="E205" s="5"/>
      <c r="F205" s="5"/>
      <c r="G205" s="5" t="s">
        <v>52</v>
      </c>
      <c r="H205" s="5"/>
      <c r="I205" s="5"/>
      <c r="J205" s="5"/>
      <c r="K205" s="5"/>
      <c r="L205" s="5"/>
      <c r="M205" s="5"/>
      <c r="N205" s="5"/>
      <c r="O205" s="5"/>
      <c r="P205" s="5"/>
      <c r="Q205" s="41">
        <v>4425.4181818181814</v>
      </c>
      <c r="R205" s="41">
        <v>0</v>
      </c>
      <c r="S205" s="41">
        <f t="shared" si="11"/>
        <v>-4425.4181818181814</v>
      </c>
    </row>
    <row r="206" spans="1:19">
      <c r="A206" s="5">
        <v>205</v>
      </c>
      <c r="B206" s="5" t="s">
        <v>957</v>
      </c>
      <c r="C206" s="5"/>
      <c r="D206" s="5"/>
      <c r="E206" s="5"/>
      <c r="F206" s="5"/>
      <c r="G206" s="5" t="s">
        <v>52</v>
      </c>
      <c r="H206" s="5"/>
      <c r="I206" s="5"/>
      <c r="J206" s="5"/>
      <c r="K206" s="5"/>
      <c r="L206" s="5"/>
      <c r="M206" s="5"/>
      <c r="N206" s="5"/>
      <c r="O206" s="5"/>
      <c r="P206" s="5"/>
      <c r="Q206" s="41">
        <v>4425.4181818181814</v>
      </c>
      <c r="R206" s="41">
        <v>0</v>
      </c>
      <c r="S206" s="41">
        <f t="shared" si="11"/>
        <v>-4425.4181818181814</v>
      </c>
    </row>
    <row r="207" spans="1:19">
      <c r="A207" s="5">
        <v>206</v>
      </c>
      <c r="B207" s="42">
        <v>2507142275</v>
      </c>
      <c r="C207" s="42" t="s">
        <v>959</v>
      </c>
      <c r="D207" s="42" t="s">
        <v>437</v>
      </c>
      <c r="E207" s="42" t="s">
        <v>896</v>
      </c>
      <c r="F207" s="42" t="s">
        <v>71</v>
      </c>
      <c r="G207" s="42" t="s">
        <v>52</v>
      </c>
      <c r="H207" s="42" t="s">
        <v>960</v>
      </c>
      <c r="I207" s="42">
        <v>202500643</v>
      </c>
      <c r="J207" s="42"/>
      <c r="K207" s="43">
        <v>45852</v>
      </c>
      <c r="L207" s="43">
        <v>45857</v>
      </c>
      <c r="M207" s="42" t="s">
        <v>53</v>
      </c>
      <c r="N207" s="42" t="s">
        <v>54</v>
      </c>
      <c r="O207" s="42" t="s">
        <v>41</v>
      </c>
      <c r="P207" s="44">
        <v>5</v>
      </c>
      <c r="Q207" s="65">
        <v>4090.7999999999997</v>
      </c>
      <c r="R207" s="45">
        <v>8500</v>
      </c>
      <c r="S207" s="45">
        <v>8500</v>
      </c>
    </row>
    <row r="208" spans="1:19">
      <c r="A208" s="5">
        <v>207</v>
      </c>
      <c r="B208" s="66">
        <v>2507142278</v>
      </c>
      <c r="C208" s="66" t="s">
        <v>961</v>
      </c>
      <c r="D208" s="66" t="s">
        <v>405</v>
      </c>
      <c r="E208" s="66" t="s">
        <v>526</v>
      </c>
      <c r="F208" s="66" t="s">
        <v>202</v>
      </c>
      <c r="G208" s="66" t="s">
        <v>52</v>
      </c>
      <c r="H208" s="66" t="s">
        <v>960</v>
      </c>
      <c r="I208" s="66">
        <v>202500644</v>
      </c>
      <c r="J208" s="66"/>
      <c r="K208" s="67">
        <v>45852</v>
      </c>
      <c r="L208" s="67">
        <v>45857</v>
      </c>
      <c r="M208" s="66" t="s">
        <v>45</v>
      </c>
      <c r="N208" s="66" t="s">
        <v>94</v>
      </c>
      <c r="O208" s="63" t="s">
        <v>888</v>
      </c>
      <c r="P208" s="68">
        <v>5</v>
      </c>
      <c r="Q208" s="69">
        <v>4090.7999999999997</v>
      </c>
      <c r="R208" s="70">
        <v>6450</v>
      </c>
      <c r="S208" s="70">
        <v>6450</v>
      </c>
    </row>
    <row r="209" spans="1:19">
      <c r="A209" s="5">
        <v>208</v>
      </c>
      <c r="B209" s="42">
        <v>2507142279</v>
      </c>
      <c r="C209" s="42" t="s">
        <v>962</v>
      </c>
      <c r="D209" s="42" t="s">
        <v>405</v>
      </c>
      <c r="E209" s="42" t="s">
        <v>526</v>
      </c>
      <c r="F209" s="42" t="s">
        <v>202</v>
      </c>
      <c r="G209" s="42" t="s">
        <v>52</v>
      </c>
      <c r="H209" s="42" t="s">
        <v>960</v>
      </c>
      <c r="I209" s="42">
        <v>202500645</v>
      </c>
      <c r="J209" s="42"/>
      <c r="K209" s="43">
        <v>45852</v>
      </c>
      <c r="L209" s="43">
        <v>45857</v>
      </c>
      <c r="M209" s="42" t="s">
        <v>53</v>
      </c>
      <c r="N209" s="42" t="s">
        <v>54</v>
      </c>
      <c r="O209" s="42" t="s">
        <v>41</v>
      </c>
      <c r="P209" s="44">
        <v>5</v>
      </c>
      <c r="Q209" s="65">
        <v>4090.7999999999997</v>
      </c>
      <c r="R209" s="45">
        <v>6450</v>
      </c>
      <c r="S209" s="45">
        <v>6450</v>
      </c>
    </row>
    <row r="210" spans="1:19">
      <c r="A210" s="5">
        <v>209</v>
      </c>
      <c r="B210" s="42">
        <v>2507142280</v>
      </c>
      <c r="C210" s="42" t="s">
        <v>963</v>
      </c>
      <c r="D210" s="42" t="s">
        <v>964</v>
      </c>
      <c r="E210" s="42" t="s">
        <v>965</v>
      </c>
      <c r="F210" s="42" t="s">
        <v>109</v>
      </c>
      <c r="G210" s="42" t="s">
        <v>43</v>
      </c>
      <c r="H210" s="42" t="s">
        <v>960</v>
      </c>
      <c r="I210" s="42">
        <v>202500646</v>
      </c>
      <c r="J210" s="42"/>
      <c r="K210" s="43">
        <v>45852</v>
      </c>
      <c r="L210" s="43">
        <v>45857</v>
      </c>
      <c r="M210" s="42" t="s">
        <v>53</v>
      </c>
      <c r="N210" s="42" t="s">
        <v>54</v>
      </c>
      <c r="O210" s="42" t="s">
        <v>41</v>
      </c>
      <c r="P210" s="44">
        <v>5</v>
      </c>
      <c r="Q210" s="65">
        <v>4090.7999999999997</v>
      </c>
      <c r="R210" s="45">
        <v>11000</v>
      </c>
      <c r="S210" s="45">
        <v>11000</v>
      </c>
    </row>
    <row r="211" spans="1:19">
      <c r="A211" s="5">
        <v>210</v>
      </c>
      <c r="B211" s="42">
        <v>2507142281</v>
      </c>
      <c r="C211" s="42" t="s">
        <v>966</v>
      </c>
      <c r="D211" s="42" t="s">
        <v>60</v>
      </c>
      <c r="E211" s="42" t="s">
        <v>61</v>
      </c>
      <c r="F211" s="42" t="s">
        <v>62</v>
      </c>
      <c r="G211" s="42" t="s">
        <v>52</v>
      </c>
      <c r="H211" s="42" t="s">
        <v>960</v>
      </c>
      <c r="I211" s="42">
        <v>202500647</v>
      </c>
      <c r="J211" s="42"/>
      <c r="K211" s="43">
        <v>45852</v>
      </c>
      <c r="L211" s="43">
        <v>45857</v>
      </c>
      <c r="M211" s="42" t="s">
        <v>53</v>
      </c>
      <c r="N211" s="42" t="s">
        <v>54</v>
      </c>
      <c r="O211" s="42" t="s">
        <v>41</v>
      </c>
      <c r="P211" s="44">
        <v>5</v>
      </c>
      <c r="Q211" s="65">
        <v>4090.7999999999997</v>
      </c>
      <c r="R211" s="45">
        <v>6000</v>
      </c>
      <c r="S211" s="45">
        <v>6000</v>
      </c>
    </row>
    <row r="212" spans="1:19">
      <c r="A212" s="5">
        <v>211</v>
      </c>
      <c r="B212" s="42">
        <v>2507142283</v>
      </c>
      <c r="C212" s="42" t="s">
        <v>967</v>
      </c>
      <c r="D212" s="42" t="s">
        <v>564</v>
      </c>
      <c r="E212" s="42" t="s">
        <v>565</v>
      </c>
      <c r="F212" s="42" t="s">
        <v>71</v>
      </c>
      <c r="G212" s="42" t="s">
        <v>75</v>
      </c>
      <c r="H212" s="42" t="s">
        <v>960</v>
      </c>
      <c r="I212" s="42">
        <v>202500648</v>
      </c>
      <c r="J212" s="42"/>
      <c r="K212" s="43">
        <v>45852</v>
      </c>
      <c r="L212" s="43">
        <v>45857</v>
      </c>
      <c r="M212" s="42" t="s">
        <v>53</v>
      </c>
      <c r="N212" s="42" t="s">
        <v>54</v>
      </c>
      <c r="O212" s="42" t="s">
        <v>41</v>
      </c>
      <c r="P212" s="44">
        <v>5</v>
      </c>
      <c r="Q212" s="65">
        <v>4090.7999999999997</v>
      </c>
      <c r="R212" s="45">
        <v>6500</v>
      </c>
      <c r="S212" s="45">
        <v>6500</v>
      </c>
    </row>
    <row r="213" spans="1:19">
      <c r="A213" s="5">
        <v>212</v>
      </c>
      <c r="B213" s="42">
        <v>2507102531</v>
      </c>
      <c r="C213" s="42" t="s">
        <v>968</v>
      </c>
      <c r="D213" s="42" t="s">
        <v>599</v>
      </c>
      <c r="E213" s="42" t="s">
        <v>969</v>
      </c>
      <c r="F213" s="42" t="s">
        <v>169</v>
      </c>
      <c r="G213" s="42" t="s">
        <v>52</v>
      </c>
      <c r="H213" s="42" t="s">
        <v>960</v>
      </c>
      <c r="I213" s="42">
        <v>202500649</v>
      </c>
      <c r="J213" s="42"/>
      <c r="K213" s="43">
        <v>45852</v>
      </c>
      <c r="L213" s="43">
        <v>45857</v>
      </c>
      <c r="M213" s="42" t="s">
        <v>53</v>
      </c>
      <c r="N213" s="42" t="s">
        <v>54</v>
      </c>
      <c r="O213" s="42" t="s">
        <v>41</v>
      </c>
      <c r="P213" s="44">
        <v>5</v>
      </c>
      <c r="Q213" s="65">
        <v>4090.7999999999997</v>
      </c>
      <c r="R213" s="45">
        <v>7500</v>
      </c>
      <c r="S213" s="45">
        <v>7500</v>
      </c>
    </row>
    <row r="214" spans="1:19">
      <c r="A214" s="5">
        <v>213</v>
      </c>
      <c r="B214" s="42">
        <v>2507142284</v>
      </c>
      <c r="C214" s="42" t="s">
        <v>970</v>
      </c>
      <c r="D214" s="42" t="s">
        <v>537</v>
      </c>
      <c r="E214" s="42" t="s">
        <v>538</v>
      </c>
      <c r="F214" s="42" t="s">
        <v>66</v>
      </c>
      <c r="G214" s="42" t="s">
        <v>75</v>
      </c>
      <c r="H214" s="42" t="s">
        <v>960</v>
      </c>
      <c r="I214" s="42">
        <v>202500650</v>
      </c>
      <c r="J214" s="42"/>
      <c r="K214" s="43">
        <v>45852</v>
      </c>
      <c r="L214" s="43">
        <v>45857</v>
      </c>
      <c r="M214" s="42" t="s">
        <v>53</v>
      </c>
      <c r="N214" s="42" t="s">
        <v>54</v>
      </c>
      <c r="O214" s="42" t="s">
        <v>41</v>
      </c>
      <c r="P214" s="44">
        <v>5</v>
      </c>
      <c r="Q214" s="65">
        <v>4090.7999999999997</v>
      </c>
      <c r="R214" s="45">
        <v>4900</v>
      </c>
      <c r="S214" s="45">
        <v>4900</v>
      </c>
    </row>
    <row r="215" spans="1:19">
      <c r="A215" s="5">
        <v>214</v>
      </c>
      <c r="B215" s="42">
        <v>2507150088</v>
      </c>
      <c r="C215" s="42" t="s">
        <v>971</v>
      </c>
      <c r="D215" s="42" t="s">
        <v>745</v>
      </c>
      <c r="E215" s="42" t="s">
        <v>972</v>
      </c>
      <c r="F215" s="42" t="s">
        <v>202</v>
      </c>
      <c r="G215" s="42" t="s">
        <v>52</v>
      </c>
      <c r="H215" s="42" t="s">
        <v>960</v>
      </c>
      <c r="I215" s="42">
        <v>202500651</v>
      </c>
      <c r="J215" s="42"/>
      <c r="K215" s="43">
        <v>45853</v>
      </c>
      <c r="L215" s="43">
        <v>45857</v>
      </c>
      <c r="M215" s="42" t="s">
        <v>53</v>
      </c>
      <c r="N215" s="42" t="s">
        <v>54</v>
      </c>
      <c r="O215" s="42" t="s">
        <v>41</v>
      </c>
      <c r="P215" s="44">
        <v>4</v>
      </c>
      <c r="Q215" s="65">
        <v>4090.7999999999997</v>
      </c>
      <c r="R215" s="45">
        <v>8000</v>
      </c>
      <c r="S215" s="45">
        <v>8000</v>
      </c>
    </row>
    <row r="216" spans="1:19">
      <c r="A216" s="5">
        <v>215</v>
      </c>
      <c r="B216" s="42">
        <v>2507150091</v>
      </c>
      <c r="C216" s="42" t="s">
        <v>973</v>
      </c>
      <c r="D216" s="42" t="s">
        <v>745</v>
      </c>
      <c r="E216" s="42" t="s">
        <v>972</v>
      </c>
      <c r="F216" s="42" t="s">
        <v>202</v>
      </c>
      <c r="G216" s="42" t="s">
        <v>75</v>
      </c>
      <c r="H216" s="42" t="s">
        <v>960</v>
      </c>
      <c r="I216" s="42">
        <v>202500652</v>
      </c>
      <c r="J216" s="42"/>
      <c r="K216" s="43">
        <v>45853</v>
      </c>
      <c r="L216" s="43">
        <v>45857</v>
      </c>
      <c r="M216" s="42" t="s">
        <v>53</v>
      </c>
      <c r="N216" s="42" t="s">
        <v>54</v>
      </c>
      <c r="O216" s="42" t="s">
        <v>41</v>
      </c>
      <c r="P216" s="44">
        <v>4</v>
      </c>
      <c r="Q216" s="65">
        <v>4090.7999999999997</v>
      </c>
      <c r="R216" s="45">
        <v>4900</v>
      </c>
      <c r="S216" s="45">
        <v>4900</v>
      </c>
    </row>
    <row r="217" spans="1:19">
      <c r="A217" s="5">
        <v>216</v>
      </c>
      <c r="B217" s="42">
        <v>2507153363</v>
      </c>
      <c r="C217" s="42" t="s">
        <v>974</v>
      </c>
      <c r="D217" s="42" t="s">
        <v>321</v>
      </c>
      <c r="E217" s="42" t="s">
        <v>420</v>
      </c>
      <c r="F217" s="42" t="s">
        <v>202</v>
      </c>
      <c r="G217" s="42" t="s">
        <v>75</v>
      </c>
      <c r="H217" s="42" t="s">
        <v>960</v>
      </c>
      <c r="I217" s="42">
        <v>202500653</v>
      </c>
      <c r="J217" s="42"/>
      <c r="K217" s="43">
        <v>45853</v>
      </c>
      <c r="L217" s="43">
        <v>45857</v>
      </c>
      <c r="M217" s="42" t="s">
        <v>53</v>
      </c>
      <c r="N217" s="42" t="s">
        <v>54</v>
      </c>
      <c r="O217" s="42" t="s">
        <v>41</v>
      </c>
      <c r="P217" s="44">
        <v>4</v>
      </c>
      <c r="Q217" s="65">
        <v>4090.7999999999997</v>
      </c>
      <c r="R217" s="45">
        <v>4900</v>
      </c>
      <c r="S217" s="45">
        <v>4900</v>
      </c>
    </row>
    <row r="218" spans="1:19">
      <c r="A218" s="5">
        <v>217</v>
      </c>
      <c r="B218" s="42">
        <v>2507151324</v>
      </c>
      <c r="C218" s="42" t="s">
        <v>975</v>
      </c>
      <c r="D218" s="42" t="s">
        <v>40</v>
      </c>
      <c r="E218" s="42" t="s">
        <v>41</v>
      </c>
      <c r="F218" s="42" t="s">
        <v>42</v>
      </c>
      <c r="G218" s="42" t="s">
        <v>75</v>
      </c>
      <c r="H218" s="42" t="s">
        <v>960</v>
      </c>
      <c r="I218" s="42">
        <v>202500654</v>
      </c>
      <c r="J218" s="42"/>
      <c r="K218" s="43">
        <v>45853</v>
      </c>
      <c r="L218" s="43">
        <v>45857</v>
      </c>
      <c r="M218" s="42" t="s">
        <v>53</v>
      </c>
      <c r="N218" s="42" t="s">
        <v>54</v>
      </c>
      <c r="O218" s="42" t="s">
        <v>41</v>
      </c>
      <c r="P218" s="44">
        <v>4</v>
      </c>
      <c r="Q218" s="65">
        <v>4090.7999999999997</v>
      </c>
      <c r="R218" s="45">
        <v>6500</v>
      </c>
      <c r="S218" s="45">
        <v>6500</v>
      </c>
    </row>
    <row r="219" spans="1:19">
      <c r="A219" s="5">
        <v>218</v>
      </c>
      <c r="B219" s="42">
        <v>2507153378</v>
      </c>
      <c r="C219" s="42" t="s">
        <v>976</v>
      </c>
      <c r="D219" s="42" t="s">
        <v>977</v>
      </c>
      <c r="E219" s="42" t="s">
        <v>978</v>
      </c>
      <c r="F219" s="42" t="s">
        <v>51</v>
      </c>
      <c r="G219" s="42" t="s">
        <v>43</v>
      </c>
      <c r="H219" s="42" t="s">
        <v>960</v>
      </c>
      <c r="I219" s="42">
        <v>202500655</v>
      </c>
      <c r="J219" s="42"/>
      <c r="K219" s="43">
        <v>45853</v>
      </c>
      <c r="L219" s="43">
        <v>45857</v>
      </c>
      <c r="M219" s="42" t="s">
        <v>53</v>
      </c>
      <c r="N219" s="42" t="s">
        <v>54</v>
      </c>
      <c r="O219" s="42" t="s">
        <v>41</v>
      </c>
      <c r="P219" s="44">
        <v>4</v>
      </c>
      <c r="Q219" s="65">
        <v>4090.7999999999997</v>
      </c>
      <c r="R219" s="45">
        <v>11000</v>
      </c>
      <c r="S219" s="45">
        <v>11000</v>
      </c>
    </row>
    <row r="220" spans="1:19">
      <c r="A220" s="5">
        <v>219</v>
      </c>
      <c r="B220" s="42">
        <v>2507153393</v>
      </c>
      <c r="C220" s="42" t="s">
        <v>979</v>
      </c>
      <c r="D220" s="42" t="s">
        <v>564</v>
      </c>
      <c r="E220" s="42" t="s">
        <v>589</v>
      </c>
      <c r="F220" s="42" t="s">
        <v>71</v>
      </c>
      <c r="G220" s="42" t="s">
        <v>52</v>
      </c>
      <c r="H220" s="42" t="s">
        <v>960</v>
      </c>
      <c r="I220" s="42">
        <v>202500656</v>
      </c>
      <c r="J220" s="42"/>
      <c r="K220" s="43">
        <v>45853</v>
      </c>
      <c r="L220" s="43">
        <v>45857</v>
      </c>
      <c r="M220" s="42" t="s">
        <v>53</v>
      </c>
      <c r="N220" s="42" t="s">
        <v>54</v>
      </c>
      <c r="O220" s="42" t="s">
        <v>41</v>
      </c>
      <c r="P220" s="44">
        <v>4</v>
      </c>
      <c r="Q220" s="65">
        <v>4090.7999999999997</v>
      </c>
      <c r="R220" s="45">
        <v>8500</v>
      </c>
      <c r="S220" s="45">
        <v>8500</v>
      </c>
    </row>
    <row r="221" spans="1:19">
      <c r="A221" s="5">
        <v>220</v>
      </c>
      <c r="B221" s="42">
        <v>2507160162</v>
      </c>
      <c r="C221" s="42" t="s">
        <v>980</v>
      </c>
      <c r="D221" s="42" t="s">
        <v>64</v>
      </c>
      <c r="E221" s="42" t="s">
        <v>65</v>
      </c>
      <c r="F221" s="42" t="s">
        <v>66</v>
      </c>
      <c r="G221" s="42" t="s">
        <v>52</v>
      </c>
      <c r="H221" s="42" t="s">
        <v>960</v>
      </c>
      <c r="I221" s="42">
        <v>202500657</v>
      </c>
      <c r="J221" s="42"/>
      <c r="K221" s="43">
        <v>45854</v>
      </c>
      <c r="L221" s="43">
        <v>45857</v>
      </c>
      <c r="M221" s="42" t="s">
        <v>53</v>
      </c>
      <c r="N221" s="42" t="s">
        <v>54</v>
      </c>
      <c r="O221" s="42" t="s">
        <v>41</v>
      </c>
      <c r="P221" s="44">
        <v>3</v>
      </c>
      <c r="Q221" s="65">
        <v>4090.7999999999997</v>
      </c>
      <c r="R221" s="45">
        <v>5500</v>
      </c>
      <c r="S221" s="45">
        <v>5500</v>
      </c>
    </row>
    <row r="222" spans="1:19">
      <c r="A222" s="5">
        <v>221</v>
      </c>
      <c r="B222" s="71">
        <v>2506232301</v>
      </c>
      <c r="C222" s="71" t="s">
        <v>638</v>
      </c>
      <c r="D222" s="71" t="s">
        <v>528</v>
      </c>
      <c r="E222" s="71" t="s">
        <v>639</v>
      </c>
      <c r="F222" s="71" t="s">
        <v>202</v>
      </c>
      <c r="G222" s="71" t="s">
        <v>52</v>
      </c>
      <c r="H222" s="71" t="s">
        <v>960</v>
      </c>
      <c r="I222" s="71">
        <v>202500658</v>
      </c>
      <c r="J222" s="71"/>
      <c r="K222" s="72">
        <v>45854</v>
      </c>
      <c r="L222" s="72">
        <v>45857</v>
      </c>
      <c r="M222" s="71" t="s">
        <v>53</v>
      </c>
      <c r="N222" s="71" t="s">
        <v>54</v>
      </c>
      <c r="O222" s="71" t="s">
        <v>41</v>
      </c>
      <c r="P222" s="73">
        <v>3</v>
      </c>
      <c r="Q222" s="74">
        <v>4090.7999999999997</v>
      </c>
      <c r="R222" s="75">
        <v>0</v>
      </c>
      <c r="S222" s="75">
        <f>R222-Q222</f>
        <v>-4090.7999999999997</v>
      </c>
    </row>
    <row r="223" spans="1:19">
      <c r="A223" s="5">
        <v>222</v>
      </c>
      <c r="B223" s="42">
        <v>2507163278</v>
      </c>
      <c r="C223" s="42" t="s">
        <v>981</v>
      </c>
      <c r="D223" s="42" t="s">
        <v>572</v>
      </c>
      <c r="E223" s="42" t="s">
        <v>765</v>
      </c>
      <c r="F223" s="42" t="s">
        <v>87</v>
      </c>
      <c r="G223" s="42" t="s">
        <v>52</v>
      </c>
      <c r="H223" s="42" t="s">
        <v>960</v>
      </c>
      <c r="I223" s="42">
        <v>202500659</v>
      </c>
      <c r="J223" s="42"/>
      <c r="K223" s="43">
        <v>45854</v>
      </c>
      <c r="L223" s="43">
        <v>45857</v>
      </c>
      <c r="M223" s="42" t="s">
        <v>53</v>
      </c>
      <c r="N223" s="42" t="s">
        <v>54</v>
      </c>
      <c r="O223" s="42" t="s">
        <v>41</v>
      </c>
      <c r="P223" s="44">
        <v>3</v>
      </c>
      <c r="Q223" s="65">
        <v>4090.7999999999997</v>
      </c>
      <c r="R223" s="45">
        <v>6000</v>
      </c>
      <c r="S223" s="45">
        <v>6000</v>
      </c>
    </row>
    <row r="224" spans="1:19">
      <c r="A224" s="5">
        <v>223</v>
      </c>
      <c r="B224" s="42">
        <v>2507163285</v>
      </c>
      <c r="C224" s="42" t="s">
        <v>982</v>
      </c>
      <c r="D224" s="42" t="s">
        <v>354</v>
      </c>
      <c r="E224" s="42" t="s">
        <v>355</v>
      </c>
      <c r="F224" s="42" t="s">
        <v>141</v>
      </c>
      <c r="G224" s="42" t="s">
        <v>75</v>
      </c>
      <c r="H224" s="42" t="s">
        <v>960</v>
      </c>
      <c r="I224" s="42">
        <v>202500660</v>
      </c>
      <c r="J224" s="42"/>
      <c r="K224" s="43">
        <v>45854</v>
      </c>
      <c r="L224" s="43">
        <v>45857</v>
      </c>
      <c r="M224" s="42" t="s">
        <v>53</v>
      </c>
      <c r="N224" s="42" t="s">
        <v>54</v>
      </c>
      <c r="O224" s="42" t="s">
        <v>41</v>
      </c>
      <c r="P224" s="44">
        <v>3</v>
      </c>
      <c r="Q224" s="65">
        <v>4090.7999999999997</v>
      </c>
      <c r="R224" s="45">
        <v>4900</v>
      </c>
      <c r="S224" s="45">
        <v>4900</v>
      </c>
    </row>
    <row r="225" spans="1:19">
      <c r="A225" s="5">
        <v>224</v>
      </c>
      <c r="B225" s="42">
        <v>2507163289</v>
      </c>
      <c r="C225" s="42" t="s">
        <v>983</v>
      </c>
      <c r="D225" s="42" t="s">
        <v>745</v>
      </c>
      <c r="E225" s="42" t="s">
        <v>972</v>
      </c>
      <c r="F225" s="42" t="s">
        <v>202</v>
      </c>
      <c r="G225" s="42" t="s">
        <v>75</v>
      </c>
      <c r="H225" s="42" t="s">
        <v>960</v>
      </c>
      <c r="I225" s="42">
        <v>202500661</v>
      </c>
      <c r="J225" s="42"/>
      <c r="K225" s="43">
        <v>45854</v>
      </c>
      <c r="L225" s="43">
        <v>45857</v>
      </c>
      <c r="M225" s="42" t="s">
        <v>53</v>
      </c>
      <c r="N225" s="42" t="s">
        <v>54</v>
      </c>
      <c r="O225" s="42" t="s">
        <v>41</v>
      </c>
      <c r="P225" s="44">
        <v>3</v>
      </c>
      <c r="Q225" s="65">
        <v>4090.7999999999997</v>
      </c>
      <c r="R225" s="45">
        <v>4900</v>
      </c>
      <c r="S225" s="45">
        <v>4900</v>
      </c>
    </row>
    <row r="226" spans="1:19">
      <c r="A226" s="5">
        <v>225</v>
      </c>
      <c r="B226" s="42">
        <v>2507163290</v>
      </c>
      <c r="C226" s="42" t="s">
        <v>984</v>
      </c>
      <c r="D226" s="42" t="s">
        <v>599</v>
      </c>
      <c r="E226" s="42" t="s">
        <v>969</v>
      </c>
      <c r="F226" s="42" t="s">
        <v>169</v>
      </c>
      <c r="G226" s="42" t="s">
        <v>52</v>
      </c>
      <c r="H226" s="42" t="s">
        <v>960</v>
      </c>
      <c r="I226" s="42">
        <v>202500662</v>
      </c>
      <c r="J226" s="42"/>
      <c r="K226" s="43">
        <v>45854</v>
      </c>
      <c r="L226" s="43">
        <v>45857</v>
      </c>
      <c r="M226" s="42" t="s">
        <v>53</v>
      </c>
      <c r="N226" s="42" t="s">
        <v>54</v>
      </c>
      <c r="O226" s="42" t="s">
        <v>41</v>
      </c>
      <c r="P226" s="44">
        <v>3</v>
      </c>
      <c r="Q226" s="65">
        <v>4090.7999999999997</v>
      </c>
      <c r="R226" s="45">
        <v>7500</v>
      </c>
      <c r="S226" s="45">
        <v>7500</v>
      </c>
    </row>
    <row r="227" spans="1:19">
      <c r="A227" s="5">
        <v>226</v>
      </c>
      <c r="B227" s="42">
        <v>2507163291</v>
      </c>
      <c r="C227" s="42" t="s">
        <v>985</v>
      </c>
      <c r="D227" s="42" t="s">
        <v>599</v>
      </c>
      <c r="E227" s="42" t="s">
        <v>969</v>
      </c>
      <c r="F227" s="42" t="s">
        <v>169</v>
      </c>
      <c r="G227" s="42" t="s">
        <v>75</v>
      </c>
      <c r="H227" s="42" t="s">
        <v>960</v>
      </c>
      <c r="I227" s="42">
        <v>202500663</v>
      </c>
      <c r="J227" s="42"/>
      <c r="K227" s="43">
        <v>45854</v>
      </c>
      <c r="L227" s="43">
        <v>45857</v>
      </c>
      <c r="M227" s="42" t="s">
        <v>53</v>
      </c>
      <c r="N227" s="42" t="s">
        <v>54</v>
      </c>
      <c r="O227" s="42" t="s">
        <v>41</v>
      </c>
      <c r="P227" s="44">
        <v>3</v>
      </c>
      <c r="Q227" s="65">
        <v>4090.7999999999997</v>
      </c>
      <c r="R227" s="45">
        <v>5000</v>
      </c>
      <c r="S227" s="45">
        <v>5000</v>
      </c>
    </row>
    <row r="228" spans="1:19">
      <c r="A228" s="5">
        <v>227</v>
      </c>
      <c r="B228" s="50">
        <v>2507142266</v>
      </c>
      <c r="C228" s="50" t="s">
        <v>953</v>
      </c>
      <c r="D228" s="50" t="s">
        <v>77</v>
      </c>
      <c r="E228" s="50" t="s">
        <v>78</v>
      </c>
      <c r="F228" s="50" t="s">
        <v>79</v>
      </c>
      <c r="G228" s="50" t="s">
        <v>52</v>
      </c>
      <c r="H228" s="50" t="s">
        <v>960</v>
      </c>
      <c r="I228" s="50">
        <v>202500664</v>
      </c>
      <c r="J228" s="50"/>
      <c r="K228" s="51">
        <v>45854</v>
      </c>
      <c r="L228" s="51">
        <v>45857</v>
      </c>
      <c r="M228" s="50" t="s">
        <v>53</v>
      </c>
      <c r="N228" s="50" t="s">
        <v>54</v>
      </c>
      <c r="O228" s="50" t="s">
        <v>41</v>
      </c>
      <c r="P228" s="52">
        <v>3</v>
      </c>
      <c r="Q228" s="76">
        <v>4090.7999999999997</v>
      </c>
      <c r="R228" s="24">
        <v>0</v>
      </c>
      <c r="S228" s="24">
        <f t="shared" ref="S228:S291" si="12">R228-Q228</f>
        <v>-4090.7999999999997</v>
      </c>
    </row>
    <row r="229" spans="1:19">
      <c r="A229" s="5">
        <v>228</v>
      </c>
      <c r="B229" s="5" t="s">
        <v>986</v>
      </c>
      <c r="C229" s="5"/>
      <c r="D229" s="5"/>
      <c r="E229" s="5"/>
      <c r="F229" s="5"/>
      <c r="G229" s="42" t="s">
        <v>52</v>
      </c>
      <c r="H229" s="5"/>
      <c r="I229" s="5"/>
      <c r="J229" s="5"/>
      <c r="K229" s="5"/>
      <c r="L229" s="5"/>
      <c r="M229" s="5"/>
      <c r="N229" s="5"/>
      <c r="O229" s="5"/>
      <c r="P229" s="5"/>
      <c r="Q229" s="41">
        <v>4090.7999999999997</v>
      </c>
      <c r="R229" s="41">
        <v>0</v>
      </c>
      <c r="S229" s="41">
        <f t="shared" si="12"/>
        <v>-4090.7999999999997</v>
      </c>
    </row>
    <row r="230" spans="1:19">
      <c r="A230" s="5">
        <v>229</v>
      </c>
      <c r="B230" s="5" t="s">
        <v>987</v>
      </c>
      <c r="C230" s="5"/>
      <c r="D230" s="5"/>
      <c r="E230" s="5"/>
      <c r="F230" s="5"/>
      <c r="G230" s="42" t="s">
        <v>52</v>
      </c>
      <c r="H230" s="5"/>
      <c r="I230" s="5"/>
      <c r="J230" s="5"/>
      <c r="K230" s="5"/>
      <c r="L230" s="5"/>
      <c r="M230" s="5"/>
      <c r="N230" s="5"/>
      <c r="O230" s="5"/>
      <c r="P230" s="5"/>
      <c r="Q230" s="41">
        <v>4090.7999999999997</v>
      </c>
      <c r="R230" s="41">
        <v>0</v>
      </c>
      <c r="S230" s="41">
        <f t="shared" si="12"/>
        <v>-4090.7999999999997</v>
      </c>
    </row>
    <row r="231" spans="1:19">
      <c r="A231" s="5">
        <v>230</v>
      </c>
      <c r="B231" s="5">
        <v>2507173091</v>
      </c>
      <c r="C231" s="5" t="s">
        <v>988</v>
      </c>
      <c r="D231" s="5" t="s">
        <v>64</v>
      </c>
      <c r="E231" s="5" t="s">
        <v>65</v>
      </c>
      <c r="F231" s="5" t="s">
        <v>66</v>
      </c>
      <c r="G231" s="5" t="s">
        <v>52</v>
      </c>
      <c r="H231" s="5" t="s">
        <v>989</v>
      </c>
      <c r="I231" s="5">
        <v>202500665</v>
      </c>
      <c r="J231" s="5"/>
      <c r="K231" s="6">
        <v>45855</v>
      </c>
      <c r="L231" s="6">
        <v>45860</v>
      </c>
      <c r="M231" s="5" t="s">
        <v>53</v>
      </c>
      <c r="N231" s="5" t="s">
        <v>54</v>
      </c>
      <c r="O231" s="5" t="s">
        <v>41</v>
      </c>
      <c r="P231" s="30">
        <f t="shared" ref="P231:P250" si="13">L231-K231</f>
        <v>5</v>
      </c>
      <c r="Q231" s="41">
        <v>4425.4181818181814</v>
      </c>
      <c r="R231" s="41">
        <v>5500</v>
      </c>
      <c r="S231" s="41">
        <f t="shared" si="12"/>
        <v>1074.5818181818186</v>
      </c>
    </row>
    <row r="232" spans="1:19">
      <c r="A232" s="5">
        <v>231</v>
      </c>
      <c r="B232" s="5">
        <v>2507173100</v>
      </c>
      <c r="C232" s="5" t="s">
        <v>990</v>
      </c>
      <c r="D232" s="5" t="s">
        <v>908</v>
      </c>
      <c r="E232" s="5" t="s">
        <v>909</v>
      </c>
      <c r="F232" s="5" t="s">
        <v>362</v>
      </c>
      <c r="G232" s="5" t="s">
        <v>43</v>
      </c>
      <c r="H232" s="5" t="s">
        <v>989</v>
      </c>
      <c r="I232" s="5">
        <v>202500666</v>
      </c>
      <c r="J232" s="5"/>
      <c r="K232" s="6">
        <v>45855</v>
      </c>
      <c r="L232" s="6">
        <v>45860</v>
      </c>
      <c r="M232" s="5" t="s">
        <v>53</v>
      </c>
      <c r="N232" s="5" t="s">
        <v>54</v>
      </c>
      <c r="O232" s="5" t="s">
        <v>41</v>
      </c>
      <c r="P232" s="30">
        <f t="shared" si="13"/>
        <v>5</v>
      </c>
      <c r="Q232" s="41">
        <v>4425.4181818181814</v>
      </c>
      <c r="R232" s="41">
        <v>10500</v>
      </c>
      <c r="S232" s="41">
        <f t="shared" si="12"/>
        <v>6074.5818181818186</v>
      </c>
    </row>
    <row r="233" spans="1:19">
      <c r="A233" s="5">
        <v>232</v>
      </c>
      <c r="B233" s="5">
        <v>2507173107</v>
      </c>
      <c r="C233" s="5" t="s">
        <v>991</v>
      </c>
      <c r="D233" s="5" t="s">
        <v>334</v>
      </c>
      <c r="E233" s="5" t="s">
        <v>335</v>
      </c>
      <c r="F233" s="5" t="s">
        <v>71</v>
      </c>
      <c r="G233" s="5" t="s">
        <v>43</v>
      </c>
      <c r="H233" s="5" t="s">
        <v>989</v>
      </c>
      <c r="I233" s="5">
        <v>202500667</v>
      </c>
      <c r="J233" s="5"/>
      <c r="K233" s="6">
        <v>45855</v>
      </c>
      <c r="L233" s="6">
        <v>45860</v>
      </c>
      <c r="M233" s="5" t="s">
        <v>53</v>
      </c>
      <c r="N233" s="5" t="s">
        <v>54</v>
      </c>
      <c r="O233" s="5" t="s">
        <v>41</v>
      </c>
      <c r="P233" s="30">
        <f t="shared" si="13"/>
        <v>5</v>
      </c>
      <c r="Q233" s="41">
        <v>4425.4181818181814</v>
      </c>
      <c r="R233" s="41">
        <v>12000</v>
      </c>
      <c r="S233" s="41">
        <f t="shared" si="12"/>
        <v>7574.5818181818186</v>
      </c>
    </row>
    <row r="234" spans="1:19">
      <c r="A234" s="5">
        <v>233</v>
      </c>
      <c r="B234" s="5">
        <v>2507173110</v>
      </c>
      <c r="C234" s="5" t="s">
        <v>992</v>
      </c>
      <c r="D234" s="5" t="s">
        <v>49</v>
      </c>
      <c r="E234" s="5" t="s">
        <v>50</v>
      </c>
      <c r="F234" s="5" t="s">
        <v>51</v>
      </c>
      <c r="G234" s="5" t="s">
        <v>52</v>
      </c>
      <c r="H234" s="5" t="s">
        <v>989</v>
      </c>
      <c r="I234" s="5">
        <v>202500668</v>
      </c>
      <c r="J234" s="5"/>
      <c r="K234" s="6">
        <v>45855</v>
      </c>
      <c r="L234" s="6">
        <v>45860</v>
      </c>
      <c r="M234" s="5" t="s">
        <v>53</v>
      </c>
      <c r="N234" s="5" t="s">
        <v>54</v>
      </c>
      <c r="O234" s="5" t="s">
        <v>41</v>
      </c>
      <c r="P234" s="30">
        <f t="shared" si="13"/>
        <v>5</v>
      </c>
      <c r="Q234" s="41">
        <v>4425.4181818181814</v>
      </c>
      <c r="R234" s="41">
        <v>5500</v>
      </c>
      <c r="S234" s="41">
        <f t="shared" si="12"/>
        <v>1074.5818181818186</v>
      </c>
    </row>
    <row r="235" spans="1:19">
      <c r="A235" s="5">
        <v>234</v>
      </c>
      <c r="B235" s="5">
        <v>2507173112</v>
      </c>
      <c r="C235" s="5" t="s">
        <v>993</v>
      </c>
      <c r="D235" s="5" t="s">
        <v>136</v>
      </c>
      <c r="E235" s="5" t="s">
        <v>137</v>
      </c>
      <c r="F235" s="5" t="s">
        <v>87</v>
      </c>
      <c r="G235" s="5" t="s">
        <v>52</v>
      </c>
      <c r="H235" s="5" t="s">
        <v>989</v>
      </c>
      <c r="I235" s="5">
        <v>202500669</v>
      </c>
      <c r="J235" s="5"/>
      <c r="K235" s="6">
        <v>45855</v>
      </c>
      <c r="L235" s="6">
        <v>45860</v>
      </c>
      <c r="M235" s="5" t="s">
        <v>53</v>
      </c>
      <c r="N235" s="5" t="s">
        <v>54</v>
      </c>
      <c r="O235" s="5" t="s">
        <v>41</v>
      </c>
      <c r="P235" s="30">
        <f t="shared" si="13"/>
        <v>5</v>
      </c>
      <c r="Q235" s="41">
        <v>4425.4181818181814</v>
      </c>
      <c r="R235" s="41">
        <v>6000</v>
      </c>
      <c r="S235" s="41">
        <f t="shared" si="12"/>
        <v>1574.5818181818186</v>
      </c>
    </row>
    <row r="236" spans="1:19">
      <c r="A236" s="5">
        <v>235</v>
      </c>
      <c r="B236" s="5">
        <v>2507173113</v>
      </c>
      <c r="C236" s="5" t="s">
        <v>994</v>
      </c>
      <c r="D236" s="5" t="s">
        <v>964</v>
      </c>
      <c r="E236" s="5" t="s">
        <v>965</v>
      </c>
      <c r="F236" s="5" t="s">
        <v>109</v>
      </c>
      <c r="G236" s="5" t="s">
        <v>43</v>
      </c>
      <c r="H236" s="5" t="s">
        <v>989</v>
      </c>
      <c r="I236" s="5">
        <v>202500670</v>
      </c>
      <c r="J236" s="5"/>
      <c r="K236" s="6">
        <v>45855</v>
      </c>
      <c r="L236" s="6">
        <v>45860</v>
      </c>
      <c r="M236" s="5" t="s">
        <v>53</v>
      </c>
      <c r="N236" s="5" t="s">
        <v>54</v>
      </c>
      <c r="O236" s="5" t="s">
        <v>41</v>
      </c>
      <c r="P236" s="30">
        <f t="shared" si="13"/>
        <v>5</v>
      </c>
      <c r="Q236" s="41">
        <v>4425.4181818181814</v>
      </c>
      <c r="R236" s="41">
        <v>11000</v>
      </c>
      <c r="S236" s="41">
        <f t="shared" si="12"/>
        <v>6574.5818181818186</v>
      </c>
    </row>
    <row r="237" spans="1:19">
      <c r="A237" s="5">
        <v>236</v>
      </c>
      <c r="B237" s="5">
        <v>2507173116</v>
      </c>
      <c r="C237" s="5" t="s">
        <v>995</v>
      </c>
      <c r="D237" s="5" t="s">
        <v>474</v>
      </c>
      <c r="E237" s="5" t="s">
        <v>475</v>
      </c>
      <c r="F237" s="5" t="s">
        <v>169</v>
      </c>
      <c r="G237" s="5" t="s">
        <v>75</v>
      </c>
      <c r="H237" s="5" t="s">
        <v>989</v>
      </c>
      <c r="I237" s="5">
        <v>202500671</v>
      </c>
      <c r="J237" s="5"/>
      <c r="K237" s="6">
        <v>45855</v>
      </c>
      <c r="L237" s="6">
        <v>45860</v>
      </c>
      <c r="M237" s="5" t="s">
        <v>53</v>
      </c>
      <c r="N237" s="5" t="s">
        <v>54</v>
      </c>
      <c r="O237" s="5" t="s">
        <v>41</v>
      </c>
      <c r="P237" s="30">
        <f t="shared" si="13"/>
        <v>5</v>
      </c>
      <c r="Q237" s="41">
        <v>4425.4181818181814</v>
      </c>
      <c r="R237" s="41">
        <v>4500</v>
      </c>
      <c r="S237" s="41">
        <f t="shared" si="12"/>
        <v>74.581818181818562</v>
      </c>
    </row>
    <row r="238" spans="1:19">
      <c r="A238" s="5">
        <v>237</v>
      </c>
      <c r="B238" s="22">
        <v>2507093190</v>
      </c>
      <c r="C238" s="22" t="s">
        <v>887</v>
      </c>
      <c r="D238" s="22" t="s">
        <v>405</v>
      </c>
      <c r="E238" s="22" t="s">
        <v>526</v>
      </c>
      <c r="F238" s="22" t="s">
        <v>202</v>
      </c>
      <c r="G238" s="22" t="s">
        <v>52</v>
      </c>
      <c r="H238" s="22" t="s">
        <v>989</v>
      </c>
      <c r="I238" s="22">
        <v>202500672</v>
      </c>
      <c r="J238" s="22"/>
      <c r="K238" s="23">
        <v>45855</v>
      </c>
      <c r="L238" s="23">
        <v>45860</v>
      </c>
      <c r="M238" s="22" t="s">
        <v>53</v>
      </c>
      <c r="N238" s="22" t="s">
        <v>54</v>
      </c>
      <c r="O238" s="22" t="s">
        <v>41</v>
      </c>
      <c r="P238" s="34">
        <f t="shared" si="13"/>
        <v>5</v>
      </c>
      <c r="Q238" s="24">
        <v>4425.4181818181814</v>
      </c>
      <c r="R238" s="24">
        <v>0</v>
      </c>
      <c r="S238" s="24">
        <f t="shared" si="12"/>
        <v>-4425.4181818181814</v>
      </c>
    </row>
    <row r="239" spans="1:19">
      <c r="A239" s="5">
        <v>238</v>
      </c>
      <c r="B239" s="5">
        <v>2507180485</v>
      </c>
      <c r="C239" s="5" t="s">
        <v>996</v>
      </c>
      <c r="D239" s="5" t="s">
        <v>733</v>
      </c>
      <c r="E239" s="5" t="s">
        <v>997</v>
      </c>
      <c r="F239" s="5" t="s">
        <v>51</v>
      </c>
      <c r="G239" s="5" t="s">
        <v>75</v>
      </c>
      <c r="H239" s="5" t="s">
        <v>989</v>
      </c>
      <c r="I239" s="5">
        <v>202500673</v>
      </c>
      <c r="J239" s="5"/>
      <c r="K239" s="6">
        <v>45856</v>
      </c>
      <c r="L239" s="6">
        <v>45860</v>
      </c>
      <c r="M239" s="5" t="s">
        <v>53</v>
      </c>
      <c r="N239" s="5" t="s">
        <v>54</v>
      </c>
      <c r="O239" s="5" t="s">
        <v>41</v>
      </c>
      <c r="P239" s="30">
        <f t="shared" si="13"/>
        <v>4</v>
      </c>
      <c r="Q239" s="41">
        <v>4425.4181818181814</v>
      </c>
      <c r="R239" s="41">
        <v>4900</v>
      </c>
      <c r="S239" s="41">
        <f t="shared" si="12"/>
        <v>474.58181818181856</v>
      </c>
    </row>
    <row r="240" spans="1:19">
      <c r="A240" s="5">
        <v>239</v>
      </c>
      <c r="B240" s="5">
        <v>2507180498</v>
      </c>
      <c r="C240" s="5" t="s">
        <v>998</v>
      </c>
      <c r="D240" s="5" t="s">
        <v>810</v>
      </c>
      <c r="E240" s="5" t="s">
        <v>851</v>
      </c>
      <c r="F240" s="5" t="s">
        <v>457</v>
      </c>
      <c r="G240" s="5" t="s">
        <v>52</v>
      </c>
      <c r="H240" s="5" t="s">
        <v>989</v>
      </c>
      <c r="I240" s="5">
        <v>202500674</v>
      </c>
      <c r="J240" s="5"/>
      <c r="K240" s="6">
        <v>45856</v>
      </c>
      <c r="L240" s="6">
        <v>45860</v>
      </c>
      <c r="M240" s="5" t="s">
        <v>53</v>
      </c>
      <c r="N240" s="5" t="s">
        <v>54</v>
      </c>
      <c r="O240" s="5" t="s">
        <v>41</v>
      </c>
      <c r="P240" s="30">
        <f t="shared" si="13"/>
        <v>4</v>
      </c>
      <c r="Q240" s="41">
        <v>4425.4181818181814</v>
      </c>
      <c r="R240" s="41">
        <v>5200</v>
      </c>
      <c r="S240" s="41">
        <f t="shared" si="12"/>
        <v>774.58181818181856</v>
      </c>
    </row>
    <row r="241" spans="1:19">
      <c r="A241" s="5">
        <v>240</v>
      </c>
      <c r="B241" s="5">
        <v>2507180509</v>
      </c>
      <c r="C241" s="5" t="s">
        <v>999</v>
      </c>
      <c r="D241" s="5" t="s">
        <v>733</v>
      </c>
      <c r="E241" s="5" t="s">
        <v>1000</v>
      </c>
      <c r="F241" s="5" t="s">
        <v>51</v>
      </c>
      <c r="G241" s="5" t="s">
        <v>52</v>
      </c>
      <c r="H241" s="5" t="s">
        <v>989</v>
      </c>
      <c r="I241" s="5">
        <v>202500675</v>
      </c>
      <c r="J241" s="5"/>
      <c r="K241" s="6">
        <v>45856</v>
      </c>
      <c r="L241" s="6">
        <v>45860</v>
      </c>
      <c r="M241" s="5" t="s">
        <v>53</v>
      </c>
      <c r="N241" s="5" t="s">
        <v>54</v>
      </c>
      <c r="O241" s="5" t="s">
        <v>41</v>
      </c>
      <c r="P241" s="30">
        <f t="shared" si="13"/>
        <v>4</v>
      </c>
      <c r="Q241" s="41">
        <v>4425.4181818181814</v>
      </c>
      <c r="R241" s="41">
        <v>5500</v>
      </c>
      <c r="S241" s="41">
        <f t="shared" si="12"/>
        <v>1074.5818181818186</v>
      </c>
    </row>
    <row r="242" spans="1:19">
      <c r="A242" s="5">
        <v>241</v>
      </c>
      <c r="B242" s="5">
        <v>2507180532</v>
      </c>
      <c r="C242" s="5" t="s">
        <v>1001</v>
      </c>
      <c r="D242" s="5" t="s">
        <v>804</v>
      </c>
      <c r="E242" s="5" t="s">
        <v>805</v>
      </c>
      <c r="F242" s="5" t="s">
        <v>1002</v>
      </c>
      <c r="G242" s="5" t="s">
        <v>52</v>
      </c>
      <c r="H242" s="5" t="s">
        <v>989</v>
      </c>
      <c r="I242" s="5">
        <v>202500676</v>
      </c>
      <c r="J242" s="5"/>
      <c r="K242" s="6">
        <v>45856</v>
      </c>
      <c r="L242" s="6">
        <v>45860</v>
      </c>
      <c r="M242" s="5" t="s">
        <v>53</v>
      </c>
      <c r="N242" s="5" t="s">
        <v>54</v>
      </c>
      <c r="O242" s="5" t="s">
        <v>41</v>
      </c>
      <c r="P242" s="30">
        <f t="shared" si="13"/>
        <v>4</v>
      </c>
      <c r="Q242" s="41">
        <v>4425.4181818181814</v>
      </c>
      <c r="R242" s="41">
        <v>5000</v>
      </c>
      <c r="S242" s="41">
        <f t="shared" si="12"/>
        <v>574.58181818181856</v>
      </c>
    </row>
    <row r="243" spans="1:19">
      <c r="A243" s="5">
        <v>242</v>
      </c>
      <c r="B243" s="5">
        <v>2507181652</v>
      </c>
      <c r="C243" s="5" t="s">
        <v>1003</v>
      </c>
      <c r="D243" s="5" t="s">
        <v>405</v>
      </c>
      <c r="E243" s="5" t="s">
        <v>619</v>
      </c>
      <c r="F243" s="5" t="s">
        <v>202</v>
      </c>
      <c r="G243" s="5" t="s">
        <v>52</v>
      </c>
      <c r="H243" s="5" t="s">
        <v>989</v>
      </c>
      <c r="I243" s="5">
        <v>202500677</v>
      </c>
      <c r="J243" s="5"/>
      <c r="K243" s="6">
        <v>45856</v>
      </c>
      <c r="L243" s="6">
        <v>45860</v>
      </c>
      <c r="M243" s="5" t="s">
        <v>53</v>
      </c>
      <c r="N243" s="5" t="s">
        <v>54</v>
      </c>
      <c r="O243" s="5" t="s">
        <v>41</v>
      </c>
      <c r="P243" s="30">
        <f t="shared" si="13"/>
        <v>4</v>
      </c>
      <c r="Q243" s="41">
        <v>4425.4181818181814</v>
      </c>
      <c r="R243" s="41">
        <v>6450</v>
      </c>
      <c r="S243" s="41">
        <f t="shared" si="12"/>
        <v>2024.5818181818186</v>
      </c>
    </row>
    <row r="244" spans="1:19">
      <c r="A244" s="5">
        <v>243</v>
      </c>
      <c r="B244" s="5">
        <v>2507181658</v>
      </c>
      <c r="C244" s="5" t="s">
        <v>1004</v>
      </c>
      <c r="D244" s="5" t="s">
        <v>405</v>
      </c>
      <c r="E244" s="5" t="s">
        <v>485</v>
      </c>
      <c r="F244" s="5" t="s">
        <v>202</v>
      </c>
      <c r="G244" s="5" t="s">
        <v>52</v>
      </c>
      <c r="H244" s="5" t="s">
        <v>989</v>
      </c>
      <c r="I244" s="5">
        <v>202500678</v>
      </c>
      <c r="J244" s="5"/>
      <c r="K244" s="6">
        <v>45856</v>
      </c>
      <c r="L244" s="6">
        <v>45860</v>
      </c>
      <c r="M244" s="5" t="s">
        <v>53</v>
      </c>
      <c r="N244" s="5" t="s">
        <v>54</v>
      </c>
      <c r="O244" s="5" t="s">
        <v>41</v>
      </c>
      <c r="P244" s="30">
        <f t="shared" si="13"/>
        <v>4</v>
      </c>
      <c r="Q244" s="41">
        <v>4425.4181818181814</v>
      </c>
      <c r="R244" s="41">
        <v>6450</v>
      </c>
      <c r="S244" s="41">
        <f t="shared" si="12"/>
        <v>2024.5818181818186</v>
      </c>
    </row>
    <row r="245" spans="1:19">
      <c r="A245" s="5">
        <v>244</v>
      </c>
      <c r="B245" s="5">
        <v>2507183233</v>
      </c>
      <c r="C245" s="5" t="s">
        <v>1005</v>
      </c>
      <c r="D245" s="5" t="s">
        <v>393</v>
      </c>
      <c r="E245" s="5" t="s">
        <v>394</v>
      </c>
      <c r="F245" s="5" t="s">
        <v>202</v>
      </c>
      <c r="G245" s="5" t="s">
        <v>43</v>
      </c>
      <c r="H245" s="5" t="s">
        <v>989</v>
      </c>
      <c r="I245" s="5">
        <v>202500679</v>
      </c>
      <c r="J245" s="5"/>
      <c r="K245" s="6">
        <v>45856</v>
      </c>
      <c r="L245" s="6">
        <v>45860</v>
      </c>
      <c r="M245" s="5" t="s">
        <v>53</v>
      </c>
      <c r="N245" s="5" t="s">
        <v>54</v>
      </c>
      <c r="O245" s="5" t="s">
        <v>41</v>
      </c>
      <c r="P245" s="30">
        <f t="shared" si="13"/>
        <v>4</v>
      </c>
      <c r="Q245" s="41">
        <v>4425.4181818181814</v>
      </c>
      <c r="R245" s="41">
        <v>13500</v>
      </c>
      <c r="S245" s="41">
        <f t="shared" si="12"/>
        <v>9074.5818181818177</v>
      </c>
    </row>
    <row r="246" spans="1:19">
      <c r="A246" s="5">
        <v>245</v>
      </c>
      <c r="B246" s="5">
        <v>2507183234</v>
      </c>
      <c r="C246" s="5" t="s">
        <v>1006</v>
      </c>
      <c r="D246" s="5" t="s">
        <v>745</v>
      </c>
      <c r="E246" s="5" t="s">
        <v>972</v>
      </c>
      <c r="F246" s="5" t="s">
        <v>202</v>
      </c>
      <c r="G246" s="5" t="s">
        <v>75</v>
      </c>
      <c r="H246" s="5" t="s">
        <v>989</v>
      </c>
      <c r="I246" s="5">
        <v>202500680</v>
      </c>
      <c r="J246" s="5"/>
      <c r="K246" s="6">
        <v>45856</v>
      </c>
      <c r="L246" s="6">
        <v>45860</v>
      </c>
      <c r="M246" s="5" t="s">
        <v>53</v>
      </c>
      <c r="N246" s="5" t="s">
        <v>54</v>
      </c>
      <c r="O246" s="5" t="s">
        <v>41</v>
      </c>
      <c r="P246" s="30">
        <f t="shared" si="13"/>
        <v>4</v>
      </c>
      <c r="Q246" s="41">
        <v>4425.4181818181814</v>
      </c>
      <c r="R246" s="41">
        <v>4900</v>
      </c>
      <c r="S246" s="41">
        <f t="shared" si="12"/>
        <v>474.58181818181856</v>
      </c>
    </row>
    <row r="247" spans="1:19">
      <c r="A247" s="5">
        <v>246</v>
      </c>
      <c r="B247" s="5">
        <v>2507190963</v>
      </c>
      <c r="C247" s="5" t="s">
        <v>1007</v>
      </c>
      <c r="D247" s="5" t="s">
        <v>345</v>
      </c>
      <c r="E247" s="5" t="s">
        <v>346</v>
      </c>
      <c r="F247" s="5" t="s">
        <v>66</v>
      </c>
      <c r="G247" s="5" t="s">
        <v>52</v>
      </c>
      <c r="H247" s="5" t="s">
        <v>989</v>
      </c>
      <c r="I247" s="5">
        <v>202500681</v>
      </c>
      <c r="J247" s="5"/>
      <c r="K247" s="6">
        <v>45857</v>
      </c>
      <c r="L247" s="6">
        <v>45860</v>
      </c>
      <c r="M247" s="5" t="s">
        <v>53</v>
      </c>
      <c r="N247" s="5" t="s">
        <v>54</v>
      </c>
      <c r="O247" s="5" t="s">
        <v>41</v>
      </c>
      <c r="P247" s="30">
        <f t="shared" si="13"/>
        <v>3</v>
      </c>
      <c r="Q247" s="41">
        <v>4425.4181818181814</v>
      </c>
      <c r="R247" s="41">
        <v>6000</v>
      </c>
      <c r="S247" s="41">
        <f t="shared" si="12"/>
        <v>1574.5818181818186</v>
      </c>
    </row>
    <row r="248" spans="1:19">
      <c r="A248" s="5">
        <v>247</v>
      </c>
      <c r="B248" s="5">
        <v>2507192393</v>
      </c>
      <c r="C248" s="5" t="s">
        <v>1008</v>
      </c>
      <c r="D248" s="5" t="s">
        <v>83</v>
      </c>
      <c r="E248" s="5" t="s">
        <v>84</v>
      </c>
      <c r="F248" s="5" t="s">
        <v>62</v>
      </c>
      <c r="G248" s="5" t="s">
        <v>52</v>
      </c>
      <c r="H248" s="5" t="s">
        <v>989</v>
      </c>
      <c r="I248" s="5">
        <v>202500682</v>
      </c>
      <c r="J248" s="5"/>
      <c r="K248" s="6">
        <v>45857</v>
      </c>
      <c r="L248" s="6">
        <v>45860</v>
      </c>
      <c r="M248" s="5" t="s">
        <v>53</v>
      </c>
      <c r="N248" s="5" t="s">
        <v>54</v>
      </c>
      <c r="O248" s="5" t="s">
        <v>41</v>
      </c>
      <c r="P248" s="30">
        <f t="shared" si="13"/>
        <v>3</v>
      </c>
      <c r="Q248" s="41">
        <v>4425.4181818181814</v>
      </c>
      <c r="R248" s="41">
        <v>6000</v>
      </c>
      <c r="S248" s="41">
        <f t="shared" si="12"/>
        <v>1574.5818181818186</v>
      </c>
    </row>
    <row r="249" spans="1:19">
      <c r="A249" s="5">
        <v>248</v>
      </c>
      <c r="B249" s="5">
        <v>2507200406</v>
      </c>
      <c r="C249" s="5" t="s">
        <v>1009</v>
      </c>
      <c r="D249" s="5" t="s">
        <v>762</v>
      </c>
      <c r="E249" s="5" t="s">
        <v>763</v>
      </c>
      <c r="F249" s="5" t="s">
        <v>109</v>
      </c>
      <c r="G249" s="5" t="s">
        <v>52</v>
      </c>
      <c r="H249" s="5" t="s">
        <v>989</v>
      </c>
      <c r="I249" s="5">
        <v>202500683</v>
      </c>
      <c r="J249" s="5"/>
      <c r="K249" s="6">
        <v>45858</v>
      </c>
      <c r="L249" s="6">
        <v>45860</v>
      </c>
      <c r="M249" s="5" t="s">
        <v>53</v>
      </c>
      <c r="N249" s="5" t="s">
        <v>54</v>
      </c>
      <c r="O249" s="5" t="s">
        <v>41</v>
      </c>
      <c r="P249" s="30">
        <f t="shared" si="13"/>
        <v>2</v>
      </c>
      <c r="Q249" s="41">
        <v>4425.4181818181814</v>
      </c>
      <c r="R249" s="41">
        <v>5500</v>
      </c>
      <c r="S249" s="41">
        <f t="shared" si="12"/>
        <v>1074.5818181818186</v>
      </c>
    </row>
    <row r="250" spans="1:19">
      <c r="A250" s="5">
        <v>249</v>
      </c>
      <c r="B250" s="13">
        <v>2507142278</v>
      </c>
      <c r="C250" s="13" t="s">
        <v>961</v>
      </c>
      <c r="D250" s="13" t="s">
        <v>405</v>
      </c>
      <c r="E250" s="13" t="s">
        <v>526</v>
      </c>
      <c r="F250" s="13" t="s">
        <v>202</v>
      </c>
      <c r="G250" s="13" t="s">
        <v>52</v>
      </c>
      <c r="H250" s="13" t="s">
        <v>989</v>
      </c>
      <c r="I250" s="13">
        <v>202500684</v>
      </c>
      <c r="J250" s="13"/>
      <c r="K250" s="14">
        <v>45852</v>
      </c>
      <c r="L250" s="14">
        <v>45860</v>
      </c>
      <c r="M250" s="13" t="s">
        <v>45</v>
      </c>
      <c r="N250" s="13" t="s">
        <v>46</v>
      </c>
      <c r="O250" s="13" t="s">
        <v>888</v>
      </c>
      <c r="P250" s="35">
        <f t="shared" si="13"/>
        <v>8</v>
      </c>
      <c r="Q250" s="15">
        <v>4425.4181818181814</v>
      </c>
      <c r="R250" s="15">
        <v>0</v>
      </c>
      <c r="S250" s="15">
        <f t="shared" si="12"/>
        <v>-4425.4181818181814</v>
      </c>
    </row>
    <row r="251" spans="1:19">
      <c r="A251" s="5">
        <v>250</v>
      </c>
      <c r="B251" s="5" t="s">
        <v>1010</v>
      </c>
      <c r="C251" s="5"/>
      <c r="D251" s="5"/>
      <c r="E251" s="5"/>
      <c r="F251" s="5"/>
      <c r="G251" s="5" t="s">
        <v>52</v>
      </c>
      <c r="H251" s="5"/>
      <c r="I251" s="5"/>
      <c r="J251" s="5"/>
      <c r="K251" s="5"/>
      <c r="L251" s="5"/>
      <c r="M251" s="5"/>
      <c r="N251" s="5"/>
      <c r="O251" s="5"/>
      <c r="P251" s="5"/>
      <c r="Q251" s="41">
        <v>4425.4181818181814</v>
      </c>
      <c r="R251" s="41">
        <v>0</v>
      </c>
      <c r="S251" s="41">
        <f t="shared" si="12"/>
        <v>-4425.4181818181814</v>
      </c>
    </row>
    <row r="252" spans="1:19">
      <c r="A252" s="5">
        <v>251</v>
      </c>
      <c r="B252" s="5" t="s">
        <v>1011</v>
      </c>
      <c r="C252" s="5"/>
      <c r="D252" s="5"/>
      <c r="E252" s="5"/>
      <c r="F252" s="5"/>
      <c r="G252" s="5" t="s">
        <v>52</v>
      </c>
      <c r="H252" s="5"/>
      <c r="I252" s="5"/>
      <c r="J252" s="5"/>
      <c r="K252" s="5"/>
      <c r="L252" s="5"/>
      <c r="M252" s="5"/>
      <c r="N252" s="5"/>
      <c r="O252" s="5"/>
      <c r="P252" s="5"/>
      <c r="Q252" s="41">
        <v>4425.4181818181814</v>
      </c>
      <c r="R252" s="41">
        <v>0</v>
      </c>
      <c r="S252" s="41">
        <f t="shared" si="12"/>
        <v>-4425.4181818181814</v>
      </c>
    </row>
    <row r="253" spans="1:19">
      <c r="A253" s="5">
        <v>252</v>
      </c>
      <c r="B253" s="5">
        <v>2507200453</v>
      </c>
      <c r="C253" s="5" t="s">
        <v>1012</v>
      </c>
      <c r="D253" s="5" t="s">
        <v>40</v>
      </c>
      <c r="E253" s="5" t="s">
        <v>41</v>
      </c>
      <c r="F253" s="5" t="s">
        <v>42</v>
      </c>
      <c r="G253" s="5" t="s">
        <v>75</v>
      </c>
      <c r="H253" s="5" t="s">
        <v>1013</v>
      </c>
      <c r="I253" s="5">
        <v>202500685</v>
      </c>
      <c r="J253" s="5"/>
      <c r="K253" s="6">
        <v>45858</v>
      </c>
      <c r="L253" s="6">
        <v>45862</v>
      </c>
      <c r="M253" s="5" t="s">
        <v>53</v>
      </c>
      <c r="N253" s="5" t="s">
        <v>54</v>
      </c>
      <c r="O253" s="5" t="s">
        <v>41</v>
      </c>
      <c r="P253" s="30">
        <f t="shared" ref="P253:P276" si="14">L253-K253</f>
        <v>4</v>
      </c>
      <c r="Q253" s="41">
        <v>3807.6615384615384</v>
      </c>
      <c r="R253" s="41">
        <v>6500</v>
      </c>
      <c r="S253" s="41">
        <f t="shared" si="12"/>
        <v>2692.3384615384616</v>
      </c>
    </row>
    <row r="254" spans="1:19">
      <c r="A254" s="5">
        <v>253</v>
      </c>
      <c r="B254" s="5">
        <v>2507200459</v>
      </c>
      <c r="C254" s="5" t="s">
        <v>1014</v>
      </c>
      <c r="D254" s="5" t="s">
        <v>40</v>
      </c>
      <c r="E254" s="5" t="s">
        <v>41</v>
      </c>
      <c r="F254" s="5" t="s">
        <v>42</v>
      </c>
      <c r="G254" s="5" t="s">
        <v>75</v>
      </c>
      <c r="H254" s="5" t="s">
        <v>1013</v>
      </c>
      <c r="I254" s="5">
        <v>202500686</v>
      </c>
      <c r="J254" s="5"/>
      <c r="K254" s="6">
        <v>45858</v>
      </c>
      <c r="L254" s="6">
        <v>45862</v>
      </c>
      <c r="M254" s="5" t="s">
        <v>53</v>
      </c>
      <c r="N254" s="5" t="s">
        <v>54</v>
      </c>
      <c r="O254" s="5" t="s">
        <v>41</v>
      </c>
      <c r="P254" s="30">
        <f t="shared" si="14"/>
        <v>4</v>
      </c>
      <c r="Q254" s="41">
        <v>3807.6615384615384</v>
      </c>
      <c r="R254" s="41">
        <v>6500</v>
      </c>
      <c r="S254" s="41">
        <f t="shared" si="12"/>
        <v>2692.3384615384616</v>
      </c>
    </row>
    <row r="255" spans="1:19">
      <c r="A255" s="5">
        <v>254</v>
      </c>
      <c r="B255" s="5">
        <v>2507200461</v>
      </c>
      <c r="C255" s="5" t="s">
        <v>1015</v>
      </c>
      <c r="D255" s="5" t="s">
        <v>40</v>
      </c>
      <c r="E255" s="5" t="s">
        <v>41</v>
      </c>
      <c r="F255" s="5" t="s">
        <v>42</v>
      </c>
      <c r="G255" s="5" t="s">
        <v>75</v>
      </c>
      <c r="H255" s="5" t="s">
        <v>1013</v>
      </c>
      <c r="I255" s="5">
        <v>202500687</v>
      </c>
      <c r="J255" s="5"/>
      <c r="K255" s="6">
        <v>45858</v>
      </c>
      <c r="L255" s="6">
        <v>45862</v>
      </c>
      <c r="M255" s="5" t="s">
        <v>53</v>
      </c>
      <c r="N255" s="5" t="s">
        <v>54</v>
      </c>
      <c r="O255" s="5" t="s">
        <v>41</v>
      </c>
      <c r="P255" s="30">
        <f t="shared" si="14"/>
        <v>4</v>
      </c>
      <c r="Q255" s="41">
        <v>3807.6615384615384</v>
      </c>
      <c r="R255" s="41">
        <v>6500</v>
      </c>
      <c r="S255" s="41">
        <f t="shared" si="12"/>
        <v>2692.3384615384616</v>
      </c>
    </row>
    <row r="256" spans="1:19">
      <c r="A256" s="5">
        <v>255</v>
      </c>
      <c r="B256" s="5">
        <v>2507200873</v>
      </c>
      <c r="C256" s="5" t="s">
        <v>1016</v>
      </c>
      <c r="D256" s="5" t="s">
        <v>405</v>
      </c>
      <c r="E256" s="5" t="s">
        <v>485</v>
      </c>
      <c r="F256" s="5" t="s">
        <v>202</v>
      </c>
      <c r="G256" s="5" t="s">
        <v>52</v>
      </c>
      <c r="H256" s="5" t="s">
        <v>1013</v>
      </c>
      <c r="I256" s="5">
        <v>202500688</v>
      </c>
      <c r="J256" s="5"/>
      <c r="K256" s="6">
        <v>45858</v>
      </c>
      <c r="L256" s="6">
        <v>45862</v>
      </c>
      <c r="M256" s="5" t="s">
        <v>53</v>
      </c>
      <c r="N256" s="5" t="s">
        <v>54</v>
      </c>
      <c r="O256" s="5" t="s">
        <v>41</v>
      </c>
      <c r="P256" s="30">
        <f t="shared" si="14"/>
        <v>4</v>
      </c>
      <c r="Q256" s="41">
        <v>3807.6615384615384</v>
      </c>
      <c r="R256" s="41">
        <v>6450</v>
      </c>
      <c r="S256" s="41">
        <f t="shared" si="12"/>
        <v>2642.3384615384616</v>
      </c>
    </row>
    <row r="257" spans="1:19">
      <c r="A257" s="5">
        <v>256</v>
      </c>
      <c r="B257" s="5">
        <v>2507200878</v>
      </c>
      <c r="C257" s="5" t="s">
        <v>1017</v>
      </c>
      <c r="D257" s="5" t="s">
        <v>405</v>
      </c>
      <c r="E257" s="5" t="s">
        <v>459</v>
      </c>
      <c r="F257" s="5" t="s">
        <v>202</v>
      </c>
      <c r="G257" s="5" t="s">
        <v>52</v>
      </c>
      <c r="H257" s="5" t="s">
        <v>1013</v>
      </c>
      <c r="I257" s="5">
        <v>202500689</v>
      </c>
      <c r="J257" s="5"/>
      <c r="K257" s="6">
        <v>45858</v>
      </c>
      <c r="L257" s="6">
        <v>45862</v>
      </c>
      <c r="M257" s="5" t="s">
        <v>53</v>
      </c>
      <c r="N257" s="5" t="s">
        <v>54</v>
      </c>
      <c r="O257" s="5" t="s">
        <v>41</v>
      </c>
      <c r="P257" s="30">
        <f t="shared" si="14"/>
        <v>4</v>
      </c>
      <c r="Q257" s="41">
        <v>3807.6615384615384</v>
      </c>
      <c r="R257" s="41">
        <v>6450</v>
      </c>
      <c r="S257" s="41">
        <f t="shared" si="12"/>
        <v>2642.3384615384616</v>
      </c>
    </row>
    <row r="258" spans="1:19">
      <c r="A258" s="5">
        <v>257</v>
      </c>
      <c r="B258" s="9">
        <v>2507200883</v>
      </c>
      <c r="C258" s="9" t="s">
        <v>1018</v>
      </c>
      <c r="D258" s="9" t="s">
        <v>405</v>
      </c>
      <c r="E258" s="9" t="s">
        <v>485</v>
      </c>
      <c r="F258" s="9" t="s">
        <v>202</v>
      </c>
      <c r="G258" s="9" t="s">
        <v>52</v>
      </c>
      <c r="H258" s="9" t="s">
        <v>1013</v>
      </c>
      <c r="I258" s="9">
        <v>202500690</v>
      </c>
      <c r="J258" s="9"/>
      <c r="K258" s="10">
        <v>45858</v>
      </c>
      <c r="L258" s="10">
        <v>45862</v>
      </c>
      <c r="M258" s="9" t="s">
        <v>45</v>
      </c>
      <c r="N258" s="9" t="s">
        <v>94</v>
      </c>
      <c r="O258" s="9" t="s">
        <v>1019</v>
      </c>
      <c r="P258" s="32">
        <f t="shared" si="14"/>
        <v>4</v>
      </c>
      <c r="Q258" s="11">
        <v>3807.6615384615384</v>
      </c>
      <c r="R258" s="11">
        <v>6450</v>
      </c>
      <c r="S258" s="11">
        <f t="shared" si="12"/>
        <v>2642.3384615384616</v>
      </c>
    </row>
    <row r="259" spans="1:19">
      <c r="A259" s="5">
        <v>258</v>
      </c>
      <c r="B259" s="5">
        <v>2507200889</v>
      </c>
      <c r="C259" s="5" t="s">
        <v>1020</v>
      </c>
      <c r="D259" s="5" t="s">
        <v>706</v>
      </c>
      <c r="E259" s="5" t="s">
        <v>707</v>
      </c>
      <c r="F259" s="5" t="s">
        <v>79</v>
      </c>
      <c r="G259" s="5" t="s">
        <v>52</v>
      </c>
      <c r="H259" s="5" t="s">
        <v>1013</v>
      </c>
      <c r="I259" s="5">
        <v>202500691</v>
      </c>
      <c r="J259" s="5"/>
      <c r="K259" s="6">
        <v>45858</v>
      </c>
      <c r="L259" s="6">
        <v>45862</v>
      </c>
      <c r="M259" s="5" t="s">
        <v>53</v>
      </c>
      <c r="N259" s="5" t="s">
        <v>54</v>
      </c>
      <c r="O259" s="5" t="s">
        <v>41</v>
      </c>
      <c r="P259" s="30">
        <f t="shared" si="14"/>
        <v>4</v>
      </c>
      <c r="Q259" s="41">
        <v>3807.6615384615384</v>
      </c>
      <c r="R259" s="41">
        <v>6000</v>
      </c>
      <c r="S259" s="41">
        <f t="shared" si="12"/>
        <v>2192.3384615384616</v>
      </c>
    </row>
    <row r="260" spans="1:19">
      <c r="A260" s="5">
        <v>259</v>
      </c>
      <c r="B260" s="5">
        <v>2507200893</v>
      </c>
      <c r="C260" s="5" t="s">
        <v>1021</v>
      </c>
      <c r="D260" s="5" t="s">
        <v>804</v>
      </c>
      <c r="E260" s="5" t="s">
        <v>805</v>
      </c>
      <c r="F260" s="5" t="s">
        <v>457</v>
      </c>
      <c r="G260" s="5" t="s">
        <v>43</v>
      </c>
      <c r="H260" s="5" t="s">
        <v>1013</v>
      </c>
      <c r="I260" s="5">
        <v>202500692</v>
      </c>
      <c r="J260" s="5"/>
      <c r="K260" s="6">
        <v>45858</v>
      </c>
      <c r="L260" s="6">
        <v>45862</v>
      </c>
      <c r="M260" s="5" t="s">
        <v>53</v>
      </c>
      <c r="N260" s="5" t="s">
        <v>54</v>
      </c>
      <c r="O260" s="5" t="s">
        <v>41</v>
      </c>
      <c r="P260" s="30">
        <f t="shared" si="14"/>
        <v>4</v>
      </c>
      <c r="Q260" s="41">
        <v>3807.6615384615384</v>
      </c>
      <c r="R260" s="41">
        <v>11000</v>
      </c>
      <c r="S260" s="41">
        <f t="shared" si="12"/>
        <v>7192.3384615384621</v>
      </c>
    </row>
    <row r="261" spans="1:19">
      <c r="A261" s="5">
        <v>260</v>
      </c>
      <c r="B261" s="5">
        <v>2507200900</v>
      </c>
      <c r="C261" s="5" t="s">
        <v>1022</v>
      </c>
      <c r="D261" s="5" t="s">
        <v>908</v>
      </c>
      <c r="E261" s="5" t="s">
        <v>909</v>
      </c>
      <c r="F261" s="5" t="s">
        <v>362</v>
      </c>
      <c r="G261" s="5" t="s">
        <v>43</v>
      </c>
      <c r="H261" s="5" t="s">
        <v>1013</v>
      </c>
      <c r="I261" s="5">
        <v>202500693</v>
      </c>
      <c r="J261" s="5"/>
      <c r="K261" s="6">
        <v>45858</v>
      </c>
      <c r="L261" s="6">
        <v>45862</v>
      </c>
      <c r="M261" s="5" t="s">
        <v>53</v>
      </c>
      <c r="N261" s="5" t="s">
        <v>54</v>
      </c>
      <c r="O261" s="5" t="s">
        <v>41</v>
      </c>
      <c r="P261" s="30">
        <f t="shared" si="14"/>
        <v>4</v>
      </c>
      <c r="Q261" s="41">
        <v>3807.6615384615384</v>
      </c>
      <c r="R261" s="41">
        <v>10500</v>
      </c>
      <c r="S261" s="41">
        <f t="shared" si="12"/>
        <v>6692.3384615384621</v>
      </c>
    </row>
    <row r="262" spans="1:19">
      <c r="A262" s="5">
        <v>261</v>
      </c>
      <c r="B262" s="5">
        <v>2507200906</v>
      </c>
      <c r="C262" s="5" t="s">
        <v>1023</v>
      </c>
      <c r="D262" s="5" t="s">
        <v>810</v>
      </c>
      <c r="E262" s="5" t="s">
        <v>1024</v>
      </c>
      <c r="F262" s="5" t="s">
        <v>457</v>
      </c>
      <c r="G262" s="5" t="s">
        <v>52</v>
      </c>
      <c r="H262" s="5" t="s">
        <v>1013</v>
      </c>
      <c r="I262" s="5">
        <v>202500694</v>
      </c>
      <c r="J262" s="5"/>
      <c r="K262" s="6">
        <v>45858</v>
      </c>
      <c r="L262" s="6">
        <v>45862</v>
      </c>
      <c r="M262" s="5" t="s">
        <v>53</v>
      </c>
      <c r="N262" s="5" t="s">
        <v>54</v>
      </c>
      <c r="O262" s="5" t="s">
        <v>41</v>
      </c>
      <c r="P262" s="30">
        <f t="shared" si="14"/>
        <v>4</v>
      </c>
      <c r="Q262" s="41">
        <v>3807.6615384615384</v>
      </c>
      <c r="R262" s="41">
        <v>5200</v>
      </c>
      <c r="S262" s="41">
        <f t="shared" si="12"/>
        <v>1392.3384615384616</v>
      </c>
    </row>
    <row r="263" spans="1:19">
      <c r="A263" s="5">
        <v>262</v>
      </c>
      <c r="B263" s="5">
        <v>2507200917</v>
      </c>
      <c r="C263" s="5" t="s">
        <v>1025</v>
      </c>
      <c r="D263" s="5" t="s">
        <v>293</v>
      </c>
      <c r="E263" s="5" t="s">
        <v>294</v>
      </c>
      <c r="F263" s="5" t="s">
        <v>51</v>
      </c>
      <c r="G263" s="5" t="s">
        <v>52</v>
      </c>
      <c r="H263" s="5" t="s">
        <v>1013</v>
      </c>
      <c r="I263" s="5">
        <v>202500695</v>
      </c>
      <c r="J263" s="5"/>
      <c r="K263" s="6">
        <v>45858</v>
      </c>
      <c r="L263" s="6">
        <v>45862</v>
      </c>
      <c r="M263" s="5" t="s">
        <v>53</v>
      </c>
      <c r="N263" s="5" t="s">
        <v>54</v>
      </c>
      <c r="O263" s="5" t="s">
        <v>41</v>
      </c>
      <c r="P263" s="30">
        <f t="shared" si="14"/>
        <v>4</v>
      </c>
      <c r="Q263" s="41">
        <v>3807.6615384615384</v>
      </c>
      <c r="R263" s="41">
        <v>6000</v>
      </c>
      <c r="S263" s="41">
        <f t="shared" si="12"/>
        <v>2192.3384615384616</v>
      </c>
    </row>
    <row r="264" spans="1:19">
      <c r="A264" s="5">
        <v>263</v>
      </c>
      <c r="B264" s="5">
        <v>2507200930</v>
      </c>
      <c r="C264" s="5" t="s">
        <v>1026</v>
      </c>
      <c r="D264" s="5" t="s">
        <v>733</v>
      </c>
      <c r="E264" s="5" t="s">
        <v>1027</v>
      </c>
      <c r="F264" s="5" t="s">
        <v>51</v>
      </c>
      <c r="G264" s="5" t="s">
        <v>52</v>
      </c>
      <c r="H264" s="5" t="s">
        <v>1013</v>
      </c>
      <c r="I264" s="5">
        <v>202500696</v>
      </c>
      <c r="J264" s="5"/>
      <c r="K264" s="6">
        <v>45858</v>
      </c>
      <c r="L264" s="6">
        <v>45862</v>
      </c>
      <c r="M264" s="5" t="s">
        <v>53</v>
      </c>
      <c r="N264" s="5" t="s">
        <v>54</v>
      </c>
      <c r="O264" s="5" t="s">
        <v>41</v>
      </c>
      <c r="P264" s="30">
        <f t="shared" si="14"/>
        <v>4</v>
      </c>
      <c r="Q264" s="41">
        <v>3807.6615384615384</v>
      </c>
      <c r="R264" s="41">
        <v>5500</v>
      </c>
      <c r="S264" s="41">
        <f t="shared" si="12"/>
        <v>1692.3384615384616</v>
      </c>
    </row>
    <row r="265" spans="1:19">
      <c r="A265" s="5">
        <v>264</v>
      </c>
      <c r="B265" s="5">
        <v>2507201468</v>
      </c>
      <c r="C265" s="5" t="s">
        <v>1028</v>
      </c>
      <c r="D265" s="5" t="s">
        <v>77</v>
      </c>
      <c r="E265" s="5" t="s">
        <v>78</v>
      </c>
      <c r="F265" s="5" t="s">
        <v>79</v>
      </c>
      <c r="G265" s="5" t="s">
        <v>75</v>
      </c>
      <c r="H265" s="5" t="s">
        <v>1013</v>
      </c>
      <c r="I265" s="5">
        <v>202500697</v>
      </c>
      <c r="J265" s="5"/>
      <c r="K265" s="6">
        <v>45858</v>
      </c>
      <c r="L265" s="6">
        <v>45862</v>
      </c>
      <c r="M265" s="5" t="s">
        <v>53</v>
      </c>
      <c r="N265" s="5" t="s">
        <v>54</v>
      </c>
      <c r="O265" s="5" t="s">
        <v>41</v>
      </c>
      <c r="P265" s="30">
        <f t="shared" si="14"/>
        <v>4</v>
      </c>
      <c r="Q265" s="41">
        <v>3807.6615384615384</v>
      </c>
      <c r="R265" s="41">
        <v>4500</v>
      </c>
      <c r="S265" s="41">
        <f t="shared" si="12"/>
        <v>692.33846153846162</v>
      </c>
    </row>
    <row r="266" spans="1:19">
      <c r="A266" s="5">
        <v>265</v>
      </c>
      <c r="B266" s="5">
        <v>2507201479</v>
      </c>
      <c r="C266" s="5" t="s">
        <v>1029</v>
      </c>
      <c r="D266" s="5" t="s">
        <v>711</v>
      </c>
      <c r="E266" s="5" t="s">
        <v>237</v>
      </c>
      <c r="F266" s="5" t="s">
        <v>71</v>
      </c>
      <c r="G266" s="5" t="s">
        <v>52</v>
      </c>
      <c r="H266" s="5" t="s">
        <v>1013</v>
      </c>
      <c r="I266" s="5">
        <v>202500698</v>
      </c>
      <c r="J266" s="5"/>
      <c r="K266" s="6">
        <v>45858</v>
      </c>
      <c r="L266" s="6">
        <v>45862</v>
      </c>
      <c r="M266" s="5" t="s">
        <v>53</v>
      </c>
      <c r="N266" s="5" t="s">
        <v>54</v>
      </c>
      <c r="O266" s="5" t="s">
        <v>41</v>
      </c>
      <c r="P266" s="30">
        <f t="shared" si="14"/>
        <v>4</v>
      </c>
      <c r="Q266" s="41">
        <v>3807.6615384615384</v>
      </c>
      <c r="R266" s="41">
        <v>8000</v>
      </c>
      <c r="S266" s="41">
        <f t="shared" si="12"/>
        <v>4192.3384615384621</v>
      </c>
    </row>
    <row r="267" spans="1:19">
      <c r="A267" s="5">
        <v>266</v>
      </c>
      <c r="B267" s="5">
        <v>2507210224</v>
      </c>
      <c r="C267" s="5" t="s">
        <v>1030</v>
      </c>
      <c r="D267" s="5" t="s">
        <v>1031</v>
      </c>
      <c r="E267" s="5" t="s">
        <v>635</v>
      </c>
      <c r="F267" s="5" t="s">
        <v>109</v>
      </c>
      <c r="G267" s="5" t="s">
        <v>75</v>
      </c>
      <c r="H267" s="5" t="s">
        <v>1013</v>
      </c>
      <c r="I267" s="5">
        <v>202500699</v>
      </c>
      <c r="J267" s="5"/>
      <c r="K267" s="6">
        <v>45859</v>
      </c>
      <c r="L267" s="6">
        <v>45862</v>
      </c>
      <c r="M267" s="5" t="s">
        <v>53</v>
      </c>
      <c r="N267" s="5" t="s">
        <v>54</v>
      </c>
      <c r="O267" s="5" t="s">
        <v>41</v>
      </c>
      <c r="P267" s="30">
        <f t="shared" si="14"/>
        <v>3</v>
      </c>
      <c r="Q267" s="41">
        <v>3807.6615384615384</v>
      </c>
      <c r="R267" s="41">
        <v>4500</v>
      </c>
      <c r="S267" s="41">
        <f t="shared" si="12"/>
        <v>692.33846153846162</v>
      </c>
    </row>
    <row r="268" spans="1:19">
      <c r="A268" s="5">
        <v>267</v>
      </c>
      <c r="B268" s="5">
        <v>2507210233</v>
      </c>
      <c r="C268" s="5" t="s">
        <v>1032</v>
      </c>
      <c r="D268" s="5" t="s">
        <v>511</v>
      </c>
      <c r="E268" s="5" t="s">
        <v>512</v>
      </c>
      <c r="F268" s="5" t="s">
        <v>79</v>
      </c>
      <c r="G268" s="5" t="s">
        <v>52</v>
      </c>
      <c r="H268" s="5" t="s">
        <v>1013</v>
      </c>
      <c r="I268" s="5">
        <v>202500700</v>
      </c>
      <c r="J268" s="5"/>
      <c r="K268" s="6">
        <v>45859</v>
      </c>
      <c r="L268" s="6">
        <v>45862</v>
      </c>
      <c r="M268" s="5" t="s">
        <v>53</v>
      </c>
      <c r="N268" s="5" t="s">
        <v>54</v>
      </c>
      <c r="O268" s="5" t="s">
        <v>41</v>
      </c>
      <c r="P268" s="30">
        <f t="shared" si="14"/>
        <v>3</v>
      </c>
      <c r="Q268" s="41">
        <v>3807.6615384615384</v>
      </c>
      <c r="R268" s="41">
        <v>5500</v>
      </c>
      <c r="S268" s="41">
        <f t="shared" si="12"/>
        <v>1692.3384615384616</v>
      </c>
    </row>
    <row r="269" spans="1:19">
      <c r="A269" s="5">
        <v>268</v>
      </c>
      <c r="B269" s="5">
        <v>2507210236</v>
      </c>
      <c r="C269" s="5" t="s">
        <v>1033</v>
      </c>
      <c r="D269" s="5" t="s">
        <v>293</v>
      </c>
      <c r="E269" s="5" t="s">
        <v>294</v>
      </c>
      <c r="F269" s="5" t="s">
        <v>51</v>
      </c>
      <c r="G269" s="5" t="s">
        <v>52</v>
      </c>
      <c r="H269" s="5" t="s">
        <v>1013</v>
      </c>
      <c r="I269" s="5">
        <v>202500701</v>
      </c>
      <c r="J269" s="5"/>
      <c r="K269" s="6">
        <v>45859</v>
      </c>
      <c r="L269" s="6">
        <v>45862</v>
      </c>
      <c r="M269" s="5" t="s">
        <v>53</v>
      </c>
      <c r="N269" s="5" t="s">
        <v>54</v>
      </c>
      <c r="O269" s="5" t="s">
        <v>41</v>
      </c>
      <c r="P269" s="30">
        <f t="shared" si="14"/>
        <v>3</v>
      </c>
      <c r="Q269" s="41">
        <v>3807.6615384615384</v>
      </c>
      <c r="R269" s="41">
        <v>6000</v>
      </c>
      <c r="S269" s="41">
        <f t="shared" si="12"/>
        <v>2192.3384615384616</v>
      </c>
    </row>
    <row r="270" spans="1:19">
      <c r="A270" s="5">
        <v>269</v>
      </c>
      <c r="B270" s="5">
        <v>2507210238</v>
      </c>
      <c r="C270" s="5" t="s">
        <v>1034</v>
      </c>
      <c r="D270" s="5" t="s">
        <v>64</v>
      </c>
      <c r="E270" s="5" t="s">
        <v>65</v>
      </c>
      <c r="F270" s="5" t="s">
        <v>66</v>
      </c>
      <c r="G270" s="5" t="s">
        <v>52</v>
      </c>
      <c r="H270" s="5" t="s">
        <v>1013</v>
      </c>
      <c r="I270" s="5">
        <v>202500702</v>
      </c>
      <c r="J270" s="5"/>
      <c r="K270" s="6">
        <v>45859</v>
      </c>
      <c r="L270" s="6">
        <v>45862</v>
      </c>
      <c r="M270" s="5" t="s">
        <v>53</v>
      </c>
      <c r="N270" s="5" t="s">
        <v>54</v>
      </c>
      <c r="O270" s="5" t="s">
        <v>41</v>
      </c>
      <c r="P270" s="30">
        <f t="shared" si="14"/>
        <v>3</v>
      </c>
      <c r="Q270" s="41">
        <v>3807.6615384615384</v>
      </c>
      <c r="R270" s="41">
        <v>5500</v>
      </c>
      <c r="S270" s="41">
        <f t="shared" si="12"/>
        <v>1692.3384615384616</v>
      </c>
    </row>
    <row r="271" spans="1:19">
      <c r="A271" s="5">
        <v>270</v>
      </c>
      <c r="B271" s="5">
        <v>2507210239</v>
      </c>
      <c r="C271" s="5" t="s">
        <v>1035</v>
      </c>
      <c r="D271" s="5" t="s">
        <v>64</v>
      </c>
      <c r="E271" s="5" t="s">
        <v>65</v>
      </c>
      <c r="F271" s="5" t="s">
        <v>66</v>
      </c>
      <c r="G271" s="5" t="s">
        <v>52</v>
      </c>
      <c r="H271" s="5" t="s">
        <v>1013</v>
      </c>
      <c r="I271" s="5">
        <v>202500703</v>
      </c>
      <c r="J271" s="5"/>
      <c r="K271" s="6">
        <v>45859</v>
      </c>
      <c r="L271" s="6">
        <v>45862</v>
      </c>
      <c r="M271" s="5" t="s">
        <v>53</v>
      </c>
      <c r="N271" s="5" t="s">
        <v>54</v>
      </c>
      <c r="O271" s="5" t="s">
        <v>41</v>
      </c>
      <c r="P271" s="30">
        <f t="shared" si="14"/>
        <v>3</v>
      </c>
      <c r="Q271" s="41">
        <v>3807.6615384615384</v>
      </c>
      <c r="R271" s="41">
        <v>5500</v>
      </c>
      <c r="S271" s="41">
        <f t="shared" si="12"/>
        <v>1692.3384615384616</v>
      </c>
    </row>
    <row r="272" spans="1:19">
      <c r="A272" s="5">
        <v>271</v>
      </c>
      <c r="B272" s="5">
        <v>2507210240</v>
      </c>
      <c r="C272" s="5" t="s">
        <v>1036</v>
      </c>
      <c r="D272" s="5" t="s">
        <v>64</v>
      </c>
      <c r="E272" s="5" t="s">
        <v>65</v>
      </c>
      <c r="F272" s="5" t="s">
        <v>66</v>
      </c>
      <c r="G272" s="5" t="s">
        <v>52</v>
      </c>
      <c r="H272" s="5" t="s">
        <v>1013</v>
      </c>
      <c r="I272" s="5">
        <v>202500704</v>
      </c>
      <c r="J272" s="5"/>
      <c r="K272" s="6">
        <v>45859</v>
      </c>
      <c r="L272" s="6">
        <v>45862</v>
      </c>
      <c r="M272" s="5" t="s">
        <v>53</v>
      </c>
      <c r="N272" s="5" t="s">
        <v>54</v>
      </c>
      <c r="O272" s="5" t="s">
        <v>41</v>
      </c>
      <c r="P272" s="30">
        <f t="shared" si="14"/>
        <v>3</v>
      </c>
      <c r="Q272" s="41">
        <v>3807.6615384615384</v>
      </c>
      <c r="R272" s="41">
        <v>5500</v>
      </c>
      <c r="S272" s="41">
        <f t="shared" si="12"/>
        <v>1692.3384615384616</v>
      </c>
    </row>
    <row r="273" spans="1:19">
      <c r="A273" s="5">
        <v>272</v>
      </c>
      <c r="B273" s="5">
        <v>2507210242</v>
      </c>
      <c r="C273" s="5" t="s">
        <v>1037</v>
      </c>
      <c r="D273" s="5" t="s">
        <v>64</v>
      </c>
      <c r="E273" s="5" t="s">
        <v>65</v>
      </c>
      <c r="F273" s="5" t="s">
        <v>66</v>
      </c>
      <c r="G273" s="5" t="s">
        <v>52</v>
      </c>
      <c r="H273" s="5" t="s">
        <v>1013</v>
      </c>
      <c r="I273" s="5">
        <v>202500705</v>
      </c>
      <c r="J273" s="5"/>
      <c r="K273" s="6">
        <v>45859</v>
      </c>
      <c r="L273" s="6">
        <v>45862</v>
      </c>
      <c r="M273" s="5" t="s">
        <v>53</v>
      </c>
      <c r="N273" s="5" t="s">
        <v>54</v>
      </c>
      <c r="O273" s="5" t="s">
        <v>41</v>
      </c>
      <c r="P273" s="30">
        <f t="shared" si="14"/>
        <v>3</v>
      </c>
      <c r="Q273" s="41">
        <v>3807.6615384615384</v>
      </c>
      <c r="R273" s="41">
        <v>5500</v>
      </c>
      <c r="S273" s="41">
        <f t="shared" si="12"/>
        <v>1692.3384615384616</v>
      </c>
    </row>
    <row r="274" spans="1:19">
      <c r="A274" s="5">
        <v>273</v>
      </c>
      <c r="B274" s="5">
        <v>2507210547</v>
      </c>
      <c r="C274" s="5" t="s">
        <v>1038</v>
      </c>
      <c r="D274" s="5" t="s">
        <v>666</v>
      </c>
      <c r="E274" s="5" t="s">
        <v>667</v>
      </c>
      <c r="F274" s="5" t="s">
        <v>87</v>
      </c>
      <c r="G274" s="5" t="s">
        <v>52</v>
      </c>
      <c r="H274" s="5" t="s">
        <v>1013</v>
      </c>
      <c r="I274" s="5">
        <v>202500706</v>
      </c>
      <c r="J274" s="5"/>
      <c r="K274" s="6">
        <v>45859</v>
      </c>
      <c r="L274" s="6">
        <v>45862</v>
      </c>
      <c r="M274" s="5" t="s">
        <v>53</v>
      </c>
      <c r="N274" s="5" t="s">
        <v>54</v>
      </c>
      <c r="O274" s="5" t="s">
        <v>41</v>
      </c>
      <c r="P274" s="30">
        <f t="shared" si="14"/>
        <v>3</v>
      </c>
      <c r="Q274" s="41">
        <v>3807.6615384615384</v>
      </c>
      <c r="R274" s="41">
        <v>5500</v>
      </c>
      <c r="S274" s="41">
        <f t="shared" si="12"/>
        <v>1692.3384615384616</v>
      </c>
    </row>
    <row r="275" spans="1:19">
      <c r="A275" s="5">
        <v>274</v>
      </c>
      <c r="B275" s="5">
        <v>2507210186</v>
      </c>
      <c r="C275" s="5" t="s">
        <v>1039</v>
      </c>
      <c r="D275" s="5" t="s">
        <v>40</v>
      </c>
      <c r="E275" s="5" t="s">
        <v>41</v>
      </c>
      <c r="F275" s="5" t="s">
        <v>42</v>
      </c>
      <c r="G275" s="5" t="s">
        <v>190</v>
      </c>
      <c r="H275" s="5" t="s">
        <v>1013</v>
      </c>
      <c r="I275" s="5">
        <v>202500707</v>
      </c>
      <c r="J275" s="5"/>
      <c r="K275" s="6">
        <v>45859</v>
      </c>
      <c r="L275" s="6">
        <v>45862</v>
      </c>
      <c r="M275" s="5" t="s">
        <v>53</v>
      </c>
      <c r="N275" s="5" t="s">
        <v>54</v>
      </c>
      <c r="O275" s="5" t="s">
        <v>41</v>
      </c>
      <c r="P275" s="30">
        <f t="shared" si="14"/>
        <v>3</v>
      </c>
      <c r="Q275" s="41">
        <v>3807.6615384615384</v>
      </c>
      <c r="R275" s="41">
        <v>13500</v>
      </c>
      <c r="S275" s="41">
        <f t="shared" si="12"/>
        <v>9692.3384615384621</v>
      </c>
    </row>
    <row r="276" spans="1:19">
      <c r="A276" s="5">
        <v>275</v>
      </c>
      <c r="B276" s="5">
        <v>2507210560</v>
      </c>
      <c r="C276" s="5" t="s">
        <v>1040</v>
      </c>
      <c r="D276" s="5" t="s">
        <v>855</v>
      </c>
      <c r="E276" s="5" t="s">
        <v>856</v>
      </c>
      <c r="F276" s="5" t="s">
        <v>51</v>
      </c>
      <c r="G276" s="5" t="s">
        <v>52</v>
      </c>
      <c r="H276" s="5" t="s">
        <v>1013</v>
      </c>
      <c r="I276" s="5">
        <v>202500708</v>
      </c>
      <c r="J276" s="5"/>
      <c r="K276" s="6">
        <v>45859</v>
      </c>
      <c r="L276" s="6">
        <v>45862</v>
      </c>
      <c r="M276" s="5" t="s">
        <v>53</v>
      </c>
      <c r="N276" s="5" t="s">
        <v>54</v>
      </c>
      <c r="O276" s="5" t="s">
        <v>41</v>
      </c>
      <c r="P276" s="30">
        <f t="shared" si="14"/>
        <v>3</v>
      </c>
      <c r="Q276" s="41">
        <v>3807.6615384615384</v>
      </c>
      <c r="R276" s="41">
        <v>5500</v>
      </c>
      <c r="S276" s="41">
        <f t="shared" si="12"/>
        <v>1692.3384615384616</v>
      </c>
    </row>
    <row r="277" spans="1:19">
      <c r="A277" s="5">
        <v>276</v>
      </c>
      <c r="B277" s="5" t="s">
        <v>1041</v>
      </c>
      <c r="C277" s="5"/>
      <c r="D277" s="5"/>
      <c r="E277" s="5"/>
      <c r="F277" s="5"/>
      <c r="G277" s="5" t="s">
        <v>52</v>
      </c>
      <c r="H277" s="5"/>
      <c r="I277" s="5"/>
      <c r="J277" s="5"/>
      <c r="K277" s="5"/>
      <c r="L277" s="5"/>
      <c r="M277" s="5"/>
      <c r="N277" s="5"/>
      <c r="O277" s="5"/>
      <c r="P277" s="5"/>
      <c r="Q277" s="41">
        <v>3807.6615384615384</v>
      </c>
      <c r="R277" s="41">
        <v>0</v>
      </c>
      <c r="S277" s="41">
        <f t="shared" si="12"/>
        <v>-3807.6615384615384</v>
      </c>
    </row>
    <row r="278" spans="1:19">
      <c r="A278" s="5">
        <v>277</v>
      </c>
      <c r="B278" s="5" t="s">
        <v>1042</v>
      </c>
      <c r="C278" s="5"/>
      <c r="D278" s="5"/>
      <c r="E278" s="5"/>
      <c r="F278" s="5"/>
      <c r="G278" s="5" t="s">
        <v>52</v>
      </c>
      <c r="H278" s="5"/>
      <c r="I278" s="5"/>
      <c r="J278" s="5"/>
      <c r="K278" s="5"/>
      <c r="L278" s="5"/>
      <c r="M278" s="5"/>
      <c r="N278" s="5"/>
      <c r="O278" s="5"/>
      <c r="P278" s="5"/>
      <c r="Q278" s="41">
        <v>3807.6615384615384</v>
      </c>
      <c r="R278" s="41">
        <v>0</v>
      </c>
      <c r="S278" s="41">
        <f t="shared" si="12"/>
        <v>-3807.6615384615384</v>
      </c>
    </row>
    <row r="279" spans="1:19">
      <c r="A279" s="5">
        <v>278</v>
      </c>
      <c r="B279" s="5">
        <v>2507210347</v>
      </c>
      <c r="C279" s="5" t="s">
        <v>1043</v>
      </c>
      <c r="D279" s="5" t="s">
        <v>40</v>
      </c>
      <c r="E279" s="5" t="s">
        <v>41</v>
      </c>
      <c r="F279" s="5" t="s">
        <v>42</v>
      </c>
      <c r="G279" s="5" t="s">
        <v>43</v>
      </c>
      <c r="H279" s="5" t="s">
        <v>1044</v>
      </c>
      <c r="I279" s="5">
        <v>202500709</v>
      </c>
      <c r="J279" s="5"/>
      <c r="K279" s="6">
        <v>45859</v>
      </c>
      <c r="L279" s="6">
        <v>45864</v>
      </c>
      <c r="M279" s="5" t="s">
        <v>53</v>
      </c>
      <c r="N279" s="5" t="s">
        <v>54</v>
      </c>
      <c r="O279" s="5" t="s">
        <v>41</v>
      </c>
      <c r="P279" s="30">
        <f t="shared" ref="P279:P306" si="15">L279-K279</f>
        <v>5</v>
      </c>
      <c r="Q279" s="41">
        <v>3354.64</v>
      </c>
      <c r="R279" s="41">
        <v>14500</v>
      </c>
      <c r="S279" s="41">
        <f t="shared" si="12"/>
        <v>11145.36</v>
      </c>
    </row>
    <row r="280" spans="1:19">
      <c r="A280" s="5">
        <v>279</v>
      </c>
      <c r="B280" s="5">
        <v>2507210838</v>
      </c>
      <c r="C280" s="5" t="s">
        <v>1045</v>
      </c>
      <c r="D280" s="5" t="s">
        <v>405</v>
      </c>
      <c r="E280" s="5" t="s">
        <v>485</v>
      </c>
      <c r="F280" s="5" t="s">
        <v>202</v>
      </c>
      <c r="G280" s="5" t="s">
        <v>52</v>
      </c>
      <c r="H280" s="5" t="s">
        <v>1044</v>
      </c>
      <c r="I280" s="5">
        <v>202500710</v>
      </c>
      <c r="J280" s="5"/>
      <c r="K280" s="6">
        <v>45859</v>
      </c>
      <c r="L280" s="6">
        <v>45864</v>
      </c>
      <c r="M280" s="5" t="s">
        <v>53</v>
      </c>
      <c r="N280" s="5" t="s">
        <v>54</v>
      </c>
      <c r="O280" s="5" t="s">
        <v>41</v>
      </c>
      <c r="P280" s="30">
        <f t="shared" si="15"/>
        <v>5</v>
      </c>
      <c r="Q280" s="41">
        <v>3354.64</v>
      </c>
      <c r="R280" s="41">
        <v>6450</v>
      </c>
      <c r="S280" s="41">
        <f t="shared" si="12"/>
        <v>3095.36</v>
      </c>
    </row>
    <row r="281" spans="1:19">
      <c r="A281" s="5">
        <v>280</v>
      </c>
      <c r="B281" s="5">
        <v>2507210839</v>
      </c>
      <c r="C281" s="5" t="s">
        <v>1046</v>
      </c>
      <c r="D281" s="5" t="s">
        <v>177</v>
      </c>
      <c r="E281" s="5" t="s">
        <v>98</v>
      </c>
      <c r="F281" s="5" t="s">
        <v>71</v>
      </c>
      <c r="G281" s="5" t="s">
        <v>75</v>
      </c>
      <c r="H281" s="5" t="s">
        <v>1044</v>
      </c>
      <c r="I281" s="5">
        <v>202500711</v>
      </c>
      <c r="J281" s="5"/>
      <c r="K281" s="6">
        <v>45859</v>
      </c>
      <c r="L281" s="6">
        <v>45864</v>
      </c>
      <c r="M281" s="5" t="s">
        <v>53</v>
      </c>
      <c r="N281" s="5" t="s">
        <v>54</v>
      </c>
      <c r="O281" s="5" t="s">
        <v>41</v>
      </c>
      <c r="P281" s="30">
        <f t="shared" si="15"/>
        <v>5</v>
      </c>
      <c r="Q281" s="41">
        <v>3354.64</v>
      </c>
      <c r="R281" s="41">
        <v>4900</v>
      </c>
      <c r="S281" s="41">
        <f t="shared" si="12"/>
        <v>1545.3600000000001</v>
      </c>
    </row>
    <row r="282" spans="1:19">
      <c r="A282" s="5">
        <v>281</v>
      </c>
      <c r="B282" s="5">
        <v>2507210841</v>
      </c>
      <c r="C282" s="5" t="s">
        <v>1047</v>
      </c>
      <c r="D282" s="5" t="s">
        <v>177</v>
      </c>
      <c r="E282" s="5" t="s">
        <v>98</v>
      </c>
      <c r="F282" s="5" t="s">
        <v>71</v>
      </c>
      <c r="G282" s="5" t="s">
        <v>75</v>
      </c>
      <c r="H282" s="5" t="s">
        <v>1044</v>
      </c>
      <c r="I282" s="5">
        <v>202500712</v>
      </c>
      <c r="J282" s="5"/>
      <c r="K282" s="6">
        <v>45859</v>
      </c>
      <c r="L282" s="6">
        <v>45864</v>
      </c>
      <c r="M282" s="5" t="s">
        <v>53</v>
      </c>
      <c r="N282" s="5" t="s">
        <v>54</v>
      </c>
      <c r="O282" s="5" t="s">
        <v>41</v>
      </c>
      <c r="P282" s="30">
        <f t="shared" si="15"/>
        <v>5</v>
      </c>
      <c r="Q282" s="41">
        <v>3354.64</v>
      </c>
      <c r="R282" s="41">
        <v>4900</v>
      </c>
      <c r="S282" s="41">
        <f t="shared" si="12"/>
        <v>1545.3600000000001</v>
      </c>
    </row>
    <row r="283" spans="1:19">
      <c r="A283" s="5">
        <v>282</v>
      </c>
      <c r="B283" s="5">
        <v>2507210848</v>
      </c>
      <c r="C283" s="5" t="s">
        <v>1048</v>
      </c>
      <c r="D283" s="5" t="s">
        <v>89</v>
      </c>
      <c r="E283" s="5" t="s">
        <v>90</v>
      </c>
      <c r="F283" s="5" t="s">
        <v>79</v>
      </c>
      <c r="G283" s="5" t="s">
        <v>52</v>
      </c>
      <c r="H283" s="5" t="s">
        <v>1044</v>
      </c>
      <c r="I283" s="5">
        <v>202500713</v>
      </c>
      <c r="J283" s="5"/>
      <c r="K283" s="6">
        <v>45859</v>
      </c>
      <c r="L283" s="6">
        <v>45864</v>
      </c>
      <c r="M283" s="5" t="s">
        <v>53</v>
      </c>
      <c r="N283" s="5" t="s">
        <v>54</v>
      </c>
      <c r="O283" s="5" t="s">
        <v>41</v>
      </c>
      <c r="P283" s="30">
        <f t="shared" si="15"/>
        <v>5</v>
      </c>
      <c r="Q283" s="41">
        <v>3354.64</v>
      </c>
      <c r="R283" s="41">
        <v>5500</v>
      </c>
      <c r="S283" s="41">
        <f t="shared" si="12"/>
        <v>2145.36</v>
      </c>
    </row>
    <row r="284" spans="1:19">
      <c r="A284" s="5">
        <v>283</v>
      </c>
      <c r="B284" s="5">
        <v>2507210852</v>
      </c>
      <c r="C284" s="5" t="s">
        <v>1049</v>
      </c>
      <c r="D284" s="5" t="s">
        <v>631</v>
      </c>
      <c r="E284" s="5" t="s">
        <v>664</v>
      </c>
      <c r="F284" s="5" t="s">
        <v>87</v>
      </c>
      <c r="G284" s="5" t="s">
        <v>52</v>
      </c>
      <c r="H284" s="5" t="s">
        <v>1044</v>
      </c>
      <c r="I284" s="5">
        <v>202500714</v>
      </c>
      <c r="J284" s="5"/>
      <c r="K284" s="6">
        <v>45859</v>
      </c>
      <c r="L284" s="6">
        <v>45864</v>
      </c>
      <c r="M284" s="5" t="s">
        <v>53</v>
      </c>
      <c r="N284" s="5" t="s">
        <v>54</v>
      </c>
      <c r="O284" s="5" t="s">
        <v>41</v>
      </c>
      <c r="P284" s="30">
        <f t="shared" si="15"/>
        <v>5</v>
      </c>
      <c r="Q284" s="41">
        <v>3354.64</v>
      </c>
      <c r="R284" s="41">
        <v>8000</v>
      </c>
      <c r="S284" s="41">
        <f t="shared" si="12"/>
        <v>4645.3600000000006</v>
      </c>
    </row>
    <row r="285" spans="1:19">
      <c r="A285" s="5">
        <v>284</v>
      </c>
      <c r="B285" s="5">
        <v>2507210878</v>
      </c>
      <c r="C285" s="5" t="s">
        <v>1050</v>
      </c>
      <c r="D285" s="5" t="s">
        <v>40</v>
      </c>
      <c r="E285" s="5" t="s">
        <v>41</v>
      </c>
      <c r="F285" s="5" t="s">
        <v>42</v>
      </c>
      <c r="G285" s="5" t="s">
        <v>75</v>
      </c>
      <c r="H285" s="5" t="s">
        <v>1044</v>
      </c>
      <c r="I285" s="5">
        <v>202500715</v>
      </c>
      <c r="J285" s="5"/>
      <c r="K285" s="6">
        <v>45859</v>
      </c>
      <c r="L285" s="6">
        <v>45864</v>
      </c>
      <c r="M285" s="5" t="s">
        <v>53</v>
      </c>
      <c r="N285" s="5" t="s">
        <v>54</v>
      </c>
      <c r="O285" s="5" t="s">
        <v>41</v>
      </c>
      <c r="P285" s="30">
        <f t="shared" si="15"/>
        <v>5</v>
      </c>
      <c r="Q285" s="41">
        <v>3354.64</v>
      </c>
      <c r="R285" s="41">
        <v>6500</v>
      </c>
      <c r="S285" s="41">
        <f t="shared" si="12"/>
        <v>3145.36</v>
      </c>
    </row>
    <row r="286" spans="1:19">
      <c r="A286" s="5">
        <v>285</v>
      </c>
      <c r="B286" s="5">
        <v>2507210927</v>
      </c>
      <c r="C286" s="5" t="s">
        <v>1051</v>
      </c>
      <c r="D286" s="5" t="s">
        <v>40</v>
      </c>
      <c r="E286" s="5" t="s">
        <v>41</v>
      </c>
      <c r="F286" s="5" t="s">
        <v>42</v>
      </c>
      <c r="G286" s="5" t="s">
        <v>75</v>
      </c>
      <c r="H286" s="5" t="s">
        <v>1044</v>
      </c>
      <c r="I286" s="5">
        <v>202500716</v>
      </c>
      <c r="J286" s="5"/>
      <c r="K286" s="6">
        <v>45859</v>
      </c>
      <c r="L286" s="6">
        <v>45864</v>
      </c>
      <c r="M286" s="5" t="s">
        <v>53</v>
      </c>
      <c r="N286" s="5" t="s">
        <v>54</v>
      </c>
      <c r="O286" s="5" t="s">
        <v>41</v>
      </c>
      <c r="P286" s="30">
        <f t="shared" si="15"/>
        <v>5</v>
      </c>
      <c r="Q286" s="41">
        <v>3354.64</v>
      </c>
      <c r="R286" s="41">
        <v>6500</v>
      </c>
      <c r="S286" s="41">
        <f t="shared" si="12"/>
        <v>3145.36</v>
      </c>
    </row>
    <row r="287" spans="1:19">
      <c r="A287" s="5">
        <v>286</v>
      </c>
      <c r="B287" s="5">
        <v>2507210891</v>
      </c>
      <c r="C287" s="5" t="s">
        <v>1052</v>
      </c>
      <c r="D287" s="5" t="s">
        <v>40</v>
      </c>
      <c r="E287" s="5" t="s">
        <v>41</v>
      </c>
      <c r="F287" s="5" t="s">
        <v>42</v>
      </c>
      <c r="G287" s="5" t="s">
        <v>190</v>
      </c>
      <c r="H287" s="5" t="s">
        <v>1044</v>
      </c>
      <c r="I287" s="5">
        <v>202500717</v>
      </c>
      <c r="J287" s="5"/>
      <c r="K287" s="6">
        <v>45859</v>
      </c>
      <c r="L287" s="6">
        <v>45864</v>
      </c>
      <c r="M287" s="5" t="s">
        <v>53</v>
      </c>
      <c r="N287" s="5" t="s">
        <v>54</v>
      </c>
      <c r="O287" s="5" t="s">
        <v>41</v>
      </c>
      <c r="P287" s="30">
        <f t="shared" si="15"/>
        <v>5</v>
      </c>
      <c r="Q287" s="41">
        <v>3354.64</v>
      </c>
      <c r="R287" s="41">
        <v>13500</v>
      </c>
      <c r="S287" s="41">
        <f t="shared" si="12"/>
        <v>10145.36</v>
      </c>
    </row>
    <row r="288" spans="1:19">
      <c r="A288" s="5">
        <v>287</v>
      </c>
      <c r="B288" s="5">
        <v>2507212386</v>
      </c>
      <c r="C288" s="5" t="s">
        <v>1053</v>
      </c>
      <c r="D288" s="5" t="s">
        <v>83</v>
      </c>
      <c r="E288" s="5" t="s">
        <v>84</v>
      </c>
      <c r="F288" s="5" t="s">
        <v>62</v>
      </c>
      <c r="G288" s="5" t="s">
        <v>52</v>
      </c>
      <c r="H288" s="5" t="s">
        <v>1044</v>
      </c>
      <c r="I288" s="5">
        <v>202500718</v>
      </c>
      <c r="J288" s="5"/>
      <c r="K288" s="6">
        <v>45859</v>
      </c>
      <c r="L288" s="6">
        <v>45864</v>
      </c>
      <c r="M288" s="5" t="s">
        <v>53</v>
      </c>
      <c r="N288" s="5" t="s">
        <v>54</v>
      </c>
      <c r="O288" s="5" t="s">
        <v>41</v>
      </c>
      <c r="P288" s="30">
        <f t="shared" si="15"/>
        <v>5</v>
      </c>
      <c r="Q288" s="41">
        <v>3354.64</v>
      </c>
      <c r="R288" s="41">
        <v>6000</v>
      </c>
      <c r="S288" s="41">
        <f t="shared" si="12"/>
        <v>2645.36</v>
      </c>
    </row>
    <row r="289" spans="1:19">
      <c r="A289" s="5">
        <v>288</v>
      </c>
      <c r="B289" s="5">
        <v>2507212387</v>
      </c>
      <c r="C289" s="5" t="s">
        <v>1054</v>
      </c>
      <c r="D289" s="5" t="s">
        <v>345</v>
      </c>
      <c r="E289" s="5" t="s">
        <v>648</v>
      </c>
      <c r="F289" s="5" t="s">
        <v>66</v>
      </c>
      <c r="G289" s="5" t="s">
        <v>52</v>
      </c>
      <c r="H289" s="5" t="s">
        <v>1044</v>
      </c>
      <c r="I289" s="5">
        <v>202500719</v>
      </c>
      <c r="J289" s="5"/>
      <c r="K289" s="6">
        <v>45859</v>
      </c>
      <c r="L289" s="6">
        <v>45864</v>
      </c>
      <c r="M289" s="5" t="s">
        <v>53</v>
      </c>
      <c r="N289" s="5" t="s">
        <v>54</v>
      </c>
      <c r="O289" s="5" t="s">
        <v>41</v>
      </c>
      <c r="P289" s="30">
        <f t="shared" si="15"/>
        <v>5</v>
      </c>
      <c r="Q289" s="41">
        <v>3354.64</v>
      </c>
      <c r="R289" s="41">
        <v>6000</v>
      </c>
      <c r="S289" s="41">
        <f t="shared" si="12"/>
        <v>2645.36</v>
      </c>
    </row>
    <row r="290" spans="1:19">
      <c r="A290" s="5">
        <v>289</v>
      </c>
      <c r="B290" s="5">
        <v>2507221248</v>
      </c>
      <c r="C290" s="5" t="s">
        <v>1055</v>
      </c>
      <c r="D290" s="5" t="s">
        <v>733</v>
      </c>
      <c r="E290" s="5" t="s">
        <v>1027</v>
      </c>
      <c r="F290" s="5" t="s">
        <v>51</v>
      </c>
      <c r="G290" s="5" t="s">
        <v>52</v>
      </c>
      <c r="H290" s="5" t="s">
        <v>1044</v>
      </c>
      <c r="I290" s="5">
        <v>202500720</v>
      </c>
      <c r="J290" s="5"/>
      <c r="K290" s="6">
        <v>45860</v>
      </c>
      <c r="L290" s="6">
        <v>45864</v>
      </c>
      <c r="M290" s="5" t="s">
        <v>53</v>
      </c>
      <c r="N290" s="5" t="s">
        <v>54</v>
      </c>
      <c r="O290" s="5" t="s">
        <v>41</v>
      </c>
      <c r="P290" s="30">
        <f t="shared" si="15"/>
        <v>4</v>
      </c>
      <c r="Q290" s="41">
        <v>3354.64</v>
      </c>
      <c r="R290" s="41">
        <v>5500</v>
      </c>
      <c r="S290" s="41">
        <f t="shared" si="12"/>
        <v>2145.36</v>
      </c>
    </row>
    <row r="291" spans="1:19">
      <c r="A291" s="5">
        <v>290</v>
      </c>
      <c r="B291" s="5">
        <v>2507221252</v>
      </c>
      <c r="C291" s="5" t="s">
        <v>1056</v>
      </c>
      <c r="D291" s="5" t="s">
        <v>550</v>
      </c>
      <c r="E291" s="5" t="s">
        <v>597</v>
      </c>
      <c r="F291" s="5" t="s">
        <v>51</v>
      </c>
      <c r="G291" s="5" t="s">
        <v>52</v>
      </c>
      <c r="H291" s="5" t="s">
        <v>1044</v>
      </c>
      <c r="I291" s="5">
        <v>202500721</v>
      </c>
      <c r="J291" s="5"/>
      <c r="K291" s="6">
        <v>45860</v>
      </c>
      <c r="L291" s="6">
        <v>45864</v>
      </c>
      <c r="M291" s="5" t="s">
        <v>53</v>
      </c>
      <c r="N291" s="5" t="s">
        <v>54</v>
      </c>
      <c r="O291" s="5" t="s">
        <v>41</v>
      </c>
      <c r="P291" s="30">
        <f t="shared" si="15"/>
        <v>4</v>
      </c>
      <c r="Q291" s="41">
        <v>3354.64</v>
      </c>
      <c r="R291" s="41">
        <v>7000</v>
      </c>
      <c r="S291" s="41">
        <f t="shared" si="12"/>
        <v>3645.36</v>
      </c>
    </row>
    <row r="292" spans="1:19">
      <c r="A292" s="5">
        <v>291</v>
      </c>
      <c r="B292" s="5">
        <v>2507221253</v>
      </c>
      <c r="C292" s="5" t="s">
        <v>1057</v>
      </c>
      <c r="D292" s="5" t="s">
        <v>64</v>
      </c>
      <c r="E292" s="5" t="s">
        <v>65</v>
      </c>
      <c r="F292" s="5" t="s">
        <v>66</v>
      </c>
      <c r="G292" s="5" t="s">
        <v>52</v>
      </c>
      <c r="H292" s="5" t="s">
        <v>1044</v>
      </c>
      <c r="I292" s="5">
        <v>202500722</v>
      </c>
      <c r="J292" s="5"/>
      <c r="K292" s="6">
        <v>45860</v>
      </c>
      <c r="L292" s="6">
        <v>45864</v>
      </c>
      <c r="M292" s="5" t="s">
        <v>53</v>
      </c>
      <c r="N292" s="5" t="s">
        <v>54</v>
      </c>
      <c r="O292" s="5" t="s">
        <v>41</v>
      </c>
      <c r="P292" s="30">
        <f t="shared" si="15"/>
        <v>4</v>
      </c>
      <c r="Q292" s="41">
        <v>3354.64</v>
      </c>
      <c r="R292" s="41">
        <v>5500</v>
      </c>
      <c r="S292" s="41">
        <f t="shared" ref="S292:S308" si="16">R292-Q292</f>
        <v>2145.36</v>
      </c>
    </row>
    <row r="293" spans="1:19">
      <c r="A293" s="5">
        <v>292</v>
      </c>
      <c r="B293" s="5">
        <v>2507220185</v>
      </c>
      <c r="C293" s="5" t="s">
        <v>1058</v>
      </c>
      <c r="D293" s="5" t="s">
        <v>40</v>
      </c>
      <c r="E293" s="5" t="s">
        <v>41</v>
      </c>
      <c r="F293" s="5" t="s">
        <v>42</v>
      </c>
      <c r="G293" s="5" t="s">
        <v>75</v>
      </c>
      <c r="H293" s="5" t="s">
        <v>1044</v>
      </c>
      <c r="I293" s="5">
        <v>202500723</v>
      </c>
      <c r="J293" s="5"/>
      <c r="K293" s="6">
        <v>45860</v>
      </c>
      <c r="L293" s="6">
        <v>45864</v>
      </c>
      <c r="M293" s="5" t="s">
        <v>53</v>
      </c>
      <c r="N293" s="5" t="s">
        <v>54</v>
      </c>
      <c r="O293" s="5" t="s">
        <v>41</v>
      </c>
      <c r="P293" s="30">
        <f t="shared" si="15"/>
        <v>4</v>
      </c>
      <c r="Q293" s="41">
        <v>3354.64</v>
      </c>
      <c r="R293" s="41">
        <v>6500</v>
      </c>
      <c r="S293" s="41">
        <f t="shared" si="16"/>
        <v>3145.36</v>
      </c>
    </row>
    <row r="294" spans="1:19">
      <c r="A294" s="5">
        <v>293</v>
      </c>
      <c r="B294" s="5">
        <v>2507223558</v>
      </c>
      <c r="C294" s="5" t="s">
        <v>1059</v>
      </c>
      <c r="D294" s="5" t="s">
        <v>711</v>
      </c>
      <c r="E294" s="5" t="s">
        <v>712</v>
      </c>
      <c r="F294" s="5" t="s">
        <v>71</v>
      </c>
      <c r="G294" s="5" t="s">
        <v>43</v>
      </c>
      <c r="H294" s="5" t="s">
        <v>1044</v>
      </c>
      <c r="I294" s="5">
        <v>202500724</v>
      </c>
      <c r="J294" s="5"/>
      <c r="K294" s="6">
        <v>45860</v>
      </c>
      <c r="L294" s="6">
        <v>45864</v>
      </c>
      <c r="M294" s="5" t="s">
        <v>53</v>
      </c>
      <c r="N294" s="5" t="s">
        <v>54</v>
      </c>
      <c r="O294" s="5" t="s">
        <v>41</v>
      </c>
      <c r="P294" s="30">
        <f t="shared" si="15"/>
        <v>4</v>
      </c>
      <c r="Q294" s="41">
        <v>3354.64</v>
      </c>
      <c r="R294" s="41">
        <v>12000</v>
      </c>
      <c r="S294" s="41">
        <f t="shared" si="16"/>
        <v>8645.36</v>
      </c>
    </row>
    <row r="295" spans="1:19">
      <c r="A295" s="5">
        <v>294</v>
      </c>
      <c r="B295" s="5">
        <v>2507223564</v>
      </c>
      <c r="C295" s="5" t="s">
        <v>1060</v>
      </c>
      <c r="D295" s="5" t="s">
        <v>564</v>
      </c>
      <c r="E295" s="5" t="s">
        <v>589</v>
      </c>
      <c r="F295" s="5" t="s">
        <v>71</v>
      </c>
      <c r="G295" s="5" t="s">
        <v>75</v>
      </c>
      <c r="H295" s="5" t="s">
        <v>1044</v>
      </c>
      <c r="I295" s="5">
        <v>202500725</v>
      </c>
      <c r="J295" s="5"/>
      <c r="K295" s="6">
        <v>45860</v>
      </c>
      <c r="L295" s="6">
        <v>45864</v>
      </c>
      <c r="M295" s="5" t="s">
        <v>53</v>
      </c>
      <c r="N295" s="5" t="s">
        <v>54</v>
      </c>
      <c r="O295" s="5" t="s">
        <v>41</v>
      </c>
      <c r="P295" s="30">
        <f t="shared" si="15"/>
        <v>4</v>
      </c>
      <c r="Q295" s="41">
        <v>3354.64</v>
      </c>
      <c r="R295" s="41">
        <v>6500</v>
      </c>
      <c r="S295" s="41">
        <f t="shared" si="16"/>
        <v>3145.36</v>
      </c>
    </row>
    <row r="296" spans="1:19">
      <c r="A296" s="5">
        <v>295</v>
      </c>
      <c r="B296" s="9">
        <v>2507083650</v>
      </c>
      <c r="C296" s="9" t="s">
        <v>866</v>
      </c>
      <c r="D296" s="9" t="s">
        <v>354</v>
      </c>
      <c r="E296" s="9" t="s">
        <v>355</v>
      </c>
      <c r="F296" s="9" t="s">
        <v>141</v>
      </c>
      <c r="G296" s="9" t="s">
        <v>52</v>
      </c>
      <c r="H296" s="9" t="s">
        <v>1044</v>
      </c>
      <c r="I296" s="9">
        <v>202500726</v>
      </c>
      <c r="J296" s="9"/>
      <c r="K296" s="10">
        <v>45860</v>
      </c>
      <c r="L296" s="10">
        <v>45864</v>
      </c>
      <c r="M296" s="9" t="s">
        <v>45</v>
      </c>
      <c r="N296" s="9" t="s">
        <v>94</v>
      </c>
      <c r="O296" s="63" t="s">
        <v>883</v>
      </c>
      <c r="P296" s="32">
        <f t="shared" si="15"/>
        <v>4</v>
      </c>
      <c r="Q296" s="11">
        <v>3354.64</v>
      </c>
      <c r="R296" s="11">
        <v>0</v>
      </c>
      <c r="S296" s="11">
        <f t="shared" si="16"/>
        <v>-3354.64</v>
      </c>
    </row>
    <row r="297" spans="1:19">
      <c r="A297" s="5">
        <v>296</v>
      </c>
      <c r="B297" s="5">
        <v>2507233196</v>
      </c>
      <c r="C297" s="5" t="s">
        <v>1061</v>
      </c>
      <c r="D297" s="5" t="s">
        <v>908</v>
      </c>
      <c r="E297" s="5" t="s">
        <v>909</v>
      </c>
      <c r="F297" s="5" t="s">
        <v>362</v>
      </c>
      <c r="G297" s="5" t="s">
        <v>52</v>
      </c>
      <c r="H297" s="5" t="s">
        <v>1044</v>
      </c>
      <c r="I297" s="5">
        <v>202500727</v>
      </c>
      <c r="J297" s="5"/>
      <c r="K297" s="6">
        <v>45861</v>
      </c>
      <c r="L297" s="6">
        <v>45864</v>
      </c>
      <c r="M297" s="5" t="s">
        <v>53</v>
      </c>
      <c r="N297" s="5" t="s">
        <v>54</v>
      </c>
      <c r="O297" s="5" t="s">
        <v>41</v>
      </c>
      <c r="P297" s="30">
        <f t="shared" si="15"/>
        <v>3</v>
      </c>
      <c r="Q297" s="41">
        <v>3354.64</v>
      </c>
      <c r="R297" s="41">
        <v>5500</v>
      </c>
      <c r="S297" s="41">
        <f t="shared" si="16"/>
        <v>2145.36</v>
      </c>
    </row>
    <row r="298" spans="1:19">
      <c r="A298" s="5">
        <v>297</v>
      </c>
      <c r="B298" s="5">
        <v>2507233212</v>
      </c>
      <c r="C298" s="5" t="s">
        <v>1062</v>
      </c>
      <c r="D298" s="5" t="s">
        <v>64</v>
      </c>
      <c r="E298" s="5" t="s">
        <v>65</v>
      </c>
      <c r="F298" s="5" t="s">
        <v>66</v>
      </c>
      <c r="G298" s="5" t="s">
        <v>52</v>
      </c>
      <c r="H298" s="5" t="s">
        <v>1044</v>
      </c>
      <c r="I298" s="5">
        <v>202500728</v>
      </c>
      <c r="J298" s="5"/>
      <c r="K298" s="6">
        <v>45861</v>
      </c>
      <c r="L298" s="6">
        <v>45864</v>
      </c>
      <c r="M298" s="5" t="s">
        <v>53</v>
      </c>
      <c r="N298" s="5" t="s">
        <v>54</v>
      </c>
      <c r="O298" s="5" t="s">
        <v>41</v>
      </c>
      <c r="P298" s="30">
        <f t="shared" si="15"/>
        <v>3</v>
      </c>
      <c r="Q298" s="41">
        <v>3354.64</v>
      </c>
      <c r="R298" s="41">
        <v>5500</v>
      </c>
      <c r="S298" s="41">
        <f t="shared" si="16"/>
        <v>2145.36</v>
      </c>
    </row>
    <row r="299" spans="1:19">
      <c r="A299" s="5">
        <v>298</v>
      </c>
      <c r="B299" s="5">
        <v>2507233224</v>
      </c>
      <c r="C299" s="5" t="s">
        <v>1063</v>
      </c>
      <c r="D299" s="5" t="s">
        <v>64</v>
      </c>
      <c r="E299" s="5" t="s">
        <v>65</v>
      </c>
      <c r="F299" s="5" t="s">
        <v>66</v>
      </c>
      <c r="G299" s="5" t="s">
        <v>52</v>
      </c>
      <c r="H299" s="5" t="s">
        <v>1044</v>
      </c>
      <c r="I299" s="5">
        <v>202500729</v>
      </c>
      <c r="J299" s="5"/>
      <c r="K299" s="6">
        <v>45861</v>
      </c>
      <c r="L299" s="6">
        <v>45864</v>
      </c>
      <c r="M299" s="5" t="s">
        <v>53</v>
      </c>
      <c r="N299" s="5" t="s">
        <v>54</v>
      </c>
      <c r="O299" s="5" t="s">
        <v>41</v>
      </c>
      <c r="P299" s="30">
        <f t="shared" si="15"/>
        <v>3</v>
      </c>
      <c r="Q299" s="41">
        <v>3354.64</v>
      </c>
      <c r="R299" s="41">
        <v>5500</v>
      </c>
      <c r="S299" s="41">
        <f t="shared" si="16"/>
        <v>2145.36</v>
      </c>
    </row>
    <row r="300" spans="1:19">
      <c r="A300" s="5">
        <v>299</v>
      </c>
      <c r="B300" s="5">
        <v>2507233234</v>
      </c>
      <c r="C300" s="5" t="s">
        <v>1064</v>
      </c>
      <c r="D300" s="5" t="s">
        <v>139</v>
      </c>
      <c r="E300" s="5" t="s">
        <v>413</v>
      </c>
      <c r="F300" s="5" t="s">
        <v>141</v>
      </c>
      <c r="G300" s="5" t="s">
        <v>52</v>
      </c>
      <c r="H300" s="5" t="s">
        <v>1044</v>
      </c>
      <c r="I300" s="5">
        <v>202500730</v>
      </c>
      <c r="J300" s="5"/>
      <c r="K300" s="6">
        <v>45861</v>
      </c>
      <c r="L300" s="6">
        <v>45864</v>
      </c>
      <c r="M300" s="5" t="s">
        <v>53</v>
      </c>
      <c r="N300" s="5" t="s">
        <v>54</v>
      </c>
      <c r="O300" s="5" t="s">
        <v>41</v>
      </c>
      <c r="P300" s="30">
        <f t="shared" si="15"/>
        <v>3</v>
      </c>
      <c r="Q300" s="41">
        <v>3354.64</v>
      </c>
      <c r="R300" s="41">
        <v>6000</v>
      </c>
      <c r="S300" s="41">
        <f t="shared" si="16"/>
        <v>2645.36</v>
      </c>
    </row>
    <row r="301" spans="1:19">
      <c r="A301" s="5">
        <v>300</v>
      </c>
      <c r="B301" s="5">
        <v>2507233238</v>
      </c>
      <c r="C301" s="5" t="s">
        <v>1065</v>
      </c>
      <c r="D301" s="5" t="s">
        <v>631</v>
      </c>
      <c r="E301" s="5" t="s">
        <v>664</v>
      </c>
      <c r="F301" s="5" t="s">
        <v>87</v>
      </c>
      <c r="G301" s="5" t="s">
        <v>52</v>
      </c>
      <c r="H301" s="5" t="s">
        <v>1044</v>
      </c>
      <c r="I301" s="5">
        <v>202500731</v>
      </c>
      <c r="J301" s="5"/>
      <c r="K301" s="6">
        <v>45861</v>
      </c>
      <c r="L301" s="6">
        <v>45864</v>
      </c>
      <c r="M301" s="5" t="s">
        <v>53</v>
      </c>
      <c r="N301" s="5" t="s">
        <v>54</v>
      </c>
      <c r="O301" s="5" t="s">
        <v>41</v>
      </c>
      <c r="P301" s="30">
        <f t="shared" si="15"/>
        <v>3</v>
      </c>
      <c r="Q301" s="41">
        <v>3354.64</v>
      </c>
      <c r="R301" s="41">
        <v>8000</v>
      </c>
      <c r="S301" s="41">
        <f t="shared" si="16"/>
        <v>4645.3600000000006</v>
      </c>
    </row>
    <row r="302" spans="1:19">
      <c r="A302" s="5">
        <v>301</v>
      </c>
      <c r="B302" s="5">
        <v>2507233241</v>
      </c>
      <c r="C302" s="5" t="s">
        <v>1066</v>
      </c>
      <c r="D302" s="5" t="s">
        <v>309</v>
      </c>
      <c r="E302" s="5" t="s">
        <v>1067</v>
      </c>
      <c r="F302" s="5" t="s">
        <v>51</v>
      </c>
      <c r="G302" s="5" t="s">
        <v>52</v>
      </c>
      <c r="H302" s="5" t="s">
        <v>1044</v>
      </c>
      <c r="I302" s="5">
        <v>202500732</v>
      </c>
      <c r="J302" s="5"/>
      <c r="K302" s="6">
        <v>45861</v>
      </c>
      <c r="L302" s="6">
        <v>45864</v>
      </c>
      <c r="M302" s="5" t="s">
        <v>53</v>
      </c>
      <c r="N302" s="5" t="s">
        <v>54</v>
      </c>
      <c r="O302" s="5" t="s">
        <v>41</v>
      </c>
      <c r="P302" s="30">
        <f t="shared" si="15"/>
        <v>3</v>
      </c>
      <c r="Q302" s="41">
        <v>3354.64</v>
      </c>
      <c r="R302" s="41">
        <v>5500</v>
      </c>
      <c r="S302" s="41">
        <f t="shared" si="16"/>
        <v>2145.36</v>
      </c>
    </row>
    <row r="303" spans="1:19">
      <c r="A303" s="5">
        <v>302</v>
      </c>
      <c r="B303" s="5">
        <v>2507233245</v>
      </c>
      <c r="C303" s="5" t="s">
        <v>1068</v>
      </c>
      <c r="D303" s="5" t="s">
        <v>218</v>
      </c>
      <c r="E303" s="5" t="s">
        <v>219</v>
      </c>
      <c r="F303" s="5" t="s">
        <v>51</v>
      </c>
      <c r="G303" s="5" t="s">
        <v>52</v>
      </c>
      <c r="H303" s="5" t="s">
        <v>1044</v>
      </c>
      <c r="I303" s="5">
        <v>202500733</v>
      </c>
      <c r="J303" s="5"/>
      <c r="K303" s="6">
        <v>45861</v>
      </c>
      <c r="L303" s="6">
        <v>45864</v>
      </c>
      <c r="M303" s="5" t="s">
        <v>53</v>
      </c>
      <c r="N303" s="5" t="s">
        <v>54</v>
      </c>
      <c r="O303" s="5" t="s">
        <v>41</v>
      </c>
      <c r="P303" s="30">
        <f t="shared" si="15"/>
        <v>3</v>
      </c>
      <c r="Q303" s="41">
        <v>3354.64</v>
      </c>
      <c r="R303" s="41">
        <v>5500</v>
      </c>
      <c r="S303" s="41">
        <f t="shared" si="16"/>
        <v>2145.36</v>
      </c>
    </row>
    <row r="304" spans="1:19">
      <c r="A304" s="5">
        <v>303</v>
      </c>
      <c r="B304" s="5">
        <v>2507233247</v>
      </c>
      <c r="C304" s="5" t="s">
        <v>1069</v>
      </c>
      <c r="D304" s="5" t="s">
        <v>599</v>
      </c>
      <c r="E304" s="5" t="s">
        <v>1070</v>
      </c>
      <c r="F304" s="5" t="s">
        <v>169</v>
      </c>
      <c r="G304" s="5" t="s">
        <v>75</v>
      </c>
      <c r="H304" s="5" t="s">
        <v>1044</v>
      </c>
      <c r="I304" s="5">
        <v>202500734</v>
      </c>
      <c r="J304" s="5"/>
      <c r="K304" s="6">
        <v>45861</v>
      </c>
      <c r="L304" s="6">
        <v>45864</v>
      </c>
      <c r="M304" s="5" t="s">
        <v>53</v>
      </c>
      <c r="N304" s="5" t="s">
        <v>54</v>
      </c>
      <c r="O304" s="5" t="s">
        <v>41</v>
      </c>
      <c r="P304" s="30">
        <f t="shared" si="15"/>
        <v>3</v>
      </c>
      <c r="Q304" s="41">
        <v>3354.64</v>
      </c>
      <c r="R304" s="41">
        <v>5000</v>
      </c>
      <c r="S304" s="41">
        <f t="shared" si="16"/>
        <v>1645.3600000000001</v>
      </c>
    </row>
    <row r="305" spans="1:19">
      <c r="A305" s="5">
        <v>304</v>
      </c>
      <c r="B305" s="5">
        <v>2507233254</v>
      </c>
      <c r="C305" s="5" t="s">
        <v>1071</v>
      </c>
      <c r="D305" s="5" t="s">
        <v>599</v>
      </c>
      <c r="E305" s="5" t="s">
        <v>969</v>
      </c>
      <c r="F305" s="5" t="s">
        <v>169</v>
      </c>
      <c r="G305" s="5" t="s">
        <v>43</v>
      </c>
      <c r="H305" s="5" t="s">
        <v>1044</v>
      </c>
      <c r="I305" s="5">
        <v>202500735</v>
      </c>
      <c r="J305" s="5"/>
      <c r="K305" s="6">
        <v>45861</v>
      </c>
      <c r="L305" s="6">
        <v>45864</v>
      </c>
      <c r="M305" s="5" t="s">
        <v>53</v>
      </c>
      <c r="N305" s="5" t="s">
        <v>54</v>
      </c>
      <c r="O305" s="5" t="s">
        <v>41</v>
      </c>
      <c r="P305" s="30">
        <f t="shared" si="15"/>
        <v>3</v>
      </c>
      <c r="Q305" s="41">
        <v>3354.64</v>
      </c>
      <c r="R305" s="41">
        <v>11500</v>
      </c>
      <c r="S305" s="41">
        <f t="shared" si="16"/>
        <v>8145.3600000000006</v>
      </c>
    </row>
    <row r="306" spans="1:19">
      <c r="A306" s="5">
        <v>305</v>
      </c>
      <c r="B306" s="13">
        <v>2507200883</v>
      </c>
      <c r="C306" s="13" t="s">
        <v>1018</v>
      </c>
      <c r="D306" s="13" t="s">
        <v>405</v>
      </c>
      <c r="E306" s="13" t="s">
        <v>485</v>
      </c>
      <c r="F306" s="13" t="s">
        <v>202</v>
      </c>
      <c r="G306" s="13" t="s">
        <v>52</v>
      </c>
      <c r="H306" s="13" t="s">
        <v>1044</v>
      </c>
      <c r="I306" s="13">
        <v>202500736</v>
      </c>
      <c r="J306" s="13"/>
      <c r="K306" s="14">
        <v>45858</v>
      </c>
      <c r="L306" s="14">
        <v>45864</v>
      </c>
      <c r="M306" s="13" t="s">
        <v>45</v>
      </c>
      <c r="N306" s="13" t="s">
        <v>46</v>
      </c>
      <c r="O306" s="64" t="s">
        <v>1072</v>
      </c>
      <c r="P306" s="35">
        <f t="shared" si="15"/>
        <v>6</v>
      </c>
      <c r="Q306" s="15">
        <v>3354.64</v>
      </c>
      <c r="R306" s="15">
        <v>0</v>
      </c>
      <c r="S306" s="15">
        <f t="shared" si="16"/>
        <v>-3354.64</v>
      </c>
    </row>
    <row r="307" spans="1:19">
      <c r="A307" s="5">
        <v>306</v>
      </c>
      <c r="B307" s="5" t="s">
        <v>1073</v>
      </c>
      <c r="C307" s="5"/>
      <c r="D307" s="5"/>
      <c r="E307" s="5"/>
      <c r="F307" s="5"/>
      <c r="G307" s="5" t="s">
        <v>52</v>
      </c>
      <c r="H307" s="5"/>
      <c r="I307" s="5"/>
      <c r="J307" s="5"/>
      <c r="K307" s="5"/>
      <c r="L307" s="5"/>
      <c r="M307" s="5"/>
      <c r="N307" s="5"/>
      <c r="O307" s="5"/>
      <c r="P307" s="5"/>
      <c r="Q307" s="41">
        <v>3354.64</v>
      </c>
      <c r="R307" s="41">
        <v>0</v>
      </c>
      <c r="S307" s="41">
        <f t="shared" si="16"/>
        <v>-3354.64</v>
      </c>
    </row>
    <row r="308" spans="1:19">
      <c r="A308" s="5">
        <v>307</v>
      </c>
      <c r="B308" s="5" t="s">
        <v>1074</v>
      </c>
      <c r="C308" s="5"/>
      <c r="D308" s="5"/>
      <c r="E308" s="5"/>
      <c r="F308" s="5"/>
      <c r="G308" s="5" t="s">
        <v>52</v>
      </c>
      <c r="H308" s="5"/>
      <c r="I308" s="5"/>
      <c r="J308" s="5"/>
      <c r="K308" s="5"/>
      <c r="L308" s="5"/>
      <c r="M308" s="5"/>
      <c r="N308" s="5"/>
      <c r="O308" s="5"/>
      <c r="P308" s="5"/>
      <c r="Q308" s="41">
        <v>3354.64</v>
      </c>
      <c r="R308" s="41">
        <v>0</v>
      </c>
      <c r="S308" s="41">
        <f t="shared" si="16"/>
        <v>-3354.64</v>
      </c>
    </row>
    <row r="309" spans="1:19">
      <c r="A309" s="5">
        <v>308</v>
      </c>
      <c r="B309" s="66">
        <v>2507241605</v>
      </c>
      <c r="C309" s="66" t="s">
        <v>1075</v>
      </c>
      <c r="D309" s="66" t="s">
        <v>40</v>
      </c>
      <c r="E309" s="66" t="s">
        <v>41</v>
      </c>
      <c r="F309" s="66" t="s">
        <v>42</v>
      </c>
      <c r="G309" s="66" t="s">
        <v>75</v>
      </c>
      <c r="H309" s="66" t="s">
        <v>1076</v>
      </c>
      <c r="I309" s="66">
        <v>202500737</v>
      </c>
      <c r="J309" s="66"/>
      <c r="K309" s="67">
        <v>45862</v>
      </c>
      <c r="L309" s="67">
        <v>45868</v>
      </c>
      <c r="M309" s="66" t="s">
        <v>45</v>
      </c>
      <c r="N309" s="66" t="s">
        <v>94</v>
      </c>
      <c r="O309" s="63" t="s">
        <v>883</v>
      </c>
      <c r="P309" s="68">
        <v>6</v>
      </c>
      <c r="Q309" s="69">
        <v>3354.64</v>
      </c>
      <c r="R309" s="70">
        <v>6500</v>
      </c>
      <c r="S309" s="70">
        <f>R309-Q309</f>
        <v>3145.36</v>
      </c>
    </row>
    <row r="310" spans="1:19">
      <c r="A310" s="5">
        <v>309</v>
      </c>
      <c r="B310" s="42">
        <v>2507233264</v>
      </c>
      <c r="C310" s="42" t="s">
        <v>1077</v>
      </c>
      <c r="D310" s="42" t="s">
        <v>804</v>
      </c>
      <c r="E310" s="42" t="s">
        <v>805</v>
      </c>
      <c r="F310" s="42" t="s">
        <v>457</v>
      </c>
      <c r="G310" s="42" t="s">
        <v>52</v>
      </c>
      <c r="H310" s="42" t="s">
        <v>1076</v>
      </c>
      <c r="I310" s="42">
        <v>202500738</v>
      </c>
      <c r="J310" s="42"/>
      <c r="K310" s="43">
        <v>45861</v>
      </c>
      <c r="L310" s="43">
        <v>45868</v>
      </c>
      <c r="M310" s="42" t="s">
        <v>53</v>
      </c>
      <c r="N310" s="42" t="s">
        <v>54</v>
      </c>
      <c r="O310" s="42" t="s">
        <v>41</v>
      </c>
      <c r="P310" s="44">
        <v>7</v>
      </c>
      <c r="Q310" s="65">
        <v>3354.64</v>
      </c>
      <c r="R310" s="45">
        <v>5000</v>
      </c>
      <c r="S310" s="45">
        <f t="shared" ref="S310:S362" si="17">R310-Q310</f>
        <v>1645.3600000000001</v>
      </c>
    </row>
    <row r="311" spans="1:19">
      <c r="A311" s="5">
        <v>310</v>
      </c>
      <c r="B311" s="42">
        <v>2507240373</v>
      </c>
      <c r="C311" s="42" t="s">
        <v>1078</v>
      </c>
      <c r="D311" s="42" t="s">
        <v>64</v>
      </c>
      <c r="E311" s="42" t="s">
        <v>65</v>
      </c>
      <c r="F311" s="42" t="s">
        <v>66</v>
      </c>
      <c r="G311" s="42" t="s">
        <v>52</v>
      </c>
      <c r="H311" s="42" t="s">
        <v>1076</v>
      </c>
      <c r="I311" s="42">
        <v>202500739</v>
      </c>
      <c r="J311" s="42"/>
      <c r="K311" s="43">
        <v>45862</v>
      </c>
      <c r="L311" s="43">
        <v>45868</v>
      </c>
      <c r="M311" s="42" t="s">
        <v>53</v>
      </c>
      <c r="N311" s="42" t="s">
        <v>54</v>
      </c>
      <c r="O311" s="42" t="s">
        <v>41</v>
      </c>
      <c r="P311" s="44">
        <v>6</v>
      </c>
      <c r="Q311" s="65">
        <v>3354.64</v>
      </c>
      <c r="R311" s="45">
        <v>5500</v>
      </c>
      <c r="S311" s="45">
        <f t="shared" si="17"/>
        <v>2145.36</v>
      </c>
    </row>
    <row r="312" spans="1:19">
      <c r="A312" s="5">
        <v>311</v>
      </c>
      <c r="B312" s="42">
        <v>2507240386</v>
      </c>
      <c r="C312" s="42" t="s">
        <v>1079</v>
      </c>
      <c r="D312" s="42" t="s">
        <v>733</v>
      </c>
      <c r="E312" s="42" t="s">
        <v>1027</v>
      </c>
      <c r="F312" s="42" t="s">
        <v>51</v>
      </c>
      <c r="G312" s="42" t="s">
        <v>52</v>
      </c>
      <c r="H312" s="42" t="s">
        <v>1076</v>
      </c>
      <c r="I312" s="42">
        <v>202500740</v>
      </c>
      <c r="J312" s="42"/>
      <c r="K312" s="43">
        <v>45862</v>
      </c>
      <c r="L312" s="43">
        <v>45868</v>
      </c>
      <c r="M312" s="42" t="s">
        <v>53</v>
      </c>
      <c r="N312" s="42" t="s">
        <v>54</v>
      </c>
      <c r="O312" s="42" t="s">
        <v>41</v>
      </c>
      <c r="P312" s="44">
        <v>6</v>
      </c>
      <c r="Q312" s="65">
        <v>3354.64</v>
      </c>
      <c r="R312" s="45">
        <v>5500</v>
      </c>
      <c r="S312" s="45">
        <f t="shared" si="17"/>
        <v>2145.36</v>
      </c>
    </row>
    <row r="313" spans="1:19">
      <c r="A313" s="5">
        <v>312</v>
      </c>
      <c r="B313" s="42">
        <v>2507240395</v>
      </c>
      <c r="C313" s="42" t="s">
        <v>1080</v>
      </c>
      <c r="D313" s="42" t="s">
        <v>296</v>
      </c>
      <c r="E313" s="42" t="s">
        <v>1081</v>
      </c>
      <c r="F313" s="42" t="s">
        <v>79</v>
      </c>
      <c r="G313" s="42" t="s">
        <v>52</v>
      </c>
      <c r="H313" s="42" t="s">
        <v>1076</v>
      </c>
      <c r="I313" s="42">
        <v>202500741</v>
      </c>
      <c r="J313" s="42"/>
      <c r="K313" s="43">
        <v>45862</v>
      </c>
      <c r="L313" s="43">
        <v>45868</v>
      </c>
      <c r="M313" s="42" t="s">
        <v>53</v>
      </c>
      <c r="N313" s="42" t="s">
        <v>54</v>
      </c>
      <c r="O313" s="42" t="s">
        <v>41</v>
      </c>
      <c r="P313" s="44">
        <v>6</v>
      </c>
      <c r="Q313" s="65">
        <v>3354.64</v>
      </c>
      <c r="R313" s="45">
        <v>8500</v>
      </c>
      <c r="S313" s="45">
        <f t="shared" si="17"/>
        <v>5145.3600000000006</v>
      </c>
    </row>
    <row r="314" spans="1:19">
      <c r="A314" s="5">
        <v>313</v>
      </c>
      <c r="B314" s="77">
        <v>2507241025</v>
      </c>
      <c r="C314" s="77" t="s">
        <v>1082</v>
      </c>
      <c r="D314" s="77" t="s">
        <v>631</v>
      </c>
      <c r="E314" s="77" t="s">
        <v>1083</v>
      </c>
      <c r="F314" s="77" t="s">
        <v>87</v>
      </c>
      <c r="G314" s="77" t="s">
        <v>52</v>
      </c>
      <c r="H314" s="77" t="s">
        <v>1076</v>
      </c>
      <c r="I314" s="77">
        <v>202500742</v>
      </c>
      <c r="J314" s="77"/>
      <c r="K314" s="78">
        <v>45862</v>
      </c>
      <c r="L314" s="78">
        <v>45868</v>
      </c>
      <c r="M314" s="77" t="s">
        <v>53</v>
      </c>
      <c r="N314" s="77" t="s">
        <v>480</v>
      </c>
      <c r="O314" s="77" t="s">
        <v>1084</v>
      </c>
      <c r="P314" s="79">
        <v>6</v>
      </c>
      <c r="Q314" s="80">
        <v>3354.64</v>
      </c>
      <c r="R314" s="81">
        <v>8000</v>
      </c>
      <c r="S314" s="81">
        <f t="shared" si="17"/>
        <v>4645.3600000000006</v>
      </c>
    </row>
    <row r="315" spans="1:19">
      <c r="A315" s="5">
        <v>314</v>
      </c>
      <c r="B315" s="42">
        <v>2507233260</v>
      </c>
      <c r="C315" s="42" t="s">
        <v>1085</v>
      </c>
      <c r="D315" s="42" t="s">
        <v>1086</v>
      </c>
      <c r="E315" s="42" t="s">
        <v>1087</v>
      </c>
      <c r="F315" s="42" t="s">
        <v>66</v>
      </c>
      <c r="G315" s="42" t="s">
        <v>43</v>
      </c>
      <c r="H315" s="42" t="s">
        <v>1076</v>
      </c>
      <c r="I315" s="42">
        <v>202500743</v>
      </c>
      <c r="J315" s="42"/>
      <c r="K315" s="43">
        <v>45861</v>
      </c>
      <c r="L315" s="43">
        <v>45868</v>
      </c>
      <c r="M315" s="42" t="s">
        <v>53</v>
      </c>
      <c r="N315" s="42" t="s">
        <v>54</v>
      </c>
      <c r="O315" s="42" t="s">
        <v>41</v>
      </c>
      <c r="P315" s="44">
        <v>7</v>
      </c>
      <c r="Q315" s="65">
        <v>3354.64</v>
      </c>
      <c r="R315" s="45">
        <v>11000</v>
      </c>
      <c r="S315" s="45">
        <f t="shared" si="17"/>
        <v>7645.3600000000006</v>
      </c>
    </row>
    <row r="316" spans="1:19">
      <c r="A316" s="5">
        <v>315</v>
      </c>
      <c r="B316" s="42">
        <v>2507243127</v>
      </c>
      <c r="C316" s="42" t="s">
        <v>1088</v>
      </c>
      <c r="D316" s="42" t="s">
        <v>599</v>
      </c>
      <c r="E316" s="42" t="s">
        <v>1070</v>
      </c>
      <c r="F316" s="42" t="s">
        <v>169</v>
      </c>
      <c r="G316" s="42" t="s">
        <v>75</v>
      </c>
      <c r="H316" s="42" t="s">
        <v>1076</v>
      </c>
      <c r="I316" s="42">
        <v>202500744</v>
      </c>
      <c r="J316" s="42"/>
      <c r="K316" s="43">
        <v>45862</v>
      </c>
      <c r="L316" s="43">
        <v>45868</v>
      </c>
      <c r="M316" s="42" t="s">
        <v>53</v>
      </c>
      <c r="N316" s="42" t="s">
        <v>54</v>
      </c>
      <c r="O316" s="42" t="s">
        <v>41</v>
      </c>
      <c r="P316" s="44">
        <v>6</v>
      </c>
      <c r="Q316" s="65">
        <v>3354.64</v>
      </c>
      <c r="R316" s="45">
        <v>5000</v>
      </c>
      <c r="S316" s="45">
        <f t="shared" si="17"/>
        <v>1645.3600000000001</v>
      </c>
    </row>
    <row r="317" spans="1:19">
      <c r="A317" s="5">
        <v>316</v>
      </c>
      <c r="B317" s="42">
        <v>2507243126</v>
      </c>
      <c r="C317" s="42" t="s">
        <v>1089</v>
      </c>
      <c r="D317" s="42" t="s">
        <v>49</v>
      </c>
      <c r="E317" s="42" t="s">
        <v>50</v>
      </c>
      <c r="F317" s="42" t="s">
        <v>51</v>
      </c>
      <c r="G317" s="42" t="s">
        <v>52</v>
      </c>
      <c r="H317" s="42" t="s">
        <v>1076</v>
      </c>
      <c r="I317" s="42">
        <v>202500745</v>
      </c>
      <c r="J317" s="42"/>
      <c r="K317" s="43">
        <v>45862</v>
      </c>
      <c r="L317" s="43">
        <v>45868</v>
      </c>
      <c r="M317" s="42" t="s">
        <v>53</v>
      </c>
      <c r="N317" s="42" t="s">
        <v>54</v>
      </c>
      <c r="O317" s="42" t="s">
        <v>41</v>
      </c>
      <c r="P317" s="44">
        <v>6</v>
      </c>
      <c r="Q317" s="65">
        <v>3354.64</v>
      </c>
      <c r="R317" s="45">
        <v>5500</v>
      </c>
      <c r="S317" s="45">
        <f t="shared" si="17"/>
        <v>2145.36</v>
      </c>
    </row>
    <row r="318" spans="1:19">
      <c r="A318" s="5">
        <v>317</v>
      </c>
      <c r="B318" s="42">
        <v>2507250077</v>
      </c>
      <c r="C318" s="42" t="s">
        <v>1090</v>
      </c>
      <c r="D318" s="42" t="s">
        <v>908</v>
      </c>
      <c r="E318" s="42" t="s">
        <v>909</v>
      </c>
      <c r="F318" s="42" t="s">
        <v>362</v>
      </c>
      <c r="G318" s="42" t="s">
        <v>43</v>
      </c>
      <c r="H318" s="42" t="s">
        <v>1076</v>
      </c>
      <c r="I318" s="42">
        <v>202500746</v>
      </c>
      <c r="J318" s="42"/>
      <c r="K318" s="43">
        <v>45863</v>
      </c>
      <c r="L318" s="43">
        <v>45868</v>
      </c>
      <c r="M318" s="42" t="s">
        <v>53</v>
      </c>
      <c r="N318" s="42" t="s">
        <v>54</v>
      </c>
      <c r="O318" s="42" t="s">
        <v>41</v>
      </c>
      <c r="P318" s="44">
        <v>5</v>
      </c>
      <c r="Q318" s="65">
        <v>3354.64</v>
      </c>
      <c r="R318" s="45">
        <v>10500</v>
      </c>
      <c r="S318" s="45">
        <f t="shared" si="17"/>
        <v>7145.3600000000006</v>
      </c>
    </row>
    <row r="319" spans="1:19">
      <c r="A319" s="5">
        <v>318</v>
      </c>
      <c r="B319" s="42">
        <v>2507253317</v>
      </c>
      <c r="C319" s="42" t="s">
        <v>1091</v>
      </c>
      <c r="D319" s="42" t="s">
        <v>1092</v>
      </c>
      <c r="E319" s="42" t="s">
        <v>1093</v>
      </c>
      <c r="F319" s="42" t="s">
        <v>87</v>
      </c>
      <c r="G319" s="42" t="s">
        <v>52</v>
      </c>
      <c r="H319" s="42" t="s">
        <v>1076</v>
      </c>
      <c r="I319" s="42">
        <v>202500747</v>
      </c>
      <c r="J319" s="42"/>
      <c r="K319" s="43">
        <v>45863</v>
      </c>
      <c r="L319" s="43">
        <v>45868</v>
      </c>
      <c r="M319" s="42" t="s">
        <v>53</v>
      </c>
      <c r="N319" s="42" t="s">
        <v>54</v>
      </c>
      <c r="O319" s="42" t="s">
        <v>41</v>
      </c>
      <c r="P319" s="44">
        <v>5</v>
      </c>
      <c r="Q319" s="65">
        <v>3354.64</v>
      </c>
      <c r="R319" s="45">
        <v>6000</v>
      </c>
      <c r="S319" s="45">
        <f t="shared" si="17"/>
        <v>2645.36</v>
      </c>
    </row>
    <row r="320" spans="1:19">
      <c r="A320" s="5">
        <v>319</v>
      </c>
      <c r="B320" s="42">
        <v>2507253318</v>
      </c>
      <c r="C320" s="42" t="s">
        <v>1094</v>
      </c>
      <c r="D320" s="42" t="s">
        <v>437</v>
      </c>
      <c r="E320" s="42" t="s">
        <v>438</v>
      </c>
      <c r="F320" s="42" t="s">
        <v>71</v>
      </c>
      <c r="G320" s="42" t="s">
        <v>43</v>
      </c>
      <c r="H320" s="42" t="s">
        <v>1076</v>
      </c>
      <c r="I320" s="42">
        <v>202500748</v>
      </c>
      <c r="J320" s="42"/>
      <c r="K320" s="43">
        <v>45863</v>
      </c>
      <c r="L320" s="43">
        <v>45868</v>
      </c>
      <c r="M320" s="42" t="s">
        <v>53</v>
      </c>
      <c r="N320" s="42" t="s">
        <v>54</v>
      </c>
      <c r="O320" s="42" t="s">
        <v>41</v>
      </c>
      <c r="P320" s="44">
        <v>5</v>
      </c>
      <c r="Q320" s="65">
        <v>3354.64</v>
      </c>
      <c r="R320" s="45">
        <v>13500</v>
      </c>
      <c r="S320" s="45">
        <f t="shared" si="17"/>
        <v>10145.36</v>
      </c>
    </row>
    <row r="321" spans="1:19">
      <c r="A321" s="5">
        <v>320</v>
      </c>
      <c r="B321" s="42">
        <v>2507253319</v>
      </c>
      <c r="C321" s="42" t="s">
        <v>1095</v>
      </c>
      <c r="D321" s="42" t="s">
        <v>334</v>
      </c>
      <c r="E321" s="42" t="s">
        <v>335</v>
      </c>
      <c r="F321" s="42" t="s">
        <v>71</v>
      </c>
      <c r="G321" s="42" t="s">
        <v>43</v>
      </c>
      <c r="H321" s="42" t="s">
        <v>1076</v>
      </c>
      <c r="I321" s="42">
        <v>202500749</v>
      </c>
      <c r="J321" s="42"/>
      <c r="K321" s="43">
        <v>45863</v>
      </c>
      <c r="L321" s="43">
        <v>45868</v>
      </c>
      <c r="M321" s="42" t="s">
        <v>53</v>
      </c>
      <c r="N321" s="42" t="s">
        <v>54</v>
      </c>
      <c r="O321" s="42" t="s">
        <v>41</v>
      </c>
      <c r="P321" s="44">
        <v>5</v>
      </c>
      <c r="Q321" s="65">
        <v>3354.64</v>
      </c>
      <c r="R321" s="45">
        <v>12000</v>
      </c>
      <c r="S321" s="45">
        <f t="shared" si="17"/>
        <v>8645.36</v>
      </c>
    </row>
    <row r="322" spans="1:19">
      <c r="A322" s="5">
        <v>321</v>
      </c>
      <c r="B322" s="42">
        <v>2507250807</v>
      </c>
      <c r="C322" s="42" t="s">
        <v>1096</v>
      </c>
      <c r="D322" s="42" t="s">
        <v>40</v>
      </c>
      <c r="E322" s="42" t="s">
        <v>41</v>
      </c>
      <c r="F322" s="42" t="s">
        <v>42</v>
      </c>
      <c r="G322" s="42" t="s">
        <v>75</v>
      </c>
      <c r="H322" s="42" t="s">
        <v>1076</v>
      </c>
      <c r="I322" s="42">
        <v>202500750</v>
      </c>
      <c r="J322" s="42"/>
      <c r="K322" s="43">
        <v>45863</v>
      </c>
      <c r="L322" s="43">
        <v>45868</v>
      </c>
      <c r="M322" s="42" t="s">
        <v>53</v>
      </c>
      <c r="N322" s="42" t="s">
        <v>54</v>
      </c>
      <c r="O322" s="42" t="s">
        <v>41</v>
      </c>
      <c r="P322" s="44">
        <v>5</v>
      </c>
      <c r="Q322" s="65">
        <v>3354.64</v>
      </c>
      <c r="R322" s="45">
        <v>6500</v>
      </c>
      <c r="S322" s="45">
        <f t="shared" si="17"/>
        <v>3145.36</v>
      </c>
    </row>
    <row r="323" spans="1:19">
      <c r="A323" s="5">
        <v>322</v>
      </c>
      <c r="B323" s="66">
        <v>2507142278</v>
      </c>
      <c r="C323" s="66" t="s">
        <v>961</v>
      </c>
      <c r="D323" s="66" t="s">
        <v>405</v>
      </c>
      <c r="E323" s="66" t="s">
        <v>526</v>
      </c>
      <c r="F323" s="66" t="s">
        <v>202</v>
      </c>
      <c r="G323" s="66" t="s">
        <v>52</v>
      </c>
      <c r="H323" s="66" t="s">
        <v>1076</v>
      </c>
      <c r="I323" s="66">
        <v>202500751</v>
      </c>
      <c r="J323" s="66"/>
      <c r="K323" s="67">
        <v>45863</v>
      </c>
      <c r="L323" s="67">
        <v>45868</v>
      </c>
      <c r="M323" s="66" t="s">
        <v>45</v>
      </c>
      <c r="N323" s="66" t="s">
        <v>94</v>
      </c>
      <c r="O323" s="63" t="s">
        <v>888</v>
      </c>
      <c r="P323" s="68">
        <v>5</v>
      </c>
      <c r="Q323" s="69">
        <v>3354.64</v>
      </c>
      <c r="R323" s="70">
        <v>0</v>
      </c>
      <c r="S323" s="70">
        <f>R323-Q323</f>
        <v>-3354.64</v>
      </c>
    </row>
    <row r="324" spans="1:19">
      <c r="A324" s="5">
        <v>323</v>
      </c>
      <c r="B324" s="42">
        <v>2507253320</v>
      </c>
      <c r="C324" s="42" t="s">
        <v>1097</v>
      </c>
      <c r="D324" s="42" t="s">
        <v>564</v>
      </c>
      <c r="E324" s="42" t="s">
        <v>565</v>
      </c>
      <c r="F324" s="42" t="s">
        <v>71</v>
      </c>
      <c r="G324" s="42" t="s">
        <v>75</v>
      </c>
      <c r="H324" s="42" t="s">
        <v>1076</v>
      </c>
      <c r="I324" s="42">
        <v>202500752</v>
      </c>
      <c r="J324" s="42"/>
      <c r="K324" s="43">
        <v>45863</v>
      </c>
      <c r="L324" s="43">
        <v>45868</v>
      </c>
      <c r="M324" s="42" t="s">
        <v>53</v>
      </c>
      <c r="N324" s="42" t="s">
        <v>54</v>
      </c>
      <c r="O324" s="42" t="s">
        <v>41</v>
      </c>
      <c r="P324" s="44">
        <v>5</v>
      </c>
      <c r="Q324" s="65">
        <v>3354.64</v>
      </c>
      <c r="R324" s="45">
        <v>6500</v>
      </c>
      <c r="S324" s="45">
        <f t="shared" si="17"/>
        <v>3145.36</v>
      </c>
    </row>
    <row r="325" spans="1:19">
      <c r="A325" s="5">
        <v>324</v>
      </c>
      <c r="B325" s="42">
        <v>2507253321</v>
      </c>
      <c r="C325" s="42" t="s">
        <v>1098</v>
      </c>
      <c r="D325" s="42" t="s">
        <v>564</v>
      </c>
      <c r="E325" s="42" t="s">
        <v>890</v>
      </c>
      <c r="F325" s="42" t="s">
        <v>71</v>
      </c>
      <c r="G325" s="42" t="s">
        <v>52</v>
      </c>
      <c r="H325" s="42" t="s">
        <v>1076</v>
      </c>
      <c r="I325" s="42">
        <v>202500753</v>
      </c>
      <c r="J325" s="42"/>
      <c r="K325" s="43">
        <v>45863</v>
      </c>
      <c r="L325" s="43">
        <v>45868</v>
      </c>
      <c r="M325" s="42" t="s">
        <v>53</v>
      </c>
      <c r="N325" s="42" t="s">
        <v>54</v>
      </c>
      <c r="O325" s="42" t="s">
        <v>41</v>
      </c>
      <c r="P325" s="44">
        <v>5</v>
      </c>
      <c r="Q325" s="65">
        <v>3354.64</v>
      </c>
      <c r="R325" s="45">
        <v>8500</v>
      </c>
      <c r="S325" s="45">
        <f t="shared" si="17"/>
        <v>5145.3600000000006</v>
      </c>
    </row>
    <row r="326" spans="1:19">
      <c r="A326" s="5">
        <v>325</v>
      </c>
      <c r="B326" s="42">
        <v>2507253322</v>
      </c>
      <c r="C326" s="42" t="s">
        <v>1099</v>
      </c>
      <c r="D326" s="42" t="s">
        <v>572</v>
      </c>
      <c r="E326" s="42" t="s">
        <v>595</v>
      </c>
      <c r="F326" s="42" t="s">
        <v>87</v>
      </c>
      <c r="G326" s="42" t="s">
        <v>52</v>
      </c>
      <c r="H326" s="42" t="s">
        <v>1076</v>
      </c>
      <c r="I326" s="42">
        <v>202500754</v>
      </c>
      <c r="J326" s="42"/>
      <c r="K326" s="43">
        <v>45863</v>
      </c>
      <c r="L326" s="43">
        <v>45868</v>
      </c>
      <c r="M326" s="42" t="s">
        <v>53</v>
      </c>
      <c r="N326" s="42" t="s">
        <v>54</v>
      </c>
      <c r="O326" s="42" t="s">
        <v>41</v>
      </c>
      <c r="P326" s="44">
        <v>5</v>
      </c>
      <c r="Q326" s="65">
        <v>3354.64</v>
      </c>
      <c r="R326" s="45">
        <v>6000</v>
      </c>
      <c r="S326" s="45">
        <f t="shared" si="17"/>
        <v>2645.36</v>
      </c>
    </row>
    <row r="327" spans="1:19">
      <c r="A327" s="5">
        <v>326</v>
      </c>
      <c r="B327" s="42">
        <v>2507253323</v>
      </c>
      <c r="C327" s="42" t="s">
        <v>1100</v>
      </c>
      <c r="D327" s="42" t="s">
        <v>572</v>
      </c>
      <c r="E327" s="42" t="s">
        <v>765</v>
      </c>
      <c r="F327" s="42" t="s">
        <v>87</v>
      </c>
      <c r="G327" s="42" t="s">
        <v>52</v>
      </c>
      <c r="H327" s="42" t="s">
        <v>1076</v>
      </c>
      <c r="I327" s="42">
        <v>202500755</v>
      </c>
      <c r="J327" s="42"/>
      <c r="K327" s="43">
        <v>45863</v>
      </c>
      <c r="L327" s="43">
        <v>45868</v>
      </c>
      <c r="M327" s="42" t="s">
        <v>53</v>
      </c>
      <c r="N327" s="42" t="s">
        <v>54</v>
      </c>
      <c r="O327" s="42" t="s">
        <v>41</v>
      </c>
      <c r="P327" s="44">
        <v>5</v>
      </c>
      <c r="Q327" s="65">
        <v>3354.64</v>
      </c>
      <c r="R327" s="45">
        <v>6000</v>
      </c>
      <c r="S327" s="45">
        <f t="shared" si="17"/>
        <v>2645.36</v>
      </c>
    </row>
    <row r="328" spans="1:19">
      <c r="A328" s="5">
        <v>327</v>
      </c>
      <c r="B328" s="42">
        <v>2507253324</v>
      </c>
      <c r="C328" s="42" t="s">
        <v>1101</v>
      </c>
      <c r="D328" s="42" t="s">
        <v>564</v>
      </c>
      <c r="E328" s="42" t="s">
        <v>589</v>
      </c>
      <c r="F328" s="42" t="s">
        <v>71</v>
      </c>
      <c r="G328" s="42" t="s">
        <v>75</v>
      </c>
      <c r="H328" s="42" t="s">
        <v>1076</v>
      </c>
      <c r="I328" s="42">
        <v>202500756</v>
      </c>
      <c r="J328" s="42"/>
      <c r="K328" s="43">
        <v>45863</v>
      </c>
      <c r="L328" s="43">
        <v>45868</v>
      </c>
      <c r="M328" s="42" t="s">
        <v>53</v>
      </c>
      <c r="N328" s="42" t="s">
        <v>54</v>
      </c>
      <c r="O328" s="42" t="s">
        <v>41</v>
      </c>
      <c r="P328" s="44">
        <v>5</v>
      </c>
      <c r="Q328" s="65">
        <v>3354.64</v>
      </c>
      <c r="R328" s="45">
        <v>6500</v>
      </c>
      <c r="S328" s="45">
        <f t="shared" si="17"/>
        <v>3145.36</v>
      </c>
    </row>
    <row r="329" spans="1:19">
      <c r="A329" s="5">
        <v>328</v>
      </c>
      <c r="B329" s="42">
        <v>2507253325</v>
      </c>
      <c r="C329" s="42" t="s">
        <v>1102</v>
      </c>
      <c r="D329" s="42" t="s">
        <v>599</v>
      </c>
      <c r="E329" s="42" t="s">
        <v>1070</v>
      </c>
      <c r="F329" s="42" t="s">
        <v>169</v>
      </c>
      <c r="G329" s="42" t="s">
        <v>52</v>
      </c>
      <c r="H329" s="42" t="s">
        <v>1076</v>
      </c>
      <c r="I329" s="42">
        <v>202500757</v>
      </c>
      <c r="J329" s="42"/>
      <c r="K329" s="43">
        <v>45863</v>
      </c>
      <c r="L329" s="43">
        <v>45868</v>
      </c>
      <c r="M329" s="42" t="s">
        <v>53</v>
      </c>
      <c r="N329" s="42" t="s">
        <v>54</v>
      </c>
      <c r="O329" s="42" t="s">
        <v>41</v>
      </c>
      <c r="P329" s="44">
        <v>5</v>
      </c>
      <c r="Q329" s="65">
        <v>3354.64</v>
      </c>
      <c r="R329" s="45">
        <v>7500</v>
      </c>
      <c r="S329" s="45">
        <f t="shared" si="17"/>
        <v>4145.3600000000006</v>
      </c>
    </row>
    <row r="330" spans="1:19">
      <c r="A330" s="5">
        <v>329</v>
      </c>
      <c r="B330" s="42">
        <v>2507260481</v>
      </c>
      <c r="C330" s="42" t="s">
        <v>1103</v>
      </c>
      <c r="D330" s="42" t="s">
        <v>60</v>
      </c>
      <c r="E330" s="42" t="s">
        <v>61</v>
      </c>
      <c r="F330" s="42" t="s">
        <v>62</v>
      </c>
      <c r="G330" s="42" t="s">
        <v>52</v>
      </c>
      <c r="H330" s="42" t="s">
        <v>1076</v>
      </c>
      <c r="I330" s="42">
        <v>202500758</v>
      </c>
      <c r="J330" s="42"/>
      <c r="K330" s="43">
        <v>45864</v>
      </c>
      <c r="L330" s="43">
        <v>45868</v>
      </c>
      <c r="M330" s="42" t="s">
        <v>53</v>
      </c>
      <c r="N330" s="42" t="s">
        <v>54</v>
      </c>
      <c r="O330" s="42" t="s">
        <v>41</v>
      </c>
      <c r="P330" s="44">
        <v>4</v>
      </c>
      <c r="Q330" s="65">
        <v>3354.64</v>
      </c>
      <c r="R330" s="45">
        <v>6000</v>
      </c>
      <c r="S330" s="45">
        <f t="shared" si="17"/>
        <v>2645.36</v>
      </c>
    </row>
    <row r="331" spans="1:19">
      <c r="A331" s="5">
        <v>330</v>
      </c>
      <c r="B331" s="66">
        <v>2507260498</v>
      </c>
      <c r="C331" s="66" t="s">
        <v>1104</v>
      </c>
      <c r="D331" s="66" t="s">
        <v>514</v>
      </c>
      <c r="E331" s="66" t="s">
        <v>41</v>
      </c>
      <c r="F331" s="66" t="s">
        <v>516</v>
      </c>
      <c r="G331" s="66" t="s">
        <v>52</v>
      </c>
      <c r="H331" s="66" t="s">
        <v>1076</v>
      </c>
      <c r="I331" s="66">
        <v>202500759</v>
      </c>
      <c r="J331" s="66"/>
      <c r="K331" s="67">
        <v>45864</v>
      </c>
      <c r="L331" s="67">
        <v>45868</v>
      </c>
      <c r="M331" s="66" t="s">
        <v>45</v>
      </c>
      <c r="N331" s="66" t="s">
        <v>94</v>
      </c>
      <c r="O331" s="63" t="s">
        <v>1105</v>
      </c>
      <c r="P331" s="68">
        <v>4</v>
      </c>
      <c r="Q331" s="69">
        <v>3354.64</v>
      </c>
      <c r="R331" s="70">
        <v>8000</v>
      </c>
      <c r="S331" s="70">
        <f t="shared" si="17"/>
        <v>4645.3600000000006</v>
      </c>
    </row>
    <row r="332" spans="1:19">
      <c r="A332" s="5">
        <v>331</v>
      </c>
      <c r="B332" s="77">
        <v>2507260505</v>
      </c>
      <c r="C332" s="77" t="s">
        <v>1106</v>
      </c>
      <c r="D332" s="77" t="s">
        <v>64</v>
      </c>
      <c r="E332" s="77" t="s">
        <v>65</v>
      </c>
      <c r="F332" s="77" t="s">
        <v>66</v>
      </c>
      <c r="G332" s="77" t="s">
        <v>52</v>
      </c>
      <c r="H332" s="77" t="s">
        <v>1076</v>
      </c>
      <c r="I332" s="77">
        <v>202500760</v>
      </c>
      <c r="J332" s="77"/>
      <c r="K332" s="78">
        <v>45864</v>
      </c>
      <c r="L332" s="78">
        <v>45868</v>
      </c>
      <c r="M332" s="77" t="s">
        <v>53</v>
      </c>
      <c r="N332" s="77" t="s">
        <v>480</v>
      </c>
      <c r="O332" s="82" t="s">
        <v>1108</v>
      </c>
      <c r="P332" s="79">
        <v>4</v>
      </c>
      <c r="Q332" s="80">
        <v>3354.64</v>
      </c>
      <c r="R332" s="81">
        <v>5500</v>
      </c>
      <c r="S332" s="81">
        <f t="shared" si="17"/>
        <v>2145.36</v>
      </c>
    </row>
    <row r="333" spans="1:19">
      <c r="A333" s="5">
        <v>332</v>
      </c>
      <c r="B333" s="77">
        <v>2507261475</v>
      </c>
      <c r="C333" s="77" t="s">
        <v>1109</v>
      </c>
      <c r="D333" s="77" t="s">
        <v>631</v>
      </c>
      <c r="E333" s="77" t="s">
        <v>664</v>
      </c>
      <c r="F333" s="77" t="s">
        <v>87</v>
      </c>
      <c r="G333" s="77" t="s">
        <v>52</v>
      </c>
      <c r="H333" s="77" t="s">
        <v>1076</v>
      </c>
      <c r="I333" s="77">
        <v>202500761</v>
      </c>
      <c r="J333" s="77"/>
      <c r="K333" s="78">
        <v>45864</v>
      </c>
      <c r="L333" s="78">
        <v>45868</v>
      </c>
      <c r="M333" s="77" t="s">
        <v>53</v>
      </c>
      <c r="N333" s="77" t="s">
        <v>480</v>
      </c>
      <c r="O333" s="82" t="s">
        <v>1110</v>
      </c>
      <c r="P333" s="79">
        <v>4</v>
      </c>
      <c r="Q333" s="80">
        <v>3354.64</v>
      </c>
      <c r="R333" s="81">
        <v>8000</v>
      </c>
      <c r="S333" s="81">
        <f t="shared" si="17"/>
        <v>4645.3600000000006</v>
      </c>
    </row>
    <row r="334" spans="1:19">
      <c r="A334" s="5">
        <v>333</v>
      </c>
      <c r="B334" s="42">
        <v>2507261510</v>
      </c>
      <c r="C334" s="42" t="s">
        <v>1111</v>
      </c>
      <c r="D334" s="42" t="s">
        <v>306</v>
      </c>
      <c r="E334" s="42" t="s">
        <v>306</v>
      </c>
      <c r="F334" s="42" t="s">
        <v>169</v>
      </c>
      <c r="G334" s="42" t="s">
        <v>75</v>
      </c>
      <c r="H334" s="42" t="s">
        <v>1076</v>
      </c>
      <c r="I334" s="42">
        <v>202500762</v>
      </c>
      <c r="J334" s="42"/>
      <c r="K334" s="43">
        <v>45864</v>
      </c>
      <c r="L334" s="43">
        <v>45868</v>
      </c>
      <c r="M334" s="42" t="s">
        <v>53</v>
      </c>
      <c r="N334" s="42" t="s">
        <v>54</v>
      </c>
      <c r="O334" s="42" t="s">
        <v>41</v>
      </c>
      <c r="P334" s="44">
        <v>4</v>
      </c>
      <c r="Q334" s="65">
        <v>3354.64</v>
      </c>
      <c r="R334" s="45">
        <v>4500</v>
      </c>
      <c r="S334" s="45">
        <f t="shared" si="17"/>
        <v>1145.3600000000001</v>
      </c>
    </row>
    <row r="335" spans="1:19">
      <c r="A335" s="5">
        <v>334</v>
      </c>
      <c r="B335" s="83">
        <v>2507083650</v>
      </c>
      <c r="C335" s="83" t="s">
        <v>866</v>
      </c>
      <c r="D335" s="83" t="s">
        <v>354</v>
      </c>
      <c r="E335" s="83" t="s">
        <v>355</v>
      </c>
      <c r="F335" s="83" t="s">
        <v>141</v>
      </c>
      <c r="G335" s="83" t="s">
        <v>52</v>
      </c>
      <c r="H335" s="83" t="s">
        <v>1076</v>
      </c>
      <c r="I335" s="83">
        <v>202500763</v>
      </c>
      <c r="J335" s="83"/>
      <c r="K335" s="84">
        <v>45860</v>
      </c>
      <c r="L335" s="84">
        <v>45868</v>
      </c>
      <c r="M335" s="83" t="s">
        <v>45</v>
      </c>
      <c r="N335" s="83" t="s">
        <v>46</v>
      </c>
      <c r="O335" s="64" t="s">
        <v>867</v>
      </c>
      <c r="P335" s="85">
        <v>8</v>
      </c>
      <c r="Q335" s="86">
        <v>3354.64</v>
      </c>
      <c r="R335" s="87">
        <v>0</v>
      </c>
      <c r="S335" s="87">
        <f t="shared" si="17"/>
        <v>-3354.64</v>
      </c>
    </row>
    <row r="336" spans="1:19">
      <c r="A336" s="5">
        <v>335</v>
      </c>
      <c r="B336" s="42">
        <v>2507253320</v>
      </c>
      <c r="C336" s="42" t="s">
        <v>1097</v>
      </c>
      <c r="D336" s="42" t="s">
        <v>564</v>
      </c>
      <c r="E336" s="42" t="s">
        <v>565</v>
      </c>
      <c r="F336" s="42" t="s">
        <v>71</v>
      </c>
      <c r="G336" s="42" t="s">
        <v>75</v>
      </c>
      <c r="H336" s="42" t="s">
        <v>1076</v>
      </c>
      <c r="I336" s="42">
        <v>202500764</v>
      </c>
      <c r="J336" s="42"/>
      <c r="K336" s="43">
        <v>45863</v>
      </c>
      <c r="L336" s="43">
        <v>45868</v>
      </c>
      <c r="M336" s="42" t="s">
        <v>53</v>
      </c>
      <c r="N336" s="42" t="s">
        <v>54</v>
      </c>
      <c r="O336" s="42" t="s">
        <v>41</v>
      </c>
      <c r="P336" s="44">
        <v>5</v>
      </c>
      <c r="Q336" s="65">
        <v>3354.64</v>
      </c>
      <c r="R336" s="45">
        <v>0</v>
      </c>
      <c r="S336" s="45">
        <f t="shared" si="17"/>
        <v>-3354.64</v>
      </c>
    </row>
    <row r="337" spans="1:19">
      <c r="A337" s="5">
        <v>336</v>
      </c>
      <c r="B337" s="42" t="s">
        <v>1112</v>
      </c>
      <c r="C337" s="5"/>
      <c r="D337" s="5"/>
      <c r="E337" s="5"/>
      <c r="F337" s="5"/>
      <c r="G337" s="5" t="s">
        <v>52</v>
      </c>
      <c r="H337" s="5"/>
      <c r="I337" s="5"/>
      <c r="J337" s="5"/>
      <c r="K337" s="5"/>
      <c r="L337" s="5"/>
      <c r="M337" s="5"/>
      <c r="N337" s="5"/>
      <c r="O337" s="5"/>
      <c r="P337" s="5"/>
      <c r="Q337" s="41">
        <v>3354.64</v>
      </c>
      <c r="R337" s="45">
        <v>0</v>
      </c>
      <c r="S337" s="45">
        <f t="shared" si="17"/>
        <v>-3354.64</v>
      </c>
    </row>
    <row r="338" spans="1:19">
      <c r="A338" s="5">
        <v>337</v>
      </c>
      <c r="B338" s="42" t="s">
        <v>1113</v>
      </c>
      <c r="C338" s="5"/>
      <c r="D338" s="5"/>
      <c r="E338" s="5"/>
      <c r="F338" s="5"/>
      <c r="G338" s="5" t="s">
        <v>52</v>
      </c>
      <c r="H338" s="5"/>
      <c r="I338" s="5"/>
      <c r="J338" s="5"/>
      <c r="K338" s="5"/>
      <c r="L338" s="5"/>
      <c r="M338" s="5"/>
      <c r="N338" s="5"/>
      <c r="O338" s="5"/>
      <c r="P338" s="5"/>
      <c r="Q338" s="41">
        <v>3354.64</v>
      </c>
      <c r="R338" s="45">
        <v>0</v>
      </c>
      <c r="S338" s="45">
        <f t="shared" si="17"/>
        <v>-3354.64</v>
      </c>
    </row>
    <row r="339" spans="1:19">
      <c r="A339" s="5">
        <v>338</v>
      </c>
      <c r="B339" s="5">
        <v>2507241605</v>
      </c>
      <c r="C339" s="5" t="s">
        <v>1075</v>
      </c>
      <c r="D339" s="5" t="s">
        <v>40</v>
      </c>
      <c r="E339" s="5" t="s">
        <v>41</v>
      </c>
      <c r="F339" s="5" t="s">
        <v>42</v>
      </c>
      <c r="G339" s="5" t="s">
        <v>75</v>
      </c>
      <c r="H339" s="5" t="s">
        <v>1114</v>
      </c>
      <c r="I339" s="5" t="s">
        <v>1115</v>
      </c>
      <c r="J339" s="5"/>
      <c r="K339" s="6">
        <v>45862</v>
      </c>
      <c r="L339" s="6">
        <v>45870</v>
      </c>
      <c r="M339" s="5" t="s">
        <v>53</v>
      </c>
      <c r="N339" s="5" t="s">
        <v>54</v>
      </c>
      <c r="O339" s="5" t="s">
        <v>41</v>
      </c>
      <c r="P339" s="30">
        <f t="shared" ref="P339:P360" si="18">L339-K339</f>
        <v>8</v>
      </c>
      <c r="Q339" s="41">
        <v>4090.7999999999997</v>
      </c>
      <c r="R339" s="41">
        <v>0</v>
      </c>
      <c r="S339" s="41">
        <f t="shared" si="17"/>
        <v>-4090.7999999999997</v>
      </c>
    </row>
    <row r="340" spans="1:19">
      <c r="A340" s="5">
        <v>339</v>
      </c>
      <c r="B340" s="26">
        <v>2507142278</v>
      </c>
      <c r="C340" s="26" t="s">
        <v>961</v>
      </c>
      <c r="D340" s="26" t="s">
        <v>405</v>
      </c>
      <c r="E340" s="26" t="s">
        <v>526</v>
      </c>
      <c r="F340" s="26" t="s">
        <v>202</v>
      </c>
      <c r="G340" s="26" t="s">
        <v>52</v>
      </c>
      <c r="H340" s="26" t="s">
        <v>1114</v>
      </c>
      <c r="I340" s="26" t="s">
        <v>1116</v>
      </c>
      <c r="J340" s="26"/>
      <c r="K340" s="27">
        <v>45863</v>
      </c>
      <c r="L340" s="27">
        <v>45870</v>
      </c>
      <c r="M340" s="26" t="s">
        <v>45</v>
      </c>
      <c r="N340" s="26" t="s">
        <v>163</v>
      </c>
      <c r="O340" s="88" t="s">
        <v>888</v>
      </c>
      <c r="P340" s="33">
        <f t="shared" si="18"/>
        <v>7</v>
      </c>
      <c r="Q340" s="28">
        <v>4090.7999999999997</v>
      </c>
      <c r="R340" s="28">
        <v>0</v>
      </c>
      <c r="S340" s="28">
        <f t="shared" si="17"/>
        <v>-4090.7999999999997</v>
      </c>
    </row>
    <row r="341" spans="1:19">
      <c r="A341" s="5">
        <v>340</v>
      </c>
      <c r="B341" s="13">
        <v>2507260498</v>
      </c>
      <c r="C341" s="13" t="s">
        <v>1104</v>
      </c>
      <c r="D341" s="13" t="s">
        <v>514</v>
      </c>
      <c r="E341" s="13" t="s">
        <v>41</v>
      </c>
      <c r="F341" s="13" t="s">
        <v>516</v>
      </c>
      <c r="G341" s="13" t="s">
        <v>52</v>
      </c>
      <c r="H341" s="13" t="s">
        <v>1114</v>
      </c>
      <c r="I341" s="13" t="s">
        <v>1117</v>
      </c>
      <c r="J341" s="13"/>
      <c r="K341" s="14">
        <v>45864</v>
      </c>
      <c r="L341" s="14">
        <v>45870</v>
      </c>
      <c r="M341" s="13" t="s">
        <v>45</v>
      </c>
      <c r="N341" s="13" t="s">
        <v>46</v>
      </c>
      <c r="O341" s="64" t="s">
        <v>1118</v>
      </c>
      <c r="P341" s="35">
        <f t="shared" si="18"/>
        <v>6</v>
      </c>
      <c r="Q341" s="15">
        <v>4090.7999999999997</v>
      </c>
      <c r="R341" s="15">
        <v>0</v>
      </c>
      <c r="S341" s="15">
        <f t="shared" si="17"/>
        <v>-4090.7999999999997</v>
      </c>
    </row>
    <row r="342" spans="1:19">
      <c r="A342" s="5">
        <v>341</v>
      </c>
      <c r="B342" s="5">
        <v>2507261559</v>
      </c>
      <c r="C342" s="5" t="s">
        <v>1119</v>
      </c>
      <c r="D342" s="5" t="s">
        <v>437</v>
      </c>
      <c r="E342" s="5" t="s">
        <v>438</v>
      </c>
      <c r="F342" s="5" t="s">
        <v>71</v>
      </c>
      <c r="G342" s="5" t="s">
        <v>52</v>
      </c>
      <c r="H342" s="5" t="s">
        <v>1114</v>
      </c>
      <c r="I342" s="5">
        <v>202500765</v>
      </c>
      <c r="J342" s="5"/>
      <c r="K342" s="6">
        <v>45864</v>
      </c>
      <c r="L342" s="6">
        <v>45870</v>
      </c>
      <c r="M342" s="5" t="s">
        <v>53</v>
      </c>
      <c r="N342" s="5" t="s">
        <v>54</v>
      </c>
      <c r="O342" s="5" t="s">
        <v>41</v>
      </c>
      <c r="P342" s="30">
        <f t="shared" si="18"/>
        <v>6</v>
      </c>
      <c r="Q342" s="41">
        <v>4090.7999999999997</v>
      </c>
      <c r="R342" s="41">
        <v>8500</v>
      </c>
      <c r="S342" s="41">
        <f t="shared" si="17"/>
        <v>4409.2000000000007</v>
      </c>
    </row>
    <row r="343" spans="1:19">
      <c r="A343" s="5">
        <v>342</v>
      </c>
      <c r="B343" s="9">
        <v>2507261588</v>
      </c>
      <c r="C343" s="9" t="s">
        <v>1120</v>
      </c>
      <c r="D343" s="9" t="s">
        <v>309</v>
      </c>
      <c r="E343" s="9" t="s">
        <v>310</v>
      </c>
      <c r="F343" s="9" t="s">
        <v>51</v>
      </c>
      <c r="G343" s="9" t="s">
        <v>52</v>
      </c>
      <c r="H343" s="9" t="s">
        <v>1114</v>
      </c>
      <c r="I343" s="9">
        <v>202500766</v>
      </c>
      <c r="J343" s="9"/>
      <c r="K343" s="10">
        <v>45864</v>
      </c>
      <c r="L343" s="10">
        <v>45870</v>
      </c>
      <c r="M343" s="9" t="s">
        <v>45</v>
      </c>
      <c r="N343" s="9" t="s">
        <v>94</v>
      </c>
      <c r="O343" s="63" t="s">
        <v>1121</v>
      </c>
      <c r="P343" s="32">
        <f t="shared" si="18"/>
        <v>6</v>
      </c>
      <c r="Q343" s="11">
        <v>4090.7999999999997</v>
      </c>
      <c r="R343" s="11">
        <v>5500</v>
      </c>
      <c r="S343" s="11">
        <f t="shared" si="17"/>
        <v>1409.2000000000003</v>
      </c>
    </row>
    <row r="344" spans="1:19">
      <c r="A344" s="5">
        <v>343</v>
      </c>
      <c r="B344" s="17">
        <v>2507261612</v>
      </c>
      <c r="C344" s="17" t="s">
        <v>1122</v>
      </c>
      <c r="D344" s="17" t="s">
        <v>103</v>
      </c>
      <c r="E344" s="17" t="s">
        <v>1123</v>
      </c>
      <c r="F344" s="17" t="s">
        <v>51</v>
      </c>
      <c r="G344" s="17" t="s">
        <v>52</v>
      </c>
      <c r="H344" s="17" t="s">
        <v>1114</v>
      </c>
      <c r="I344" s="17">
        <v>202500767</v>
      </c>
      <c r="J344" s="17"/>
      <c r="K344" s="18">
        <v>45864</v>
      </c>
      <c r="L344" s="18">
        <v>45870</v>
      </c>
      <c r="M344" s="17" t="s">
        <v>53</v>
      </c>
      <c r="N344" s="17" t="s">
        <v>480</v>
      </c>
      <c r="O344" s="82" t="s">
        <v>1124</v>
      </c>
      <c r="P344" s="31">
        <f t="shared" si="18"/>
        <v>6</v>
      </c>
      <c r="Q344" s="19">
        <v>4090.7999999999997</v>
      </c>
      <c r="R344" s="19">
        <v>8000</v>
      </c>
      <c r="S344" s="19">
        <f t="shared" si="17"/>
        <v>3909.2000000000003</v>
      </c>
    </row>
    <row r="345" spans="1:19">
      <c r="A345" s="5">
        <v>344</v>
      </c>
      <c r="B345" s="5">
        <v>2507261643</v>
      </c>
      <c r="C345" s="5" t="s">
        <v>1125</v>
      </c>
      <c r="D345" s="5" t="s">
        <v>296</v>
      </c>
      <c r="E345" s="5" t="s">
        <v>297</v>
      </c>
      <c r="F345" s="5" t="s">
        <v>79</v>
      </c>
      <c r="G345" s="5" t="s">
        <v>52</v>
      </c>
      <c r="H345" s="5" t="s">
        <v>1114</v>
      </c>
      <c r="I345" s="5">
        <v>202500768</v>
      </c>
      <c r="J345" s="5"/>
      <c r="K345" s="6">
        <v>45864</v>
      </c>
      <c r="L345" s="6">
        <v>45870</v>
      </c>
      <c r="M345" s="5" t="s">
        <v>53</v>
      </c>
      <c r="N345" s="5" t="s">
        <v>54</v>
      </c>
      <c r="O345" s="5" t="s">
        <v>41</v>
      </c>
      <c r="P345" s="30">
        <f t="shared" si="18"/>
        <v>6</v>
      </c>
      <c r="Q345" s="41">
        <v>4090.7999999999997</v>
      </c>
      <c r="R345" s="41">
        <v>8500</v>
      </c>
      <c r="S345" s="41">
        <f t="shared" si="17"/>
        <v>4409.2000000000007</v>
      </c>
    </row>
    <row r="346" spans="1:19">
      <c r="A346" s="5">
        <v>345</v>
      </c>
      <c r="B346" s="5">
        <v>2507261667</v>
      </c>
      <c r="C346" s="5" t="s">
        <v>1126</v>
      </c>
      <c r="D346" s="5" t="s">
        <v>89</v>
      </c>
      <c r="E346" s="5" t="s">
        <v>90</v>
      </c>
      <c r="F346" s="5" t="s">
        <v>79</v>
      </c>
      <c r="G346" s="5" t="s">
        <v>52</v>
      </c>
      <c r="H346" s="5" t="s">
        <v>1114</v>
      </c>
      <c r="I346" s="5">
        <v>202500769</v>
      </c>
      <c r="J346" s="5"/>
      <c r="K346" s="6">
        <v>45864</v>
      </c>
      <c r="L346" s="6">
        <v>45870</v>
      </c>
      <c r="M346" s="5" t="s">
        <v>53</v>
      </c>
      <c r="N346" s="5" t="s">
        <v>54</v>
      </c>
      <c r="O346" s="5" t="s">
        <v>41</v>
      </c>
      <c r="P346" s="30">
        <f t="shared" si="18"/>
        <v>6</v>
      </c>
      <c r="Q346" s="41">
        <v>4090.7999999999997</v>
      </c>
      <c r="R346" s="41">
        <v>5500</v>
      </c>
      <c r="S346" s="41">
        <f t="shared" si="17"/>
        <v>1409.2000000000003</v>
      </c>
    </row>
    <row r="347" spans="1:19">
      <c r="A347" s="5">
        <v>346</v>
      </c>
      <c r="B347" s="5">
        <v>2507262200</v>
      </c>
      <c r="C347" s="5" t="s">
        <v>1127</v>
      </c>
      <c r="D347" s="5" t="s">
        <v>257</v>
      </c>
      <c r="E347" s="5" t="s">
        <v>258</v>
      </c>
      <c r="F347" s="5" t="s">
        <v>62</v>
      </c>
      <c r="G347" s="5" t="s">
        <v>52</v>
      </c>
      <c r="H347" s="5" t="s">
        <v>1114</v>
      </c>
      <c r="I347" s="5">
        <v>202500770</v>
      </c>
      <c r="J347" s="5"/>
      <c r="K347" s="6">
        <v>45864</v>
      </c>
      <c r="L347" s="6">
        <v>45870</v>
      </c>
      <c r="M347" s="5" t="s">
        <v>53</v>
      </c>
      <c r="N347" s="5" t="s">
        <v>54</v>
      </c>
      <c r="O347" s="5" t="s">
        <v>41</v>
      </c>
      <c r="P347" s="30">
        <f t="shared" si="18"/>
        <v>6</v>
      </c>
      <c r="Q347" s="41">
        <v>4090.7999999999997</v>
      </c>
      <c r="R347" s="41">
        <v>5100</v>
      </c>
      <c r="S347" s="41">
        <f t="shared" si="17"/>
        <v>1009.2000000000003</v>
      </c>
    </row>
    <row r="348" spans="1:19">
      <c r="A348" s="5">
        <v>347</v>
      </c>
      <c r="B348" s="5">
        <v>2507270021</v>
      </c>
      <c r="C348" s="5" t="s">
        <v>1128</v>
      </c>
      <c r="D348" s="5" t="s">
        <v>964</v>
      </c>
      <c r="E348" s="5" t="s">
        <v>965</v>
      </c>
      <c r="F348" s="5" t="s">
        <v>109</v>
      </c>
      <c r="G348" s="5" t="s">
        <v>43</v>
      </c>
      <c r="H348" s="5" t="s">
        <v>1114</v>
      </c>
      <c r="I348" s="5">
        <v>202500771</v>
      </c>
      <c r="J348" s="5"/>
      <c r="K348" s="6">
        <v>45865</v>
      </c>
      <c r="L348" s="6">
        <v>45870</v>
      </c>
      <c r="M348" s="5" t="s">
        <v>53</v>
      </c>
      <c r="N348" s="5" t="s">
        <v>54</v>
      </c>
      <c r="O348" s="5" t="s">
        <v>41</v>
      </c>
      <c r="P348" s="30">
        <f t="shared" si="18"/>
        <v>5</v>
      </c>
      <c r="Q348" s="41">
        <v>4090.7999999999997</v>
      </c>
      <c r="R348" s="41">
        <v>11000</v>
      </c>
      <c r="S348" s="41">
        <f t="shared" si="17"/>
        <v>6909.2000000000007</v>
      </c>
    </row>
    <row r="349" spans="1:19">
      <c r="A349" s="5">
        <v>348</v>
      </c>
      <c r="B349" s="5">
        <v>2507270022</v>
      </c>
      <c r="C349" s="5" t="s">
        <v>1129</v>
      </c>
      <c r="D349" s="5" t="s">
        <v>1130</v>
      </c>
      <c r="E349" s="5" t="s">
        <v>1131</v>
      </c>
      <c r="F349" s="5" t="s">
        <v>141</v>
      </c>
      <c r="G349" s="5" t="s">
        <v>43</v>
      </c>
      <c r="H349" s="5" t="s">
        <v>1114</v>
      </c>
      <c r="I349" s="5">
        <v>202500772</v>
      </c>
      <c r="J349" s="5"/>
      <c r="K349" s="6">
        <v>45865</v>
      </c>
      <c r="L349" s="6">
        <v>45870</v>
      </c>
      <c r="M349" s="5" t="s">
        <v>53</v>
      </c>
      <c r="N349" s="5" t="s">
        <v>54</v>
      </c>
      <c r="O349" s="5" t="s">
        <v>41</v>
      </c>
      <c r="P349" s="30">
        <f t="shared" si="18"/>
        <v>5</v>
      </c>
      <c r="Q349" s="41">
        <v>4090.7999999999997</v>
      </c>
      <c r="R349" s="41">
        <v>11000</v>
      </c>
      <c r="S349" s="41">
        <f t="shared" si="17"/>
        <v>6909.2000000000007</v>
      </c>
    </row>
    <row r="350" spans="1:19">
      <c r="A350" s="5">
        <v>349</v>
      </c>
      <c r="B350" s="5">
        <v>2507271074</v>
      </c>
      <c r="C350" s="5" t="s">
        <v>1132</v>
      </c>
      <c r="D350" s="5" t="s">
        <v>215</v>
      </c>
      <c r="E350" s="5" t="s">
        <v>216</v>
      </c>
      <c r="F350" s="5" t="s">
        <v>109</v>
      </c>
      <c r="G350" s="5" t="s">
        <v>52</v>
      </c>
      <c r="H350" s="5" t="s">
        <v>1114</v>
      </c>
      <c r="I350" s="5">
        <v>202500773</v>
      </c>
      <c r="J350" s="5"/>
      <c r="K350" s="6">
        <v>45865</v>
      </c>
      <c r="L350" s="6">
        <v>45870</v>
      </c>
      <c r="M350" s="5" t="s">
        <v>53</v>
      </c>
      <c r="N350" s="5" t="s">
        <v>54</v>
      </c>
      <c r="O350" s="5" t="s">
        <v>41</v>
      </c>
      <c r="P350" s="30">
        <f t="shared" si="18"/>
        <v>5</v>
      </c>
      <c r="Q350" s="41">
        <v>4090.7999999999997</v>
      </c>
      <c r="R350" s="41">
        <v>6000</v>
      </c>
      <c r="S350" s="41">
        <f t="shared" si="17"/>
        <v>1909.2000000000003</v>
      </c>
    </row>
    <row r="351" spans="1:19">
      <c r="A351" s="5">
        <v>350</v>
      </c>
      <c r="B351" s="5">
        <v>2507271086</v>
      </c>
      <c r="C351" s="5" t="s">
        <v>1133</v>
      </c>
      <c r="D351" s="5" t="s">
        <v>437</v>
      </c>
      <c r="E351" s="5" t="s">
        <v>896</v>
      </c>
      <c r="F351" s="5" t="s">
        <v>71</v>
      </c>
      <c r="G351" s="5" t="s">
        <v>52</v>
      </c>
      <c r="H351" s="5" t="s">
        <v>1114</v>
      </c>
      <c r="I351" s="5">
        <v>202500774</v>
      </c>
      <c r="J351" s="5"/>
      <c r="K351" s="6">
        <v>45865</v>
      </c>
      <c r="L351" s="6">
        <v>45870</v>
      </c>
      <c r="M351" s="5" t="s">
        <v>53</v>
      </c>
      <c r="N351" s="5" t="s">
        <v>54</v>
      </c>
      <c r="O351" s="5" t="s">
        <v>41</v>
      </c>
      <c r="P351" s="30">
        <f t="shared" si="18"/>
        <v>5</v>
      </c>
      <c r="Q351" s="41">
        <v>4090.7999999999997</v>
      </c>
      <c r="R351" s="41">
        <v>8500</v>
      </c>
      <c r="S351" s="41">
        <f t="shared" si="17"/>
        <v>4409.2000000000007</v>
      </c>
    </row>
    <row r="352" spans="1:19">
      <c r="A352" s="5">
        <v>351</v>
      </c>
      <c r="B352" s="5">
        <v>2507271093</v>
      </c>
      <c r="C352" s="5" t="s">
        <v>1134</v>
      </c>
      <c r="D352" s="5" t="s">
        <v>908</v>
      </c>
      <c r="E352" s="5" t="s">
        <v>909</v>
      </c>
      <c r="F352" s="5" t="s">
        <v>362</v>
      </c>
      <c r="G352" s="5" t="s">
        <v>43</v>
      </c>
      <c r="H352" s="5" t="s">
        <v>1114</v>
      </c>
      <c r="I352" s="5">
        <v>202500775</v>
      </c>
      <c r="J352" s="5"/>
      <c r="K352" s="6">
        <v>45865</v>
      </c>
      <c r="L352" s="6">
        <v>45870</v>
      </c>
      <c r="M352" s="5" t="s">
        <v>53</v>
      </c>
      <c r="N352" s="5" t="s">
        <v>54</v>
      </c>
      <c r="O352" s="5" t="s">
        <v>41</v>
      </c>
      <c r="P352" s="30">
        <f t="shared" si="18"/>
        <v>5</v>
      </c>
      <c r="Q352" s="41">
        <v>4090.7999999999997</v>
      </c>
      <c r="R352" s="41">
        <v>10500</v>
      </c>
      <c r="S352" s="41">
        <f t="shared" si="17"/>
        <v>6409.2000000000007</v>
      </c>
    </row>
    <row r="353" spans="1:19">
      <c r="A353" s="5">
        <v>352</v>
      </c>
      <c r="B353" s="5">
        <v>2507270444</v>
      </c>
      <c r="C353" s="5" t="s">
        <v>1135</v>
      </c>
      <c r="D353" s="5" t="s">
        <v>40</v>
      </c>
      <c r="E353" s="5" t="s">
        <v>41</v>
      </c>
      <c r="F353" s="5" t="s">
        <v>42</v>
      </c>
      <c r="G353" s="5" t="s">
        <v>43</v>
      </c>
      <c r="H353" s="5" t="s">
        <v>1114</v>
      </c>
      <c r="I353" s="5">
        <v>202500776</v>
      </c>
      <c r="J353" s="5"/>
      <c r="K353" s="6">
        <v>45865</v>
      </c>
      <c r="L353" s="6">
        <v>45870</v>
      </c>
      <c r="M353" s="5" t="s">
        <v>53</v>
      </c>
      <c r="N353" s="5" t="s">
        <v>54</v>
      </c>
      <c r="O353" s="5" t="s">
        <v>41</v>
      </c>
      <c r="P353" s="30">
        <f t="shared" si="18"/>
        <v>5</v>
      </c>
      <c r="Q353" s="41">
        <v>4090.7999999999997</v>
      </c>
      <c r="R353" s="41">
        <v>14500</v>
      </c>
      <c r="S353" s="41">
        <f t="shared" si="17"/>
        <v>10409.200000000001</v>
      </c>
    </row>
    <row r="354" spans="1:19">
      <c r="A354" s="5">
        <v>353</v>
      </c>
      <c r="B354" s="5">
        <v>2507271098</v>
      </c>
      <c r="C354" s="5" t="s">
        <v>1136</v>
      </c>
      <c r="D354" s="5" t="s">
        <v>405</v>
      </c>
      <c r="E354" s="5" t="s">
        <v>485</v>
      </c>
      <c r="F354" s="5" t="s">
        <v>202</v>
      </c>
      <c r="G354" s="5" t="s">
        <v>52</v>
      </c>
      <c r="H354" s="5" t="s">
        <v>1114</v>
      </c>
      <c r="I354" s="5">
        <v>202500777</v>
      </c>
      <c r="J354" s="5"/>
      <c r="K354" s="6">
        <v>45865</v>
      </c>
      <c r="L354" s="6">
        <v>45870</v>
      </c>
      <c r="M354" s="5" t="s">
        <v>53</v>
      </c>
      <c r="N354" s="5" t="s">
        <v>54</v>
      </c>
      <c r="O354" s="5" t="s">
        <v>41</v>
      </c>
      <c r="P354" s="30">
        <f t="shared" si="18"/>
        <v>5</v>
      </c>
      <c r="Q354" s="41">
        <v>4090.7999999999997</v>
      </c>
      <c r="R354" s="41">
        <v>6450</v>
      </c>
      <c r="S354" s="41">
        <f t="shared" si="17"/>
        <v>2359.2000000000003</v>
      </c>
    </row>
    <row r="355" spans="1:19">
      <c r="A355" s="5">
        <v>354</v>
      </c>
      <c r="B355" s="5">
        <v>2507271103</v>
      </c>
      <c r="C355" s="5" t="s">
        <v>1137</v>
      </c>
      <c r="D355" s="5" t="s">
        <v>405</v>
      </c>
      <c r="E355" s="5" t="s">
        <v>526</v>
      </c>
      <c r="F355" s="5" t="s">
        <v>202</v>
      </c>
      <c r="G355" s="5" t="s">
        <v>52</v>
      </c>
      <c r="H355" s="5" t="s">
        <v>1114</v>
      </c>
      <c r="I355" s="5">
        <v>202500778</v>
      </c>
      <c r="J355" s="5"/>
      <c r="K355" s="6">
        <v>45865</v>
      </c>
      <c r="L355" s="6">
        <v>45870</v>
      </c>
      <c r="M355" s="5" t="s">
        <v>53</v>
      </c>
      <c r="N355" s="5" t="s">
        <v>54</v>
      </c>
      <c r="O355" s="5" t="s">
        <v>41</v>
      </c>
      <c r="P355" s="30">
        <f t="shared" si="18"/>
        <v>5</v>
      </c>
      <c r="Q355" s="41">
        <v>4090.7999999999997</v>
      </c>
      <c r="R355" s="41">
        <v>6450</v>
      </c>
      <c r="S355" s="41">
        <f t="shared" si="17"/>
        <v>2359.2000000000003</v>
      </c>
    </row>
    <row r="356" spans="1:19">
      <c r="A356" s="5">
        <v>355</v>
      </c>
      <c r="B356" s="5">
        <v>2507271107</v>
      </c>
      <c r="C356" s="5" t="s">
        <v>1138</v>
      </c>
      <c r="D356" s="5" t="s">
        <v>309</v>
      </c>
      <c r="E356" s="5" t="s">
        <v>310</v>
      </c>
      <c r="F356" s="5" t="s">
        <v>51</v>
      </c>
      <c r="G356" s="5" t="s">
        <v>52</v>
      </c>
      <c r="H356" s="5" t="s">
        <v>1114</v>
      </c>
      <c r="I356" s="5">
        <v>202500779</v>
      </c>
      <c r="J356" s="5"/>
      <c r="K356" s="6">
        <v>45865</v>
      </c>
      <c r="L356" s="6">
        <v>45870</v>
      </c>
      <c r="M356" s="5" t="s">
        <v>53</v>
      </c>
      <c r="N356" s="5" t="s">
        <v>54</v>
      </c>
      <c r="O356" s="5" t="s">
        <v>41</v>
      </c>
      <c r="P356" s="30">
        <f t="shared" si="18"/>
        <v>5</v>
      </c>
      <c r="Q356" s="41">
        <v>4090.7999999999997</v>
      </c>
      <c r="R356" s="41">
        <v>5500</v>
      </c>
      <c r="S356" s="41">
        <f t="shared" si="17"/>
        <v>1409.2000000000003</v>
      </c>
    </row>
    <row r="357" spans="1:19">
      <c r="A357" s="5">
        <v>356</v>
      </c>
      <c r="B357" s="5">
        <v>2507271115</v>
      </c>
      <c r="C357" s="5" t="s">
        <v>1139</v>
      </c>
      <c r="D357" s="5" t="s">
        <v>263</v>
      </c>
      <c r="E357" s="5" t="s">
        <v>1140</v>
      </c>
      <c r="F357" s="5" t="s">
        <v>71</v>
      </c>
      <c r="G357" s="5" t="s">
        <v>43</v>
      </c>
      <c r="H357" s="5" t="s">
        <v>1114</v>
      </c>
      <c r="I357" s="5">
        <v>202500780</v>
      </c>
      <c r="J357" s="5"/>
      <c r="K357" s="6">
        <v>45865</v>
      </c>
      <c r="L357" s="6">
        <v>45870</v>
      </c>
      <c r="M357" s="5" t="s">
        <v>53</v>
      </c>
      <c r="N357" s="5" t="s">
        <v>54</v>
      </c>
      <c r="O357" s="5" t="s">
        <v>41</v>
      </c>
      <c r="P357" s="30">
        <f t="shared" si="18"/>
        <v>5</v>
      </c>
      <c r="Q357" s="41">
        <v>4090.7999999999997</v>
      </c>
      <c r="R357" s="41">
        <v>12000</v>
      </c>
      <c r="S357" s="41">
        <f t="shared" si="17"/>
        <v>7909.2000000000007</v>
      </c>
    </row>
    <row r="358" spans="1:19">
      <c r="A358" s="5">
        <v>357</v>
      </c>
      <c r="B358" s="5">
        <v>2507271336</v>
      </c>
      <c r="C358" s="5" t="s">
        <v>1141</v>
      </c>
      <c r="D358" s="5" t="s">
        <v>537</v>
      </c>
      <c r="E358" s="5" t="s">
        <v>538</v>
      </c>
      <c r="F358" s="5" t="s">
        <v>66</v>
      </c>
      <c r="G358" s="5" t="s">
        <v>75</v>
      </c>
      <c r="H358" s="5" t="s">
        <v>1114</v>
      </c>
      <c r="I358" s="5">
        <v>202500781</v>
      </c>
      <c r="J358" s="5"/>
      <c r="K358" s="6">
        <v>45865</v>
      </c>
      <c r="L358" s="6">
        <v>45870</v>
      </c>
      <c r="M358" s="5" t="s">
        <v>53</v>
      </c>
      <c r="N358" s="5" t="s">
        <v>54</v>
      </c>
      <c r="O358" s="5" t="s">
        <v>41</v>
      </c>
      <c r="P358" s="30">
        <f t="shared" si="18"/>
        <v>5</v>
      </c>
      <c r="Q358" s="41">
        <v>4090.7999999999997</v>
      </c>
      <c r="R358" s="41">
        <v>4900</v>
      </c>
      <c r="S358" s="41">
        <f t="shared" si="17"/>
        <v>809.20000000000027</v>
      </c>
    </row>
    <row r="359" spans="1:19">
      <c r="A359" s="5">
        <v>358</v>
      </c>
      <c r="B359" s="5">
        <v>2507280046</v>
      </c>
      <c r="C359" s="5" t="s">
        <v>1142</v>
      </c>
      <c r="D359" s="5" t="s">
        <v>706</v>
      </c>
      <c r="E359" s="5" t="s">
        <v>707</v>
      </c>
      <c r="F359" s="5" t="s">
        <v>79</v>
      </c>
      <c r="G359" s="5" t="s">
        <v>52</v>
      </c>
      <c r="H359" s="5" t="s">
        <v>1114</v>
      </c>
      <c r="I359" s="5">
        <v>202500782</v>
      </c>
      <c r="J359" s="5"/>
      <c r="K359" s="6">
        <v>45866</v>
      </c>
      <c r="L359" s="6">
        <v>45870</v>
      </c>
      <c r="M359" s="5" t="s">
        <v>53</v>
      </c>
      <c r="N359" s="5" t="s">
        <v>54</v>
      </c>
      <c r="O359" s="5" t="s">
        <v>41</v>
      </c>
      <c r="P359" s="30">
        <f t="shared" si="18"/>
        <v>4</v>
      </c>
      <c r="Q359" s="41">
        <v>4090.7999999999997</v>
      </c>
      <c r="R359" s="41">
        <v>6000</v>
      </c>
      <c r="S359" s="41">
        <f t="shared" si="17"/>
        <v>1909.2000000000003</v>
      </c>
    </row>
    <row r="360" spans="1:19">
      <c r="A360" s="5">
        <v>359</v>
      </c>
      <c r="B360" s="5">
        <v>2507280409</v>
      </c>
      <c r="C360" s="5" t="s">
        <v>1143</v>
      </c>
      <c r="D360" s="5" t="s">
        <v>167</v>
      </c>
      <c r="E360" s="5" t="s">
        <v>659</v>
      </c>
      <c r="F360" s="5" t="s">
        <v>169</v>
      </c>
      <c r="G360" s="5" t="s">
        <v>43</v>
      </c>
      <c r="H360" s="5" t="s">
        <v>1114</v>
      </c>
      <c r="I360" s="5">
        <v>202500783</v>
      </c>
      <c r="J360" s="5"/>
      <c r="K360" s="6">
        <v>45866</v>
      </c>
      <c r="L360" s="6">
        <v>45870</v>
      </c>
      <c r="M360" s="5" t="s">
        <v>53</v>
      </c>
      <c r="N360" s="5" t="s">
        <v>54</v>
      </c>
      <c r="O360" s="5" t="s">
        <v>41</v>
      </c>
      <c r="P360" s="30">
        <f t="shared" si="18"/>
        <v>4</v>
      </c>
      <c r="Q360" s="41">
        <v>4090.7999999999997</v>
      </c>
      <c r="R360" s="41">
        <v>11000</v>
      </c>
      <c r="S360" s="41">
        <f t="shared" si="17"/>
        <v>6909.2000000000007</v>
      </c>
    </row>
    <row r="361" spans="1:19">
      <c r="A361" s="5">
        <v>360</v>
      </c>
      <c r="B361" s="5" t="s">
        <v>1144</v>
      </c>
      <c r="C361" s="5"/>
      <c r="D361" s="5"/>
      <c r="E361" s="5"/>
      <c r="F361" s="5"/>
      <c r="G361" s="5" t="s">
        <v>52</v>
      </c>
      <c r="H361" s="5"/>
      <c r="I361" s="5"/>
      <c r="J361" s="5"/>
      <c r="K361" s="5"/>
      <c r="L361" s="5"/>
      <c r="M361" s="5"/>
      <c r="N361" s="5"/>
      <c r="O361" s="5"/>
      <c r="P361" s="5"/>
      <c r="Q361" s="41">
        <v>4090.7999999999997</v>
      </c>
      <c r="R361" s="41">
        <v>0</v>
      </c>
      <c r="S361" s="41">
        <f t="shared" si="17"/>
        <v>-4090.7999999999997</v>
      </c>
    </row>
    <row r="362" spans="1:19">
      <c r="A362" s="5">
        <v>361</v>
      </c>
      <c r="B362" s="5" t="s">
        <v>1145</v>
      </c>
      <c r="C362" s="5"/>
      <c r="D362" s="5"/>
      <c r="E362" s="5"/>
      <c r="F362" s="5"/>
      <c r="G362" s="5" t="s">
        <v>52</v>
      </c>
      <c r="H362" s="5"/>
      <c r="I362" s="5"/>
      <c r="J362" s="5"/>
      <c r="K362" s="5"/>
      <c r="L362" s="5"/>
      <c r="M362" s="5"/>
      <c r="N362" s="5"/>
      <c r="O362" s="5"/>
      <c r="P362" s="5"/>
      <c r="Q362" s="41">
        <v>4090.7999999999997</v>
      </c>
      <c r="R362" s="41">
        <v>0</v>
      </c>
      <c r="S362" s="41">
        <f t="shared" si="17"/>
        <v>-4090.7999999999997</v>
      </c>
    </row>
    <row r="365" spans="1:19">
      <c r="C365" s="5" t="s">
        <v>19</v>
      </c>
      <c r="D365" s="37">
        <f>AVERAGE(P:P)</f>
        <v>4.5075075075075075</v>
      </c>
    </row>
    <row r="366" spans="1:19">
      <c r="C366" s="5" t="s">
        <v>12</v>
      </c>
      <c r="D366" s="5">
        <f>COUNTIF(N:N,"Repeat")</f>
        <v>15</v>
      </c>
      <c r="E366" s="38">
        <f>D366/333</f>
        <v>4.5045045045045043E-2</v>
      </c>
    </row>
    <row r="367" spans="1:19">
      <c r="C367" s="5" t="s">
        <v>13</v>
      </c>
      <c r="D367" s="5">
        <f>COUNTIF(N:N,"Resampling")</f>
        <v>9</v>
      </c>
      <c r="E367" s="38">
        <f>D367/333</f>
        <v>2.7027027027027029E-2</v>
      </c>
    </row>
    <row r="368" spans="1:19">
      <c r="C368" s="5" t="s">
        <v>15</v>
      </c>
      <c r="D368" s="5">
        <f>COUNTIF(N:N,"Refund")</f>
        <v>1</v>
      </c>
      <c r="E368" s="38">
        <f>D368/333</f>
        <v>3.003003003003003E-3</v>
      </c>
    </row>
    <row r="369" spans="3:5">
      <c r="C369" s="5" t="s">
        <v>14</v>
      </c>
      <c r="D369" s="5">
        <f>COUNTIF(N:N,"High risk")</f>
        <v>6</v>
      </c>
      <c r="E369" s="38">
        <f>D369/333</f>
        <v>1.8018018018018018E-2</v>
      </c>
    </row>
    <row r="370" spans="3:5">
      <c r="C370" s="5" t="s">
        <v>11</v>
      </c>
      <c r="D370" s="8">
        <f>SUM(Q:Q)</f>
        <v>1384758.7984615355</v>
      </c>
    </row>
    <row r="371" spans="3:5">
      <c r="C371" s="5" t="s">
        <v>10</v>
      </c>
      <c r="D371" s="8">
        <f>AVERAGE(Q:Q)</f>
        <v>3835.8969486469127</v>
      </c>
    </row>
    <row r="372" spans="3:5">
      <c r="C372" s="5" t="s">
        <v>16</v>
      </c>
      <c r="D372" s="8">
        <f>SUM(R:R)</f>
        <v>2193300</v>
      </c>
    </row>
    <row r="373" spans="3:5">
      <c r="C373" s="5" t="s">
        <v>17</v>
      </c>
      <c r="D373" s="8">
        <f>D372-D370</f>
        <v>808541.20153846452</v>
      </c>
    </row>
  </sheetData>
  <dataValidations count="1">
    <dataValidation type="list" allowBlank="1" showInputMessage="1" showErrorMessage="1" sqref="G1:G25 G28:G51 G54 G78 G136:G155 G159:G182 G185:G203 G231:G250 G253:G276 G279:G306 G339:G360" xr:uid="{E1FE3E2D-2EA0-FA43-ACC0-7C9E1E1669BB}">
      <formula1>"Basic,Standard,Advanced,Twin"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48E20-5686-DB4F-993F-6F66F6E695C9}">
  <dimension ref="A1:S334"/>
  <sheetViews>
    <sheetView topLeftCell="D244" workbookViewId="0">
      <selection activeCell="O249" sqref="O249"/>
    </sheetView>
  </sheetViews>
  <sheetFormatPr baseColWidth="10" defaultRowHeight="16"/>
  <cols>
    <col min="1" max="1" width="4" bestFit="1" customWidth="1"/>
    <col min="2" max="2" width="12.5" bestFit="1" customWidth="1"/>
    <col min="3" max="3" width="32" bestFit="1" customWidth="1"/>
    <col min="4" max="4" width="43.1640625" bestFit="1" customWidth="1"/>
    <col min="5" max="5" width="27" bestFit="1" customWidth="1"/>
    <col min="6" max="6" width="14.6640625" bestFit="1" customWidth="1"/>
    <col min="7" max="7" width="12" bestFit="1" customWidth="1"/>
    <col min="8" max="8" width="14" bestFit="1" customWidth="1"/>
    <col min="9" max="9" width="16" bestFit="1" customWidth="1"/>
    <col min="10" max="12" width="13.33203125" customWidth="1"/>
    <col min="13" max="13" width="12.5" customWidth="1"/>
    <col min="14" max="14" width="13.6640625" bestFit="1" customWidth="1"/>
    <col min="15" max="15" width="18" customWidth="1"/>
    <col min="16" max="16" width="9.83203125" bestFit="1" customWidth="1"/>
    <col min="17" max="17" width="13" bestFit="1" customWidth="1"/>
    <col min="18" max="18" width="14.1640625" bestFit="1" customWidth="1"/>
    <col min="19" max="19" width="12.6640625" bestFit="1" customWidth="1"/>
  </cols>
  <sheetData>
    <row r="1" spans="1:19">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4" t="s">
        <v>36</v>
      </c>
      <c r="R1" s="4" t="s">
        <v>37</v>
      </c>
      <c r="S1" s="3" t="s">
        <v>38</v>
      </c>
    </row>
    <row r="2" spans="1:19">
      <c r="A2" s="5">
        <v>1</v>
      </c>
      <c r="B2" s="17">
        <v>2507200883</v>
      </c>
      <c r="C2" s="17" t="s">
        <v>1018</v>
      </c>
      <c r="D2" s="17" t="s">
        <v>405</v>
      </c>
      <c r="E2" s="17" t="s">
        <v>485</v>
      </c>
      <c r="F2" s="17" t="s">
        <v>202</v>
      </c>
      <c r="G2" s="17" t="s">
        <v>52</v>
      </c>
      <c r="H2" s="17" t="s">
        <v>1148</v>
      </c>
      <c r="I2" s="17" t="s">
        <v>1149</v>
      </c>
      <c r="J2" s="17"/>
      <c r="K2" s="18">
        <v>45866</v>
      </c>
      <c r="L2" s="18">
        <v>45873</v>
      </c>
      <c r="M2" s="17" t="s">
        <v>53</v>
      </c>
      <c r="N2" s="17" t="s">
        <v>480</v>
      </c>
      <c r="O2" s="17" t="s">
        <v>1107</v>
      </c>
      <c r="P2" s="31">
        <f t="shared" ref="P2:P36" si="0">L2-K2</f>
        <v>7</v>
      </c>
      <c r="Q2" s="19">
        <v>2797.5459459459457</v>
      </c>
      <c r="R2" s="19">
        <v>0</v>
      </c>
      <c r="S2" s="19">
        <f t="shared" ref="S2:S65" si="1">R2-Q2</f>
        <v>-2797.5459459459457</v>
      </c>
    </row>
    <row r="3" spans="1:19">
      <c r="A3" s="5">
        <v>2</v>
      </c>
      <c r="B3" s="5">
        <v>2507261588</v>
      </c>
      <c r="C3" s="5" t="s">
        <v>1120</v>
      </c>
      <c r="D3" s="5" t="s">
        <v>309</v>
      </c>
      <c r="E3" s="5" t="s">
        <v>310</v>
      </c>
      <c r="F3" s="5" t="s">
        <v>51</v>
      </c>
      <c r="G3" s="5" t="s">
        <v>52</v>
      </c>
      <c r="H3" s="5" t="s">
        <v>1148</v>
      </c>
      <c r="I3" s="5" t="s">
        <v>1150</v>
      </c>
      <c r="J3" s="5"/>
      <c r="K3" s="6">
        <v>45864</v>
      </c>
      <c r="L3" s="6">
        <v>45873</v>
      </c>
      <c r="M3" s="5" t="s">
        <v>53</v>
      </c>
      <c r="N3" s="5" t="s">
        <v>54</v>
      </c>
      <c r="O3" s="5" t="s">
        <v>41</v>
      </c>
      <c r="P3" s="30">
        <f t="shared" si="0"/>
        <v>9</v>
      </c>
      <c r="Q3" s="41">
        <v>2797.5459459459457</v>
      </c>
      <c r="R3" s="41">
        <v>0</v>
      </c>
      <c r="S3" s="41">
        <f t="shared" si="1"/>
        <v>-2797.5459459459457</v>
      </c>
    </row>
    <row r="4" spans="1:19">
      <c r="A4" s="5">
        <v>3</v>
      </c>
      <c r="B4" s="5">
        <v>2507281170</v>
      </c>
      <c r="C4" s="5" t="s">
        <v>1151</v>
      </c>
      <c r="D4" s="5" t="s">
        <v>334</v>
      </c>
      <c r="E4" s="5" t="s">
        <v>335</v>
      </c>
      <c r="F4" s="5" t="s">
        <v>71</v>
      </c>
      <c r="G4" s="5" t="s">
        <v>52</v>
      </c>
      <c r="H4" s="5" t="s">
        <v>1148</v>
      </c>
      <c r="I4" s="5">
        <v>202500784</v>
      </c>
      <c r="J4" s="5"/>
      <c r="K4" s="6">
        <v>45866</v>
      </c>
      <c r="L4" s="6">
        <v>45873</v>
      </c>
      <c r="M4" s="5" t="s">
        <v>53</v>
      </c>
      <c r="N4" s="5" t="s">
        <v>54</v>
      </c>
      <c r="O4" s="5" t="s">
        <v>41</v>
      </c>
      <c r="P4" s="30">
        <f t="shared" si="0"/>
        <v>7</v>
      </c>
      <c r="Q4" s="41">
        <v>2797.5459459459457</v>
      </c>
      <c r="R4" s="41">
        <v>5950</v>
      </c>
      <c r="S4" s="41">
        <f t="shared" si="1"/>
        <v>3152.4540540540543</v>
      </c>
    </row>
    <row r="5" spans="1:19">
      <c r="A5" s="5">
        <v>4</v>
      </c>
      <c r="B5" s="5">
        <v>2507281174</v>
      </c>
      <c r="C5" s="5" t="s">
        <v>1152</v>
      </c>
      <c r="D5" s="5" t="s">
        <v>348</v>
      </c>
      <c r="E5" s="5" t="s">
        <v>349</v>
      </c>
      <c r="F5" s="5" t="s">
        <v>71</v>
      </c>
      <c r="G5" s="5" t="s">
        <v>52</v>
      </c>
      <c r="H5" s="5" t="s">
        <v>1148</v>
      </c>
      <c r="I5" s="5">
        <v>202500785</v>
      </c>
      <c r="J5" s="5"/>
      <c r="K5" s="6">
        <v>45866</v>
      </c>
      <c r="L5" s="6">
        <v>45873</v>
      </c>
      <c r="M5" s="5" t="s">
        <v>53</v>
      </c>
      <c r="N5" s="5" t="s">
        <v>54</v>
      </c>
      <c r="O5" s="5" t="s">
        <v>41</v>
      </c>
      <c r="P5" s="30">
        <f t="shared" si="0"/>
        <v>7</v>
      </c>
      <c r="Q5" s="41">
        <v>2797.5459459459457</v>
      </c>
      <c r="R5" s="41">
        <v>7000</v>
      </c>
      <c r="S5" s="41">
        <f t="shared" si="1"/>
        <v>4202.4540540540547</v>
      </c>
    </row>
    <row r="6" spans="1:19">
      <c r="A6" s="5">
        <v>5</v>
      </c>
      <c r="B6" s="5">
        <v>2507281177</v>
      </c>
      <c r="C6" s="5" t="s">
        <v>1153</v>
      </c>
      <c r="D6" s="5" t="s">
        <v>376</v>
      </c>
      <c r="E6" s="5" t="s">
        <v>335</v>
      </c>
      <c r="F6" s="5" t="s">
        <v>71</v>
      </c>
      <c r="G6" s="5" t="s">
        <v>52</v>
      </c>
      <c r="H6" s="5" t="s">
        <v>1148</v>
      </c>
      <c r="I6" s="5">
        <v>202500786</v>
      </c>
      <c r="J6" s="5"/>
      <c r="K6" s="6">
        <v>45866</v>
      </c>
      <c r="L6" s="6">
        <v>45873</v>
      </c>
      <c r="M6" s="5" t="s">
        <v>53</v>
      </c>
      <c r="N6" s="5" t="s">
        <v>54</v>
      </c>
      <c r="O6" s="5" t="s">
        <v>41</v>
      </c>
      <c r="P6" s="30">
        <f t="shared" si="0"/>
        <v>7</v>
      </c>
      <c r="Q6" s="41">
        <v>2797.5459459459457</v>
      </c>
      <c r="R6" s="41">
        <v>5950</v>
      </c>
      <c r="S6" s="41">
        <f t="shared" si="1"/>
        <v>3152.4540540540543</v>
      </c>
    </row>
    <row r="7" spans="1:19">
      <c r="A7" s="5">
        <v>6</v>
      </c>
      <c r="B7" s="17">
        <v>2507281180</v>
      </c>
      <c r="C7" s="17" t="s">
        <v>1154</v>
      </c>
      <c r="D7" s="17" t="s">
        <v>1155</v>
      </c>
      <c r="E7" s="17" t="s">
        <v>1156</v>
      </c>
      <c r="F7" s="17" t="s">
        <v>169</v>
      </c>
      <c r="G7" s="17" t="s">
        <v>52</v>
      </c>
      <c r="H7" s="17" t="s">
        <v>1148</v>
      </c>
      <c r="I7" s="17">
        <v>202500787</v>
      </c>
      <c r="J7" s="17"/>
      <c r="K7" s="18">
        <v>45866</v>
      </c>
      <c r="L7" s="18">
        <v>45873</v>
      </c>
      <c r="M7" s="17" t="s">
        <v>53</v>
      </c>
      <c r="N7" s="17" t="s">
        <v>480</v>
      </c>
      <c r="O7" s="17" t="s">
        <v>1157</v>
      </c>
      <c r="P7" s="31">
        <f t="shared" si="0"/>
        <v>7</v>
      </c>
      <c r="Q7" s="19">
        <v>2797.5459459459457</v>
      </c>
      <c r="R7" s="19">
        <v>6000</v>
      </c>
      <c r="S7" s="19">
        <f t="shared" si="1"/>
        <v>3202.4540540540543</v>
      </c>
    </row>
    <row r="8" spans="1:19">
      <c r="A8" s="5">
        <v>7</v>
      </c>
      <c r="B8" s="5">
        <v>2507290356</v>
      </c>
      <c r="C8" s="5" t="s">
        <v>1158</v>
      </c>
      <c r="D8" s="5" t="s">
        <v>64</v>
      </c>
      <c r="E8" s="5" t="s">
        <v>65</v>
      </c>
      <c r="F8" s="5" t="s">
        <v>66</v>
      </c>
      <c r="G8" s="5" t="s">
        <v>52</v>
      </c>
      <c r="H8" s="5" t="s">
        <v>1148</v>
      </c>
      <c r="I8" s="5">
        <v>202500788</v>
      </c>
      <c r="J8" s="5"/>
      <c r="K8" s="6">
        <v>45867</v>
      </c>
      <c r="L8" s="6">
        <v>45873</v>
      </c>
      <c r="M8" s="5" t="s">
        <v>53</v>
      </c>
      <c r="N8" s="5" t="s">
        <v>54</v>
      </c>
      <c r="O8" s="5" t="s">
        <v>41</v>
      </c>
      <c r="P8" s="30">
        <f t="shared" si="0"/>
        <v>6</v>
      </c>
      <c r="Q8" s="41">
        <v>2797.5459459459457</v>
      </c>
      <c r="R8" s="41">
        <v>5500</v>
      </c>
      <c r="S8" s="41">
        <f t="shared" si="1"/>
        <v>2702.4540540540543</v>
      </c>
    </row>
    <row r="9" spans="1:19">
      <c r="A9" s="5">
        <v>8</v>
      </c>
      <c r="B9" s="13">
        <v>2507290157</v>
      </c>
      <c r="C9" s="13" t="s">
        <v>1159</v>
      </c>
      <c r="D9" s="13" t="s">
        <v>40</v>
      </c>
      <c r="E9" s="13" t="s">
        <v>41</v>
      </c>
      <c r="F9" s="13" t="s">
        <v>42</v>
      </c>
      <c r="G9" s="13" t="s">
        <v>190</v>
      </c>
      <c r="H9" s="13" t="s">
        <v>1148</v>
      </c>
      <c r="I9" s="13">
        <v>202500789</v>
      </c>
      <c r="J9" s="13"/>
      <c r="K9" s="14">
        <v>45867</v>
      </c>
      <c r="L9" s="14">
        <v>45873</v>
      </c>
      <c r="M9" s="13" t="s">
        <v>45</v>
      </c>
      <c r="N9" s="13" t="s">
        <v>46</v>
      </c>
      <c r="O9" s="64" t="s">
        <v>867</v>
      </c>
      <c r="P9" s="35">
        <f t="shared" si="0"/>
        <v>6</v>
      </c>
      <c r="Q9" s="15">
        <v>2797.5459459459457</v>
      </c>
      <c r="R9" s="15">
        <v>13500</v>
      </c>
      <c r="S9" s="15">
        <f t="shared" si="1"/>
        <v>10702.454054054055</v>
      </c>
    </row>
    <row r="10" spans="1:19">
      <c r="A10" s="5">
        <v>9</v>
      </c>
      <c r="B10" s="17">
        <v>2507303255</v>
      </c>
      <c r="C10" s="17" t="s">
        <v>1160</v>
      </c>
      <c r="D10" s="17" t="s">
        <v>77</v>
      </c>
      <c r="E10" s="17" t="s">
        <v>78</v>
      </c>
      <c r="F10" s="17" t="s">
        <v>79</v>
      </c>
      <c r="G10" s="17" t="s">
        <v>52</v>
      </c>
      <c r="H10" s="17" t="s">
        <v>1148</v>
      </c>
      <c r="I10" s="17">
        <v>202500790</v>
      </c>
      <c r="J10" s="17"/>
      <c r="K10" s="18">
        <v>45868</v>
      </c>
      <c r="L10" s="18">
        <v>45873</v>
      </c>
      <c r="M10" s="17" t="s">
        <v>53</v>
      </c>
      <c r="N10" s="17" t="s">
        <v>480</v>
      </c>
      <c r="O10" s="17" t="s">
        <v>446</v>
      </c>
      <c r="P10" s="31">
        <f t="shared" si="0"/>
        <v>5</v>
      </c>
      <c r="Q10" s="19">
        <v>2797.5459459459457</v>
      </c>
      <c r="R10" s="19">
        <v>5500</v>
      </c>
      <c r="S10" s="19">
        <f t="shared" si="1"/>
        <v>2702.4540540540543</v>
      </c>
    </row>
    <row r="11" spans="1:19">
      <c r="A11" s="5">
        <v>10</v>
      </c>
      <c r="B11" s="5">
        <v>2507292350</v>
      </c>
      <c r="C11" s="5" t="s">
        <v>1161</v>
      </c>
      <c r="D11" s="5" t="s">
        <v>733</v>
      </c>
      <c r="E11" s="5" t="s">
        <v>1162</v>
      </c>
      <c r="F11" s="5" t="s">
        <v>51</v>
      </c>
      <c r="G11" s="5" t="s">
        <v>52</v>
      </c>
      <c r="H11" s="5" t="s">
        <v>1148</v>
      </c>
      <c r="I11" s="5">
        <v>202500791</v>
      </c>
      <c r="J11" s="5"/>
      <c r="K11" s="6">
        <v>45867</v>
      </c>
      <c r="L11" s="6">
        <v>45873</v>
      </c>
      <c r="M11" s="5" t="s">
        <v>53</v>
      </c>
      <c r="N11" s="5" t="s">
        <v>54</v>
      </c>
      <c r="O11" s="5" t="s">
        <v>41</v>
      </c>
      <c r="P11" s="30">
        <f t="shared" si="0"/>
        <v>6</v>
      </c>
      <c r="Q11" s="41">
        <v>2797.5459459459457</v>
      </c>
      <c r="R11" s="41">
        <v>5500</v>
      </c>
      <c r="S11" s="41">
        <f t="shared" si="1"/>
        <v>2702.4540540540543</v>
      </c>
    </row>
    <row r="12" spans="1:19">
      <c r="A12" s="5">
        <v>11</v>
      </c>
      <c r="B12" s="5">
        <v>2507292354</v>
      </c>
      <c r="C12" s="5" t="s">
        <v>1163</v>
      </c>
      <c r="D12" s="5" t="s">
        <v>309</v>
      </c>
      <c r="E12" s="5" t="s">
        <v>310</v>
      </c>
      <c r="F12" s="5" t="s">
        <v>51</v>
      </c>
      <c r="G12" s="5" t="s">
        <v>52</v>
      </c>
      <c r="H12" s="5" t="s">
        <v>1148</v>
      </c>
      <c r="I12" s="5">
        <v>202500792</v>
      </c>
      <c r="J12" s="5"/>
      <c r="K12" s="6">
        <v>45867</v>
      </c>
      <c r="L12" s="6">
        <v>45873</v>
      </c>
      <c r="M12" s="5" t="s">
        <v>53</v>
      </c>
      <c r="N12" s="5" t="s">
        <v>54</v>
      </c>
      <c r="O12" s="5" t="s">
        <v>41</v>
      </c>
      <c r="P12" s="30">
        <f t="shared" si="0"/>
        <v>6</v>
      </c>
      <c r="Q12" s="41">
        <v>2797.5459459459457</v>
      </c>
      <c r="R12" s="41">
        <v>5500</v>
      </c>
      <c r="S12" s="41">
        <f t="shared" si="1"/>
        <v>2702.4540540540543</v>
      </c>
    </row>
    <row r="13" spans="1:19">
      <c r="A13" s="5">
        <v>12</v>
      </c>
      <c r="B13" s="5">
        <v>2507292357</v>
      </c>
      <c r="C13" s="5" t="s">
        <v>1164</v>
      </c>
      <c r="D13" s="5" t="s">
        <v>572</v>
      </c>
      <c r="E13" s="5" t="s">
        <v>1165</v>
      </c>
      <c r="F13" s="5" t="s">
        <v>87</v>
      </c>
      <c r="G13" s="5" t="s">
        <v>75</v>
      </c>
      <c r="H13" s="5" t="s">
        <v>1148</v>
      </c>
      <c r="I13" s="5">
        <v>202500793</v>
      </c>
      <c r="J13" s="5"/>
      <c r="K13" s="6">
        <v>45867</v>
      </c>
      <c r="L13" s="6">
        <v>45873</v>
      </c>
      <c r="M13" s="5" t="s">
        <v>53</v>
      </c>
      <c r="N13" s="5" t="s">
        <v>54</v>
      </c>
      <c r="O13" s="5" t="s">
        <v>41</v>
      </c>
      <c r="P13" s="30">
        <f t="shared" si="0"/>
        <v>6</v>
      </c>
      <c r="Q13" s="41">
        <v>2797.5459459459457</v>
      </c>
      <c r="R13" s="41">
        <v>4700</v>
      </c>
      <c r="S13" s="41">
        <f t="shared" si="1"/>
        <v>1902.4540540540543</v>
      </c>
    </row>
    <row r="14" spans="1:19">
      <c r="A14" s="5">
        <v>13</v>
      </c>
      <c r="B14" s="5">
        <v>2507291215</v>
      </c>
      <c r="C14" s="5" t="s">
        <v>1166</v>
      </c>
      <c r="D14" s="5" t="s">
        <v>40</v>
      </c>
      <c r="E14" s="5" t="s">
        <v>41</v>
      </c>
      <c r="F14" s="5" t="s">
        <v>42</v>
      </c>
      <c r="G14" s="5" t="s">
        <v>52</v>
      </c>
      <c r="H14" s="5" t="s">
        <v>1148</v>
      </c>
      <c r="I14" s="5">
        <v>202500794</v>
      </c>
      <c r="J14" s="5"/>
      <c r="K14" s="6">
        <v>45867</v>
      </c>
      <c r="L14" s="6">
        <v>45873</v>
      </c>
      <c r="M14" s="5" t="s">
        <v>53</v>
      </c>
      <c r="N14" s="5" t="s">
        <v>54</v>
      </c>
      <c r="O14" s="5" t="s">
        <v>41</v>
      </c>
      <c r="P14" s="30">
        <f t="shared" si="0"/>
        <v>6</v>
      </c>
      <c r="Q14" s="41">
        <v>2797.5459459459457</v>
      </c>
      <c r="R14" s="41">
        <v>9500</v>
      </c>
      <c r="S14" s="41">
        <f t="shared" si="1"/>
        <v>6702.4540540540547</v>
      </c>
    </row>
    <row r="15" spans="1:19">
      <c r="A15" s="5">
        <v>14</v>
      </c>
      <c r="B15" s="5">
        <v>2507292360</v>
      </c>
      <c r="C15" s="5" t="s">
        <v>1167</v>
      </c>
      <c r="D15" s="5" t="s">
        <v>1168</v>
      </c>
      <c r="E15" s="5" t="s">
        <v>1169</v>
      </c>
      <c r="F15" s="5" t="s">
        <v>109</v>
      </c>
      <c r="G15" s="5" t="s">
        <v>52</v>
      </c>
      <c r="H15" s="5" t="s">
        <v>1148</v>
      </c>
      <c r="I15" s="5">
        <v>202500795</v>
      </c>
      <c r="J15" s="5"/>
      <c r="K15" s="6">
        <v>45867</v>
      </c>
      <c r="L15" s="6">
        <v>45873</v>
      </c>
      <c r="M15" s="5" t="s">
        <v>53</v>
      </c>
      <c r="N15" s="5" t="s">
        <v>54</v>
      </c>
      <c r="O15" s="5" t="s">
        <v>41</v>
      </c>
      <c r="P15" s="30">
        <f t="shared" si="0"/>
        <v>6</v>
      </c>
      <c r="Q15" s="41">
        <v>2797.5459459459457</v>
      </c>
      <c r="R15" s="41">
        <v>6000</v>
      </c>
      <c r="S15" s="41">
        <f t="shared" si="1"/>
        <v>3202.4540540540543</v>
      </c>
    </row>
    <row r="16" spans="1:19">
      <c r="A16" s="5">
        <v>15</v>
      </c>
      <c r="B16" s="5">
        <v>2507292365</v>
      </c>
      <c r="C16" s="5" t="s">
        <v>1170</v>
      </c>
      <c r="D16" s="5" t="s">
        <v>86</v>
      </c>
      <c r="E16" s="5" t="s">
        <v>699</v>
      </c>
      <c r="F16" s="5" t="s">
        <v>87</v>
      </c>
      <c r="G16" s="5" t="s">
        <v>43</v>
      </c>
      <c r="H16" s="5" t="s">
        <v>1148</v>
      </c>
      <c r="I16" s="5">
        <v>202500796</v>
      </c>
      <c r="J16" s="5"/>
      <c r="K16" s="6">
        <v>45867</v>
      </c>
      <c r="L16" s="6">
        <v>45873</v>
      </c>
      <c r="M16" s="5" t="s">
        <v>53</v>
      </c>
      <c r="N16" s="5" t="s">
        <v>54</v>
      </c>
      <c r="O16" s="5" t="s">
        <v>41</v>
      </c>
      <c r="P16" s="30">
        <f t="shared" si="0"/>
        <v>6</v>
      </c>
      <c r="Q16" s="41">
        <v>2797.5459459459457</v>
      </c>
      <c r="R16" s="41">
        <v>11000</v>
      </c>
      <c r="S16" s="41">
        <f t="shared" si="1"/>
        <v>8202.4540540540547</v>
      </c>
    </row>
    <row r="17" spans="1:19">
      <c r="A17" s="5">
        <v>16</v>
      </c>
      <c r="B17" s="5">
        <v>2507292369</v>
      </c>
      <c r="C17" s="5" t="s">
        <v>1171</v>
      </c>
      <c r="D17" s="5" t="s">
        <v>215</v>
      </c>
      <c r="E17" s="5" t="s">
        <v>216</v>
      </c>
      <c r="F17" s="5" t="s">
        <v>109</v>
      </c>
      <c r="G17" s="5" t="s">
        <v>52</v>
      </c>
      <c r="H17" s="5" t="s">
        <v>1148</v>
      </c>
      <c r="I17" s="5">
        <v>202500797</v>
      </c>
      <c r="J17" s="5"/>
      <c r="K17" s="6">
        <v>45867</v>
      </c>
      <c r="L17" s="6">
        <v>45873</v>
      </c>
      <c r="M17" s="5" t="s">
        <v>53</v>
      </c>
      <c r="N17" s="5" t="s">
        <v>54</v>
      </c>
      <c r="O17" s="5" t="s">
        <v>41</v>
      </c>
      <c r="P17" s="30">
        <f t="shared" si="0"/>
        <v>6</v>
      </c>
      <c r="Q17" s="41">
        <v>2797.5459459459457</v>
      </c>
      <c r="R17" s="41">
        <v>6000</v>
      </c>
      <c r="S17" s="41">
        <f t="shared" si="1"/>
        <v>3202.4540540540543</v>
      </c>
    </row>
    <row r="18" spans="1:19">
      <c r="A18" s="5">
        <v>17</v>
      </c>
      <c r="B18" s="5">
        <v>2507292372</v>
      </c>
      <c r="C18" s="5" t="s">
        <v>1172</v>
      </c>
      <c r="D18" s="5" t="s">
        <v>1173</v>
      </c>
      <c r="E18" s="5" t="s">
        <v>1174</v>
      </c>
      <c r="F18" s="5" t="s">
        <v>58</v>
      </c>
      <c r="G18" s="5" t="s">
        <v>75</v>
      </c>
      <c r="H18" s="5" t="s">
        <v>1148</v>
      </c>
      <c r="I18" s="5">
        <v>202500798</v>
      </c>
      <c r="J18" s="5"/>
      <c r="K18" s="6">
        <v>45867</v>
      </c>
      <c r="L18" s="6">
        <v>45873</v>
      </c>
      <c r="M18" s="5" t="s">
        <v>53</v>
      </c>
      <c r="N18" s="5" t="s">
        <v>54</v>
      </c>
      <c r="O18" s="5" t="s">
        <v>41</v>
      </c>
      <c r="P18" s="30">
        <f t="shared" si="0"/>
        <v>6</v>
      </c>
      <c r="Q18" s="41">
        <v>2797.5459459459457</v>
      </c>
      <c r="R18" s="41">
        <v>4900</v>
      </c>
      <c r="S18" s="41">
        <f t="shared" si="1"/>
        <v>2102.4540540540543</v>
      </c>
    </row>
    <row r="19" spans="1:19">
      <c r="A19" s="5">
        <v>18</v>
      </c>
      <c r="B19" s="13">
        <v>2507303237</v>
      </c>
      <c r="C19" s="13" t="s">
        <v>1175</v>
      </c>
      <c r="D19" s="13" t="s">
        <v>1176</v>
      </c>
      <c r="E19" s="13" t="s">
        <v>1177</v>
      </c>
      <c r="F19" s="13" t="s">
        <v>141</v>
      </c>
      <c r="G19" s="13" t="s">
        <v>75</v>
      </c>
      <c r="H19" s="13" t="s">
        <v>1148</v>
      </c>
      <c r="I19" s="13">
        <v>202500799</v>
      </c>
      <c r="J19" s="13"/>
      <c r="K19" s="14">
        <v>45868</v>
      </c>
      <c r="L19" s="14">
        <v>45873</v>
      </c>
      <c r="M19" s="13" t="s">
        <v>45</v>
      </c>
      <c r="N19" s="13" t="s">
        <v>46</v>
      </c>
      <c r="O19" s="64" t="s">
        <v>867</v>
      </c>
      <c r="P19" s="35">
        <f t="shared" si="0"/>
        <v>5</v>
      </c>
      <c r="Q19" s="15">
        <v>2797.5459459459457</v>
      </c>
      <c r="R19" s="15">
        <v>4500</v>
      </c>
      <c r="S19" s="15">
        <f t="shared" si="1"/>
        <v>1702.4540540540543</v>
      </c>
    </row>
    <row r="20" spans="1:19">
      <c r="A20" s="5">
        <v>19</v>
      </c>
      <c r="B20" s="5">
        <v>2507303266</v>
      </c>
      <c r="C20" s="5" t="s">
        <v>1178</v>
      </c>
      <c r="D20" s="5" t="s">
        <v>810</v>
      </c>
      <c r="E20" s="5" t="s">
        <v>1179</v>
      </c>
      <c r="F20" s="5" t="s">
        <v>457</v>
      </c>
      <c r="G20" s="5" t="s">
        <v>52</v>
      </c>
      <c r="H20" s="5" t="s">
        <v>1148</v>
      </c>
      <c r="I20" s="5">
        <v>202500800</v>
      </c>
      <c r="J20" s="5"/>
      <c r="K20" s="6">
        <v>45868</v>
      </c>
      <c r="L20" s="6">
        <v>45873</v>
      </c>
      <c r="M20" s="5" t="s">
        <v>53</v>
      </c>
      <c r="N20" s="5" t="s">
        <v>54</v>
      </c>
      <c r="O20" s="5" t="s">
        <v>41</v>
      </c>
      <c r="P20" s="30">
        <f t="shared" si="0"/>
        <v>5</v>
      </c>
      <c r="Q20" s="41">
        <v>2797.5459459459457</v>
      </c>
      <c r="R20" s="41">
        <v>5200</v>
      </c>
      <c r="S20" s="41">
        <f t="shared" si="1"/>
        <v>2402.4540540540543</v>
      </c>
    </row>
    <row r="21" spans="1:19">
      <c r="A21" s="5">
        <v>20</v>
      </c>
      <c r="B21" s="5">
        <v>2507303273</v>
      </c>
      <c r="C21" s="5" t="s">
        <v>1180</v>
      </c>
      <c r="D21" s="5" t="s">
        <v>405</v>
      </c>
      <c r="E21" s="5" t="s">
        <v>526</v>
      </c>
      <c r="F21" s="5" t="s">
        <v>202</v>
      </c>
      <c r="G21" s="5" t="s">
        <v>52</v>
      </c>
      <c r="H21" s="5" t="s">
        <v>1148</v>
      </c>
      <c r="I21" s="5">
        <v>202500801</v>
      </c>
      <c r="J21" s="5"/>
      <c r="K21" s="6">
        <v>45868</v>
      </c>
      <c r="L21" s="6">
        <v>45873</v>
      </c>
      <c r="M21" s="5" t="s">
        <v>53</v>
      </c>
      <c r="N21" s="5" t="s">
        <v>54</v>
      </c>
      <c r="O21" s="5" t="s">
        <v>41</v>
      </c>
      <c r="P21" s="30">
        <f t="shared" si="0"/>
        <v>5</v>
      </c>
      <c r="Q21" s="41">
        <v>2797.5459459459457</v>
      </c>
      <c r="R21" s="41">
        <v>6450</v>
      </c>
      <c r="S21" s="41">
        <f t="shared" si="1"/>
        <v>3652.4540540540543</v>
      </c>
    </row>
    <row r="22" spans="1:19">
      <c r="A22" s="5">
        <v>21</v>
      </c>
      <c r="B22" s="5">
        <v>2507303283</v>
      </c>
      <c r="C22" s="5" t="s">
        <v>1181</v>
      </c>
      <c r="D22" s="5" t="s">
        <v>405</v>
      </c>
      <c r="E22" s="5" t="s">
        <v>459</v>
      </c>
      <c r="F22" s="5" t="s">
        <v>202</v>
      </c>
      <c r="G22" s="5" t="s">
        <v>52</v>
      </c>
      <c r="H22" s="5" t="s">
        <v>1148</v>
      </c>
      <c r="I22" s="5">
        <v>202500802</v>
      </c>
      <c r="J22" s="5"/>
      <c r="K22" s="6">
        <v>45868</v>
      </c>
      <c r="L22" s="6">
        <v>45873</v>
      </c>
      <c r="M22" s="5" t="s">
        <v>53</v>
      </c>
      <c r="N22" s="5" t="s">
        <v>54</v>
      </c>
      <c r="O22" s="5" t="s">
        <v>41</v>
      </c>
      <c r="P22" s="30">
        <f t="shared" si="0"/>
        <v>5</v>
      </c>
      <c r="Q22" s="41">
        <v>2797.5459459459457</v>
      </c>
      <c r="R22" s="41">
        <v>6450</v>
      </c>
      <c r="S22" s="41">
        <f t="shared" si="1"/>
        <v>3652.4540540540543</v>
      </c>
    </row>
    <row r="23" spans="1:19">
      <c r="A23" s="5">
        <v>22</v>
      </c>
      <c r="B23" s="5">
        <v>2507310048</v>
      </c>
      <c r="C23" s="5" t="s">
        <v>1182</v>
      </c>
      <c r="D23" s="5" t="s">
        <v>1183</v>
      </c>
      <c r="E23" s="5" t="s">
        <v>41</v>
      </c>
      <c r="F23" s="5" t="s">
        <v>71</v>
      </c>
      <c r="G23" s="5" t="s">
        <v>75</v>
      </c>
      <c r="H23" s="5" t="s">
        <v>1148</v>
      </c>
      <c r="I23" s="5">
        <v>202500803</v>
      </c>
      <c r="J23" s="5"/>
      <c r="K23" s="6">
        <v>45869</v>
      </c>
      <c r="L23" s="6">
        <v>45873</v>
      </c>
      <c r="M23" s="5" t="s">
        <v>53</v>
      </c>
      <c r="N23" s="5" t="s">
        <v>54</v>
      </c>
      <c r="O23" s="5" t="s">
        <v>41</v>
      </c>
      <c r="P23" s="30">
        <f t="shared" si="0"/>
        <v>4</v>
      </c>
      <c r="Q23" s="41">
        <v>2797.5459459459457</v>
      </c>
      <c r="R23" s="41">
        <v>4900</v>
      </c>
      <c r="S23" s="41">
        <f t="shared" si="1"/>
        <v>2102.4540540540543</v>
      </c>
    </row>
    <row r="24" spans="1:19">
      <c r="A24" s="5">
        <v>23</v>
      </c>
      <c r="B24" s="5">
        <v>2507303301</v>
      </c>
      <c r="C24" s="5" t="s">
        <v>1184</v>
      </c>
      <c r="D24" s="5" t="s">
        <v>49</v>
      </c>
      <c r="E24" s="5" t="s">
        <v>50</v>
      </c>
      <c r="F24" s="5" t="s">
        <v>51</v>
      </c>
      <c r="G24" s="5" t="s">
        <v>52</v>
      </c>
      <c r="H24" s="5" t="s">
        <v>1148</v>
      </c>
      <c r="I24" s="5">
        <v>202500804</v>
      </c>
      <c r="J24" s="5"/>
      <c r="K24" s="6">
        <v>45868</v>
      </c>
      <c r="L24" s="6">
        <v>45873</v>
      </c>
      <c r="M24" s="5" t="s">
        <v>53</v>
      </c>
      <c r="N24" s="5" t="s">
        <v>54</v>
      </c>
      <c r="O24" s="5" t="s">
        <v>41</v>
      </c>
      <c r="P24" s="30">
        <f t="shared" si="0"/>
        <v>5</v>
      </c>
      <c r="Q24" s="41">
        <v>2797.5459459459457</v>
      </c>
      <c r="R24" s="41">
        <v>5500</v>
      </c>
      <c r="S24" s="41">
        <f t="shared" si="1"/>
        <v>2702.4540540540543</v>
      </c>
    </row>
    <row r="25" spans="1:19">
      <c r="A25" s="5">
        <v>24</v>
      </c>
      <c r="B25" s="5">
        <v>2507301969</v>
      </c>
      <c r="C25" s="5" t="s">
        <v>1185</v>
      </c>
      <c r="D25" s="5" t="s">
        <v>40</v>
      </c>
      <c r="E25" s="5" t="s">
        <v>41</v>
      </c>
      <c r="F25" s="5" t="s">
        <v>42</v>
      </c>
      <c r="G25" s="5" t="s">
        <v>52</v>
      </c>
      <c r="H25" s="5" t="s">
        <v>1148</v>
      </c>
      <c r="I25" s="5">
        <v>202500805</v>
      </c>
      <c r="J25" s="5"/>
      <c r="K25" s="6">
        <v>45868</v>
      </c>
      <c r="L25" s="6">
        <v>45873</v>
      </c>
      <c r="M25" s="5" t="s">
        <v>53</v>
      </c>
      <c r="N25" s="5" t="s">
        <v>54</v>
      </c>
      <c r="O25" s="5" t="s">
        <v>41</v>
      </c>
      <c r="P25" s="30">
        <f t="shared" si="0"/>
        <v>5</v>
      </c>
      <c r="Q25" s="41">
        <v>2797.5459459459457</v>
      </c>
      <c r="R25" s="41">
        <v>9500</v>
      </c>
      <c r="S25" s="41">
        <f t="shared" si="1"/>
        <v>6702.4540540540547</v>
      </c>
    </row>
    <row r="26" spans="1:19">
      <c r="A26" s="5">
        <v>25</v>
      </c>
      <c r="B26" s="5">
        <v>2507303304</v>
      </c>
      <c r="C26" s="5" t="s">
        <v>1186</v>
      </c>
      <c r="D26" s="5" t="s">
        <v>73</v>
      </c>
      <c r="E26" s="5" t="s">
        <v>232</v>
      </c>
      <c r="F26" s="5" t="s">
        <v>71</v>
      </c>
      <c r="G26" s="5" t="s">
        <v>52</v>
      </c>
      <c r="H26" s="5" t="s">
        <v>1148</v>
      </c>
      <c r="I26" s="5">
        <v>202500806</v>
      </c>
      <c r="J26" s="5"/>
      <c r="K26" s="6">
        <v>45868</v>
      </c>
      <c r="L26" s="6">
        <v>45873</v>
      </c>
      <c r="M26" s="5" t="s">
        <v>53</v>
      </c>
      <c r="N26" s="5" t="s">
        <v>54</v>
      </c>
      <c r="O26" s="5" t="s">
        <v>41</v>
      </c>
      <c r="P26" s="30">
        <f t="shared" si="0"/>
        <v>5</v>
      </c>
      <c r="Q26" s="41">
        <v>2797.5459459459457</v>
      </c>
      <c r="R26" s="41">
        <v>8000</v>
      </c>
      <c r="S26" s="41">
        <f t="shared" si="1"/>
        <v>5202.4540540540547</v>
      </c>
    </row>
    <row r="27" spans="1:19">
      <c r="A27" s="5">
        <v>26</v>
      </c>
      <c r="B27" s="5">
        <v>2507303307</v>
      </c>
      <c r="C27" s="5" t="s">
        <v>1187</v>
      </c>
      <c r="D27" s="5" t="s">
        <v>564</v>
      </c>
      <c r="E27" s="5" t="s">
        <v>890</v>
      </c>
      <c r="F27" s="5" t="s">
        <v>71</v>
      </c>
      <c r="G27" s="5" t="s">
        <v>52</v>
      </c>
      <c r="H27" s="5" t="s">
        <v>1148</v>
      </c>
      <c r="I27" s="5">
        <v>202500807</v>
      </c>
      <c r="J27" s="5"/>
      <c r="K27" s="6">
        <v>45868</v>
      </c>
      <c r="L27" s="6">
        <v>45873</v>
      </c>
      <c r="M27" s="5" t="s">
        <v>53</v>
      </c>
      <c r="N27" s="5" t="s">
        <v>54</v>
      </c>
      <c r="O27" s="5" t="s">
        <v>41</v>
      </c>
      <c r="P27" s="30">
        <f t="shared" si="0"/>
        <v>5</v>
      </c>
      <c r="Q27" s="41">
        <v>2797.5459459459457</v>
      </c>
      <c r="R27" s="41">
        <v>8500</v>
      </c>
      <c r="S27" s="41">
        <f t="shared" si="1"/>
        <v>5702.4540540540547</v>
      </c>
    </row>
    <row r="28" spans="1:19">
      <c r="A28" s="5">
        <v>27</v>
      </c>
      <c r="B28" s="5">
        <v>2508010004</v>
      </c>
      <c r="C28" s="5" t="s">
        <v>1188</v>
      </c>
      <c r="D28" s="5" t="s">
        <v>599</v>
      </c>
      <c r="E28" s="5" t="s">
        <v>656</v>
      </c>
      <c r="F28" s="5" t="s">
        <v>169</v>
      </c>
      <c r="G28" s="5" t="s">
        <v>75</v>
      </c>
      <c r="H28" s="5" t="s">
        <v>1148</v>
      </c>
      <c r="I28" s="5">
        <v>202500808</v>
      </c>
      <c r="J28" s="5"/>
      <c r="K28" s="6">
        <v>45870</v>
      </c>
      <c r="L28" s="6">
        <v>45873</v>
      </c>
      <c r="M28" s="5" t="s">
        <v>53</v>
      </c>
      <c r="N28" s="5" t="s">
        <v>54</v>
      </c>
      <c r="O28" s="5" t="s">
        <v>41</v>
      </c>
      <c r="P28" s="30">
        <f t="shared" si="0"/>
        <v>3</v>
      </c>
      <c r="Q28" s="41">
        <v>2797.5459459459457</v>
      </c>
      <c r="R28" s="41">
        <v>5000</v>
      </c>
      <c r="S28" s="41">
        <f t="shared" si="1"/>
        <v>2202.4540540540543</v>
      </c>
    </row>
    <row r="29" spans="1:19">
      <c r="A29" s="5">
        <v>28</v>
      </c>
      <c r="B29" s="5">
        <v>2508010005</v>
      </c>
      <c r="C29" s="5" t="s">
        <v>1189</v>
      </c>
      <c r="D29" s="5" t="s">
        <v>810</v>
      </c>
      <c r="E29" s="5" t="s">
        <v>811</v>
      </c>
      <c r="F29" s="5" t="s">
        <v>457</v>
      </c>
      <c r="G29" s="5" t="s">
        <v>52</v>
      </c>
      <c r="H29" s="5" t="s">
        <v>1148</v>
      </c>
      <c r="I29" s="5">
        <v>202500809</v>
      </c>
      <c r="J29" s="5"/>
      <c r="K29" s="6">
        <v>45870</v>
      </c>
      <c r="L29" s="6">
        <v>45873</v>
      </c>
      <c r="M29" s="5" t="s">
        <v>53</v>
      </c>
      <c r="N29" s="5" t="s">
        <v>54</v>
      </c>
      <c r="O29" s="5" t="s">
        <v>41</v>
      </c>
      <c r="P29" s="30">
        <f t="shared" si="0"/>
        <v>3</v>
      </c>
      <c r="Q29" s="41">
        <v>2797.5459459459457</v>
      </c>
      <c r="R29" s="41">
        <v>5200</v>
      </c>
      <c r="S29" s="41">
        <f t="shared" si="1"/>
        <v>2402.4540540540543</v>
      </c>
    </row>
    <row r="30" spans="1:19">
      <c r="A30" s="5">
        <v>29</v>
      </c>
      <c r="B30" s="5">
        <v>2508010006</v>
      </c>
      <c r="C30" s="5" t="s">
        <v>1190</v>
      </c>
      <c r="D30" s="5" t="s">
        <v>77</v>
      </c>
      <c r="E30" s="5" t="s">
        <v>78</v>
      </c>
      <c r="F30" s="5" t="s">
        <v>79</v>
      </c>
      <c r="G30" s="5" t="s">
        <v>75</v>
      </c>
      <c r="H30" s="5" t="s">
        <v>1148</v>
      </c>
      <c r="I30" s="5">
        <v>202500810</v>
      </c>
      <c r="J30" s="5"/>
      <c r="K30" s="6">
        <v>45870</v>
      </c>
      <c r="L30" s="6">
        <v>45873</v>
      </c>
      <c r="M30" s="5" t="s">
        <v>53</v>
      </c>
      <c r="N30" s="5" t="s">
        <v>54</v>
      </c>
      <c r="O30" s="5" t="s">
        <v>41</v>
      </c>
      <c r="P30" s="30">
        <f t="shared" si="0"/>
        <v>3</v>
      </c>
      <c r="Q30" s="41">
        <v>2797.5459459459457</v>
      </c>
      <c r="R30" s="41">
        <v>4500</v>
      </c>
      <c r="S30" s="41">
        <f t="shared" si="1"/>
        <v>1702.4540540540543</v>
      </c>
    </row>
    <row r="31" spans="1:19">
      <c r="A31" s="5">
        <v>30</v>
      </c>
      <c r="B31" s="5">
        <v>2508010007</v>
      </c>
      <c r="C31" s="5" t="s">
        <v>1191</v>
      </c>
      <c r="D31" s="5" t="s">
        <v>1192</v>
      </c>
      <c r="E31" s="5" t="s">
        <v>1193</v>
      </c>
      <c r="F31" s="5" t="s">
        <v>62</v>
      </c>
      <c r="G31" s="5" t="s">
        <v>52</v>
      </c>
      <c r="H31" s="5" t="s">
        <v>1148</v>
      </c>
      <c r="I31" s="5">
        <v>202500811</v>
      </c>
      <c r="J31" s="5"/>
      <c r="K31" s="6">
        <v>45870</v>
      </c>
      <c r="L31" s="6">
        <v>45873</v>
      </c>
      <c r="M31" s="5" t="s">
        <v>53</v>
      </c>
      <c r="N31" s="5" t="s">
        <v>54</v>
      </c>
      <c r="O31" s="5" t="s">
        <v>41</v>
      </c>
      <c r="P31" s="30">
        <f t="shared" si="0"/>
        <v>3</v>
      </c>
      <c r="Q31" s="41">
        <v>2797.5459459459457</v>
      </c>
      <c r="R31" s="41">
        <v>5500</v>
      </c>
      <c r="S31" s="41">
        <f t="shared" si="1"/>
        <v>2702.4540540540543</v>
      </c>
    </row>
    <row r="32" spans="1:19">
      <c r="A32" s="5">
        <v>31</v>
      </c>
      <c r="B32" s="5">
        <v>2508010008</v>
      </c>
      <c r="C32" s="5" t="s">
        <v>1194</v>
      </c>
      <c r="D32" s="5" t="s">
        <v>955</v>
      </c>
      <c r="E32" s="5" t="s">
        <v>1195</v>
      </c>
      <c r="F32" s="5" t="s">
        <v>202</v>
      </c>
      <c r="G32" s="5" t="s">
        <v>52</v>
      </c>
      <c r="H32" s="5" t="s">
        <v>1148</v>
      </c>
      <c r="I32" s="5">
        <v>202500812</v>
      </c>
      <c r="J32" s="5"/>
      <c r="K32" s="6">
        <v>45870</v>
      </c>
      <c r="L32" s="6">
        <v>45873</v>
      </c>
      <c r="M32" s="5" t="s">
        <v>53</v>
      </c>
      <c r="N32" s="5" t="s">
        <v>54</v>
      </c>
      <c r="O32" s="5" t="s">
        <v>41</v>
      </c>
      <c r="P32" s="30">
        <f t="shared" si="0"/>
        <v>3</v>
      </c>
      <c r="Q32" s="41">
        <v>2797.5459459459457</v>
      </c>
      <c r="R32" s="41">
        <v>7000</v>
      </c>
      <c r="S32" s="41">
        <f t="shared" si="1"/>
        <v>4202.4540540540547</v>
      </c>
    </row>
    <row r="33" spans="1:19">
      <c r="A33" s="5">
        <v>32</v>
      </c>
      <c r="B33" s="5">
        <v>2508010009</v>
      </c>
      <c r="C33" s="5" t="s">
        <v>1196</v>
      </c>
      <c r="D33" s="5" t="s">
        <v>955</v>
      </c>
      <c r="E33" s="5" t="s">
        <v>1195</v>
      </c>
      <c r="F33" s="5" t="s">
        <v>202</v>
      </c>
      <c r="G33" s="5" t="s">
        <v>52</v>
      </c>
      <c r="H33" s="5" t="s">
        <v>1148</v>
      </c>
      <c r="I33" s="5">
        <v>202500813</v>
      </c>
      <c r="J33" s="5"/>
      <c r="K33" s="6">
        <v>45870</v>
      </c>
      <c r="L33" s="6">
        <v>45873</v>
      </c>
      <c r="M33" s="5" t="s">
        <v>53</v>
      </c>
      <c r="N33" s="5" t="s">
        <v>54</v>
      </c>
      <c r="O33" s="5" t="s">
        <v>41</v>
      </c>
      <c r="P33" s="30">
        <f t="shared" si="0"/>
        <v>3</v>
      </c>
      <c r="Q33" s="41">
        <v>2797.5459459459457</v>
      </c>
      <c r="R33" s="41">
        <v>7000</v>
      </c>
      <c r="S33" s="41">
        <f t="shared" si="1"/>
        <v>4202.4540540540547</v>
      </c>
    </row>
    <row r="34" spans="1:19">
      <c r="A34" s="5">
        <v>33</v>
      </c>
      <c r="B34" s="5">
        <v>2508010010</v>
      </c>
      <c r="C34" s="5" t="s">
        <v>1197</v>
      </c>
      <c r="D34" s="5" t="s">
        <v>955</v>
      </c>
      <c r="E34" s="5" t="s">
        <v>1195</v>
      </c>
      <c r="F34" s="5" t="s">
        <v>202</v>
      </c>
      <c r="G34" s="5" t="s">
        <v>52</v>
      </c>
      <c r="H34" s="5" t="s">
        <v>1148</v>
      </c>
      <c r="I34" s="5">
        <v>202500814</v>
      </c>
      <c r="J34" s="5"/>
      <c r="K34" s="6">
        <v>45870</v>
      </c>
      <c r="L34" s="6">
        <v>45873</v>
      </c>
      <c r="M34" s="5" t="s">
        <v>53</v>
      </c>
      <c r="N34" s="5" t="s">
        <v>54</v>
      </c>
      <c r="O34" s="5" t="s">
        <v>41</v>
      </c>
      <c r="P34" s="30">
        <f t="shared" si="0"/>
        <v>3</v>
      </c>
      <c r="Q34" s="41">
        <v>2797.5459459459457</v>
      </c>
      <c r="R34" s="41">
        <v>7000</v>
      </c>
      <c r="S34" s="41">
        <f t="shared" si="1"/>
        <v>4202.4540540540547</v>
      </c>
    </row>
    <row r="35" spans="1:19">
      <c r="A35" s="5">
        <v>34</v>
      </c>
      <c r="B35" s="5">
        <v>2508010011</v>
      </c>
      <c r="C35" s="5" t="s">
        <v>1198</v>
      </c>
      <c r="D35" s="5" t="s">
        <v>955</v>
      </c>
      <c r="E35" s="5" t="s">
        <v>1195</v>
      </c>
      <c r="F35" s="5" t="s">
        <v>202</v>
      </c>
      <c r="G35" s="5" t="s">
        <v>52</v>
      </c>
      <c r="H35" s="5" t="s">
        <v>1148</v>
      </c>
      <c r="I35" s="5">
        <v>202500815</v>
      </c>
      <c r="J35" s="5"/>
      <c r="K35" s="6">
        <v>45870</v>
      </c>
      <c r="L35" s="6">
        <v>45873</v>
      </c>
      <c r="M35" s="5" t="s">
        <v>53</v>
      </c>
      <c r="N35" s="5" t="s">
        <v>54</v>
      </c>
      <c r="O35" s="5" t="s">
        <v>41</v>
      </c>
      <c r="P35" s="30">
        <f t="shared" si="0"/>
        <v>3</v>
      </c>
      <c r="Q35" s="41">
        <v>2797.5459459459457</v>
      </c>
      <c r="R35" s="41">
        <v>7000</v>
      </c>
      <c r="S35" s="41">
        <f t="shared" si="1"/>
        <v>4202.4540540540547</v>
      </c>
    </row>
    <row r="36" spans="1:19">
      <c r="A36" s="5">
        <v>35</v>
      </c>
      <c r="B36" s="5">
        <v>2508010012</v>
      </c>
      <c r="C36" s="5" t="s">
        <v>1199</v>
      </c>
      <c r="D36" s="5" t="s">
        <v>955</v>
      </c>
      <c r="E36" s="5" t="s">
        <v>1195</v>
      </c>
      <c r="F36" s="5" t="s">
        <v>202</v>
      </c>
      <c r="G36" s="5" t="s">
        <v>52</v>
      </c>
      <c r="H36" s="5" t="s">
        <v>1148</v>
      </c>
      <c r="I36" s="5">
        <v>202500816</v>
      </c>
      <c r="J36" s="5"/>
      <c r="K36" s="6">
        <v>45870</v>
      </c>
      <c r="L36" s="6">
        <v>45873</v>
      </c>
      <c r="M36" s="5" t="s">
        <v>53</v>
      </c>
      <c r="N36" s="5" t="s">
        <v>54</v>
      </c>
      <c r="O36" s="5" t="s">
        <v>41</v>
      </c>
      <c r="P36" s="30">
        <f t="shared" si="0"/>
        <v>3</v>
      </c>
      <c r="Q36" s="41">
        <v>2797.5459459459457</v>
      </c>
      <c r="R36" s="41">
        <v>7000</v>
      </c>
      <c r="S36" s="41">
        <f t="shared" si="1"/>
        <v>4202.4540540540547</v>
      </c>
    </row>
    <row r="37" spans="1:19">
      <c r="A37" s="5">
        <v>36</v>
      </c>
      <c r="B37" s="5" t="s">
        <v>1200</v>
      </c>
      <c r="C37" s="41"/>
      <c r="D37" s="5"/>
      <c r="E37" s="5"/>
      <c r="F37" s="5"/>
      <c r="G37" s="5" t="s">
        <v>52</v>
      </c>
      <c r="H37" s="41"/>
      <c r="I37" s="5"/>
      <c r="J37" s="5"/>
      <c r="K37" s="5"/>
      <c r="L37" s="5"/>
      <c r="M37" s="5"/>
      <c r="N37" s="5"/>
      <c r="O37" s="5"/>
      <c r="P37" s="5"/>
      <c r="Q37" s="41">
        <v>2797.5459459459457</v>
      </c>
      <c r="R37" s="41">
        <v>0</v>
      </c>
      <c r="S37" s="41">
        <f t="shared" si="1"/>
        <v>-2797.5459459459457</v>
      </c>
    </row>
    <row r="38" spans="1:19">
      <c r="A38" s="5">
        <v>37</v>
      </c>
      <c r="B38" s="5" t="s">
        <v>1201</v>
      </c>
      <c r="C38" s="41"/>
      <c r="D38" s="5"/>
      <c r="E38" s="5"/>
      <c r="F38" s="5"/>
      <c r="G38" s="5" t="s">
        <v>52</v>
      </c>
      <c r="H38" s="41"/>
      <c r="I38" s="5"/>
      <c r="J38" s="5"/>
      <c r="K38" s="5"/>
      <c r="L38" s="5"/>
      <c r="M38" s="5"/>
      <c r="N38" s="5"/>
      <c r="O38" s="5"/>
      <c r="P38" s="5"/>
      <c r="Q38" s="41">
        <v>2797.5459459459457</v>
      </c>
      <c r="R38" s="41">
        <v>0</v>
      </c>
      <c r="S38" s="41">
        <f t="shared" si="1"/>
        <v>-2797.5459459459457</v>
      </c>
    </row>
    <row r="39" spans="1:19">
      <c r="A39" s="5">
        <v>38</v>
      </c>
      <c r="B39" s="9">
        <v>2507260498</v>
      </c>
      <c r="C39" s="9" t="s">
        <v>1104</v>
      </c>
      <c r="D39" s="9" t="s">
        <v>514</v>
      </c>
      <c r="E39" s="9" t="s">
        <v>41</v>
      </c>
      <c r="F39" s="9" t="s">
        <v>516</v>
      </c>
      <c r="G39" s="9" t="s">
        <v>52</v>
      </c>
      <c r="H39" s="9" t="s">
        <v>1202</v>
      </c>
      <c r="I39" s="9" t="s">
        <v>1203</v>
      </c>
      <c r="J39" s="9"/>
      <c r="K39" s="10">
        <v>45870</v>
      </c>
      <c r="L39" s="10">
        <v>45874</v>
      </c>
      <c r="M39" s="9" t="s">
        <v>45</v>
      </c>
      <c r="N39" s="9" t="s">
        <v>94</v>
      </c>
      <c r="O39" s="9" t="s">
        <v>888</v>
      </c>
      <c r="P39" s="32">
        <f t="shared" ref="P39:P69" si="2">L39-K39</f>
        <v>4</v>
      </c>
      <c r="Q39" s="11">
        <v>3086.9454545454546</v>
      </c>
      <c r="R39" s="11">
        <v>0</v>
      </c>
      <c r="S39" s="11">
        <f t="shared" si="1"/>
        <v>-3086.9454545454546</v>
      </c>
    </row>
    <row r="40" spans="1:19">
      <c r="A40" s="5">
        <v>39</v>
      </c>
      <c r="B40" s="5">
        <v>2508010014</v>
      </c>
      <c r="C40" s="5" t="s">
        <v>1204</v>
      </c>
      <c r="D40" s="5" t="s">
        <v>955</v>
      </c>
      <c r="E40" s="5" t="s">
        <v>1195</v>
      </c>
      <c r="F40" s="5" t="s">
        <v>202</v>
      </c>
      <c r="G40" s="5" t="s">
        <v>52</v>
      </c>
      <c r="H40" s="5" t="s">
        <v>1202</v>
      </c>
      <c r="I40" s="5">
        <v>202500818</v>
      </c>
      <c r="J40" s="5"/>
      <c r="K40" s="6">
        <v>45870</v>
      </c>
      <c r="L40" s="6">
        <v>45874</v>
      </c>
      <c r="M40" s="5" t="s">
        <v>53</v>
      </c>
      <c r="N40" s="5" t="s">
        <v>54</v>
      </c>
      <c r="O40" s="5" t="s">
        <v>41</v>
      </c>
      <c r="P40" s="30">
        <f t="shared" si="2"/>
        <v>4</v>
      </c>
      <c r="Q40" s="41">
        <v>3086.9454545454546</v>
      </c>
      <c r="R40" s="41">
        <v>7000</v>
      </c>
      <c r="S40" s="41">
        <f t="shared" si="1"/>
        <v>3913.0545454545454</v>
      </c>
    </row>
    <row r="41" spans="1:19">
      <c r="A41" s="5">
        <v>40</v>
      </c>
      <c r="B41" s="5">
        <v>2508010015</v>
      </c>
      <c r="C41" s="5" t="s">
        <v>1205</v>
      </c>
      <c r="D41" s="5" t="s">
        <v>955</v>
      </c>
      <c r="E41" s="5" t="s">
        <v>1195</v>
      </c>
      <c r="F41" s="5" t="s">
        <v>202</v>
      </c>
      <c r="G41" s="5" t="s">
        <v>52</v>
      </c>
      <c r="H41" s="5" t="s">
        <v>1202</v>
      </c>
      <c r="I41" s="5">
        <v>202500819</v>
      </c>
      <c r="J41" s="5"/>
      <c r="K41" s="6">
        <v>45870</v>
      </c>
      <c r="L41" s="6">
        <v>45874</v>
      </c>
      <c r="M41" s="5" t="s">
        <v>53</v>
      </c>
      <c r="N41" s="5" t="s">
        <v>54</v>
      </c>
      <c r="O41" s="5" t="s">
        <v>41</v>
      </c>
      <c r="P41" s="30">
        <f t="shared" si="2"/>
        <v>4</v>
      </c>
      <c r="Q41" s="41">
        <v>3086.9454545454546</v>
      </c>
      <c r="R41" s="41">
        <v>7000</v>
      </c>
      <c r="S41" s="41">
        <f t="shared" si="1"/>
        <v>3913.0545454545454</v>
      </c>
    </row>
    <row r="42" spans="1:19">
      <c r="A42" s="5">
        <v>41</v>
      </c>
      <c r="B42" s="5">
        <v>2508010018</v>
      </c>
      <c r="C42" s="5" t="s">
        <v>1206</v>
      </c>
      <c r="D42" s="5" t="s">
        <v>955</v>
      </c>
      <c r="E42" s="5" t="s">
        <v>1195</v>
      </c>
      <c r="F42" s="5" t="s">
        <v>202</v>
      </c>
      <c r="G42" s="5" t="s">
        <v>52</v>
      </c>
      <c r="H42" s="5" t="s">
        <v>1202</v>
      </c>
      <c r="I42" s="5">
        <v>202500820</v>
      </c>
      <c r="J42" s="5"/>
      <c r="K42" s="6">
        <v>45870</v>
      </c>
      <c r="L42" s="6">
        <v>45874</v>
      </c>
      <c r="M42" s="5" t="s">
        <v>53</v>
      </c>
      <c r="N42" s="5" t="s">
        <v>54</v>
      </c>
      <c r="O42" s="5" t="s">
        <v>41</v>
      </c>
      <c r="P42" s="30">
        <f t="shared" si="2"/>
        <v>4</v>
      </c>
      <c r="Q42" s="41">
        <v>3086.9454545454546</v>
      </c>
      <c r="R42" s="41">
        <v>7000</v>
      </c>
      <c r="S42" s="41">
        <f t="shared" si="1"/>
        <v>3913.0545454545454</v>
      </c>
    </row>
    <row r="43" spans="1:19">
      <c r="A43" s="5">
        <v>42</v>
      </c>
      <c r="B43" s="5">
        <v>2508010019</v>
      </c>
      <c r="C43" s="5" t="s">
        <v>1207</v>
      </c>
      <c r="D43" s="5" t="s">
        <v>955</v>
      </c>
      <c r="E43" s="5" t="s">
        <v>1195</v>
      </c>
      <c r="F43" s="5" t="s">
        <v>202</v>
      </c>
      <c r="G43" s="5" t="s">
        <v>52</v>
      </c>
      <c r="H43" s="5" t="s">
        <v>1202</v>
      </c>
      <c r="I43" s="5">
        <v>202500821</v>
      </c>
      <c r="J43" s="5"/>
      <c r="K43" s="6">
        <v>45870</v>
      </c>
      <c r="L43" s="6">
        <v>45874</v>
      </c>
      <c r="M43" s="5" t="s">
        <v>53</v>
      </c>
      <c r="N43" s="5" t="s">
        <v>54</v>
      </c>
      <c r="O43" s="5" t="s">
        <v>41</v>
      </c>
      <c r="P43" s="30">
        <f t="shared" si="2"/>
        <v>4</v>
      </c>
      <c r="Q43" s="41">
        <v>3086.9454545454546</v>
      </c>
      <c r="R43" s="41">
        <v>7000</v>
      </c>
      <c r="S43" s="41">
        <f t="shared" si="1"/>
        <v>3913.0545454545454</v>
      </c>
    </row>
    <row r="44" spans="1:19">
      <c r="A44" s="5">
        <v>43</v>
      </c>
      <c r="B44" s="9">
        <v>2508010020</v>
      </c>
      <c r="C44" s="9" t="s">
        <v>1208</v>
      </c>
      <c r="D44" s="9" t="s">
        <v>1209</v>
      </c>
      <c r="E44" s="9" t="s">
        <v>1210</v>
      </c>
      <c r="F44" s="9" t="s">
        <v>51</v>
      </c>
      <c r="G44" s="9" t="s">
        <v>52</v>
      </c>
      <c r="H44" s="9" t="s">
        <v>1202</v>
      </c>
      <c r="I44" s="9">
        <v>202500822</v>
      </c>
      <c r="J44" s="9"/>
      <c r="K44" s="10">
        <v>45870</v>
      </c>
      <c r="L44" s="10">
        <v>45874</v>
      </c>
      <c r="M44" s="9" t="s">
        <v>45</v>
      </c>
      <c r="N44" s="9" t="s">
        <v>94</v>
      </c>
      <c r="O44" s="9" t="s">
        <v>888</v>
      </c>
      <c r="P44" s="32">
        <f t="shared" si="2"/>
        <v>4</v>
      </c>
      <c r="Q44" s="11">
        <v>3086.9454545454546</v>
      </c>
      <c r="R44" s="11">
        <v>5500</v>
      </c>
      <c r="S44" s="11">
        <f t="shared" si="1"/>
        <v>2413.0545454545454</v>
      </c>
    </row>
    <row r="45" spans="1:19">
      <c r="A45" s="5">
        <v>44</v>
      </c>
      <c r="B45" s="5">
        <v>2507311938</v>
      </c>
      <c r="C45" s="5" t="s">
        <v>1211</v>
      </c>
      <c r="D45" s="5" t="s">
        <v>40</v>
      </c>
      <c r="E45" s="5" t="s">
        <v>41</v>
      </c>
      <c r="F45" s="5" t="s">
        <v>42</v>
      </c>
      <c r="G45" s="5" t="s">
        <v>43</v>
      </c>
      <c r="H45" s="5" t="s">
        <v>1202</v>
      </c>
      <c r="I45" s="5">
        <v>202500823</v>
      </c>
      <c r="J45" s="5"/>
      <c r="K45" s="6">
        <v>45869</v>
      </c>
      <c r="L45" s="6">
        <v>45874</v>
      </c>
      <c r="M45" s="5" t="s">
        <v>53</v>
      </c>
      <c r="N45" s="5" t="s">
        <v>54</v>
      </c>
      <c r="O45" s="5" t="s">
        <v>41</v>
      </c>
      <c r="P45" s="30">
        <f t="shared" si="2"/>
        <v>5</v>
      </c>
      <c r="Q45" s="41">
        <v>3086.9454545454546</v>
      </c>
      <c r="R45" s="41">
        <v>14500</v>
      </c>
      <c r="S45" s="41">
        <f t="shared" si="1"/>
        <v>11413.054545454546</v>
      </c>
    </row>
    <row r="46" spans="1:19">
      <c r="A46" s="5">
        <v>45</v>
      </c>
      <c r="B46" s="9">
        <v>2508010022</v>
      </c>
      <c r="C46" s="9" t="s">
        <v>1212</v>
      </c>
      <c r="D46" s="9" t="s">
        <v>257</v>
      </c>
      <c r="E46" s="9" t="s">
        <v>258</v>
      </c>
      <c r="F46" s="9" t="s">
        <v>62</v>
      </c>
      <c r="G46" s="9" t="s">
        <v>52</v>
      </c>
      <c r="H46" s="9" t="s">
        <v>1202</v>
      </c>
      <c r="I46" s="9">
        <v>202500824</v>
      </c>
      <c r="J46" s="9"/>
      <c r="K46" s="10">
        <v>45870</v>
      </c>
      <c r="L46" s="10">
        <v>45874</v>
      </c>
      <c r="M46" s="9" t="s">
        <v>45</v>
      </c>
      <c r="N46" s="9" t="s">
        <v>94</v>
      </c>
      <c r="O46" s="89" t="s">
        <v>1213</v>
      </c>
      <c r="P46" s="32">
        <f t="shared" si="2"/>
        <v>4</v>
      </c>
      <c r="Q46" s="11">
        <v>3086.9454545454546</v>
      </c>
      <c r="R46" s="11">
        <v>5100</v>
      </c>
      <c r="S46" s="11">
        <f t="shared" si="1"/>
        <v>2013.0545454545454</v>
      </c>
    </row>
    <row r="47" spans="1:19">
      <c r="A47" s="5">
        <v>46</v>
      </c>
      <c r="B47" s="5">
        <v>2508010025</v>
      </c>
      <c r="C47" s="5" t="s">
        <v>1214</v>
      </c>
      <c r="D47" s="5" t="s">
        <v>599</v>
      </c>
      <c r="E47" s="5" t="s">
        <v>656</v>
      </c>
      <c r="F47" s="5" t="s">
        <v>169</v>
      </c>
      <c r="G47" s="5" t="s">
        <v>75</v>
      </c>
      <c r="H47" s="5" t="s">
        <v>1202</v>
      </c>
      <c r="I47" s="5">
        <v>202500825</v>
      </c>
      <c r="J47" s="5"/>
      <c r="K47" s="6">
        <v>45870</v>
      </c>
      <c r="L47" s="6">
        <v>45874</v>
      </c>
      <c r="M47" s="5" t="s">
        <v>53</v>
      </c>
      <c r="N47" s="5" t="s">
        <v>54</v>
      </c>
      <c r="O47" s="5" t="s">
        <v>41</v>
      </c>
      <c r="P47" s="30">
        <f t="shared" si="2"/>
        <v>4</v>
      </c>
      <c r="Q47" s="41">
        <v>3086.9454545454546</v>
      </c>
      <c r="R47" s="41">
        <v>5000</v>
      </c>
      <c r="S47" s="41">
        <f t="shared" si="1"/>
        <v>1913.0545454545454</v>
      </c>
    </row>
    <row r="48" spans="1:19">
      <c r="A48" s="5">
        <v>47</v>
      </c>
      <c r="B48" s="5">
        <v>2508010028</v>
      </c>
      <c r="C48" s="5" t="s">
        <v>1215</v>
      </c>
      <c r="D48" s="5" t="s">
        <v>107</v>
      </c>
      <c r="E48" s="5" t="s">
        <v>205</v>
      </c>
      <c r="F48" s="5" t="s">
        <v>109</v>
      </c>
      <c r="G48" s="5" t="s">
        <v>52</v>
      </c>
      <c r="H48" s="5" t="s">
        <v>1202</v>
      </c>
      <c r="I48" s="5">
        <v>202500826</v>
      </c>
      <c r="J48" s="5"/>
      <c r="K48" s="6">
        <v>45870</v>
      </c>
      <c r="L48" s="6">
        <v>45874</v>
      </c>
      <c r="M48" s="5" t="s">
        <v>53</v>
      </c>
      <c r="N48" s="5" t="s">
        <v>54</v>
      </c>
      <c r="O48" s="5" t="s">
        <v>41</v>
      </c>
      <c r="P48" s="30">
        <f t="shared" si="2"/>
        <v>4</v>
      </c>
      <c r="Q48" s="41">
        <v>3086.9454545454546</v>
      </c>
      <c r="R48" s="41">
        <v>5500</v>
      </c>
      <c r="S48" s="41">
        <f t="shared" si="1"/>
        <v>2413.0545454545454</v>
      </c>
    </row>
    <row r="49" spans="1:19">
      <c r="A49" s="5">
        <v>48</v>
      </c>
      <c r="B49" s="5">
        <v>2508011712</v>
      </c>
      <c r="C49" s="5" t="s">
        <v>1216</v>
      </c>
      <c r="D49" s="5" t="s">
        <v>249</v>
      </c>
      <c r="E49" s="5" t="s">
        <v>250</v>
      </c>
      <c r="F49" s="5" t="s">
        <v>141</v>
      </c>
      <c r="G49" s="5" t="s">
        <v>52</v>
      </c>
      <c r="H49" s="5" t="s">
        <v>1202</v>
      </c>
      <c r="I49" s="5">
        <v>202500827</v>
      </c>
      <c r="J49" s="5"/>
      <c r="K49" s="6">
        <v>45870</v>
      </c>
      <c r="L49" s="6">
        <v>45874</v>
      </c>
      <c r="M49" s="5" t="s">
        <v>53</v>
      </c>
      <c r="N49" s="5" t="s">
        <v>54</v>
      </c>
      <c r="O49" s="5" t="s">
        <v>41</v>
      </c>
      <c r="P49" s="30">
        <f t="shared" si="2"/>
        <v>4</v>
      </c>
      <c r="Q49" s="41">
        <v>3086.9454545454546</v>
      </c>
      <c r="R49" s="41">
        <v>5500</v>
      </c>
      <c r="S49" s="41">
        <f t="shared" si="1"/>
        <v>2413.0545454545454</v>
      </c>
    </row>
    <row r="50" spans="1:19">
      <c r="A50" s="5">
        <v>49</v>
      </c>
      <c r="B50" s="5">
        <v>2508011724</v>
      </c>
      <c r="C50" s="5" t="s">
        <v>1217</v>
      </c>
      <c r="D50" s="5" t="s">
        <v>249</v>
      </c>
      <c r="E50" s="5" t="s">
        <v>250</v>
      </c>
      <c r="F50" s="5" t="s">
        <v>141</v>
      </c>
      <c r="G50" s="5" t="s">
        <v>52</v>
      </c>
      <c r="H50" s="5" t="s">
        <v>1202</v>
      </c>
      <c r="I50" s="5">
        <v>202500828</v>
      </c>
      <c r="J50" s="5"/>
      <c r="K50" s="6">
        <v>45870</v>
      </c>
      <c r="L50" s="6">
        <v>45874</v>
      </c>
      <c r="M50" s="5" t="s">
        <v>53</v>
      </c>
      <c r="N50" s="5" t="s">
        <v>54</v>
      </c>
      <c r="O50" s="5" t="s">
        <v>41</v>
      </c>
      <c r="P50" s="30">
        <f t="shared" si="2"/>
        <v>4</v>
      </c>
      <c r="Q50" s="41">
        <v>3086.9454545454546</v>
      </c>
      <c r="R50" s="41">
        <v>5500</v>
      </c>
      <c r="S50" s="41">
        <f t="shared" si="1"/>
        <v>2413.0545454545454</v>
      </c>
    </row>
    <row r="51" spans="1:19">
      <c r="A51" s="5">
        <v>50</v>
      </c>
      <c r="B51" s="5">
        <v>2508011728</v>
      </c>
      <c r="C51" s="5" t="s">
        <v>1218</v>
      </c>
      <c r="D51" s="5" t="s">
        <v>733</v>
      </c>
      <c r="E51" s="5" t="s">
        <v>997</v>
      </c>
      <c r="F51" s="5" t="s">
        <v>51</v>
      </c>
      <c r="G51" s="5" t="s">
        <v>75</v>
      </c>
      <c r="H51" s="5" t="s">
        <v>1202</v>
      </c>
      <c r="I51" s="5">
        <v>202500829</v>
      </c>
      <c r="J51" s="5"/>
      <c r="K51" s="6">
        <v>45870</v>
      </c>
      <c r="L51" s="6">
        <v>45874</v>
      </c>
      <c r="M51" s="5" t="s">
        <v>53</v>
      </c>
      <c r="N51" s="5" t="s">
        <v>54</v>
      </c>
      <c r="O51" s="5" t="s">
        <v>41</v>
      </c>
      <c r="P51" s="30">
        <f t="shared" si="2"/>
        <v>4</v>
      </c>
      <c r="Q51" s="41">
        <v>3086.9454545454546</v>
      </c>
      <c r="R51" s="41">
        <v>4500</v>
      </c>
      <c r="S51" s="41">
        <f t="shared" si="1"/>
        <v>1413.0545454545454</v>
      </c>
    </row>
    <row r="52" spans="1:19">
      <c r="A52" s="5">
        <v>51</v>
      </c>
      <c r="B52" s="5">
        <v>2508011747</v>
      </c>
      <c r="C52" s="5" t="s">
        <v>1219</v>
      </c>
      <c r="D52" s="5" t="s">
        <v>733</v>
      </c>
      <c r="E52" s="5" t="s">
        <v>1220</v>
      </c>
      <c r="F52" s="5" t="s">
        <v>51</v>
      </c>
      <c r="G52" s="5" t="s">
        <v>52</v>
      </c>
      <c r="H52" s="5" t="s">
        <v>1202</v>
      </c>
      <c r="I52" s="5">
        <v>202500830</v>
      </c>
      <c r="J52" s="5"/>
      <c r="K52" s="6">
        <v>45870</v>
      </c>
      <c r="L52" s="6">
        <v>45874</v>
      </c>
      <c r="M52" s="5" t="s">
        <v>53</v>
      </c>
      <c r="N52" s="5" t="s">
        <v>54</v>
      </c>
      <c r="O52" s="5" t="s">
        <v>41</v>
      </c>
      <c r="P52" s="30">
        <f t="shared" si="2"/>
        <v>4</v>
      </c>
      <c r="Q52" s="41">
        <v>3086.9454545454546</v>
      </c>
      <c r="R52" s="41">
        <v>5300</v>
      </c>
      <c r="S52" s="41">
        <f t="shared" si="1"/>
        <v>2213.0545454545454</v>
      </c>
    </row>
    <row r="53" spans="1:19">
      <c r="A53" s="5">
        <v>52</v>
      </c>
      <c r="B53" s="5">
        <v>2508013242</v>
      </c>
      <c r="C53" s="5" t="s">
        <v>1221</v>
      </c>
      <c r="D53" s="5" t="s">
        <v>599</v>
      </c>
      <c r="E53" s="5" t="s">
        <v>656</v>
      </c>
      <c r="F53" s="5" t="s">
        <v>169</v>
      </c>
      <c r="G53" s="5" t="s">
        <v>75</v>
      </c>
      <c r="H53" s="5" t="s">
        <v>1202</v>
      </c>
      <c r="I53" s="5">
        <v>202500831</v>
      </c>
      <c r="J53" s="5"/>
      <c r="K53" s="6">
        <v>45870</v>
      </c>
      <c r="L53" s="6">
        <v>45874</v>
      </c>
      <c r="M53" s="5" t="s">
        <v>53</v>
      </c>
      <c r="N53" s="5" t="s">
        <v>54</v>
      </c>
      <c r="O53" s="5" t="s">
        <v>41</v>
      </c>
      <c r="P53" s="30">
        <f t="shared" si="2"/>
        <v>4</v>
      </c>
      <c r="Q53" s="41">
        <v>3086.9454545454546</v>
      </c>
      <c r="R53" s="41">
        <v>5000</v>
      </c>
      <c r="S53" s="41">
        <f t="shared" si="1"/>
        <v>1913.0545454545454</v>
      </c>
    </row>
    <row r="54" spans="1:19">
      <c r="A54" s="5">
        <v>53</v>
      </c>
      <c r="B54" s="5">
        <v>2508013257</v>
      </c>
      <c r="C54" s="5" t="s">
        <v>1222</v>
      </c>
      <c r="D54" s="5" t="s">
        <v>257</v>
      </c>
      <c r="E54" s="5" t="s">
        <v>258</v>
      </c>
      <c r="F54" s="5" t="s">
        <v>62</v>
      </c>
      <c r="G54" s="5" t="s">
        <v>52</v>
      </c>
      <c r="H54" s="5" t="s">
        <v>1202</v>
      </c>
      <c r="I54" s="5">
        <v>202500832</v>
      </c>
      <c r="J54" s="5"/>
      <c r="K54" s="6">
        <v>45870</v>
      </c>
      <c r="L54" s="6">
        <v>45874</v>
      </c>
      <c r="M54" s="5" t="s">
        <v>53</v>
      </c>
      <c r="N54" s="5" t="s">
        <v>54</v>
      </c>
      <c r="O54" s="5" t="s">
        <v>41</v>
      </c>
      <c r="P54" s="30">
        <f t="shared" si="2"/>
        <v>4</v>
      </c>
      <c r="Q54" s="41">
        <v>3086.9454545454546</v>
      </c>
      <c r="R54" s="41">
        <v>5100</v>
      </c>
      <c r="S54" s="41">
        <f t="shared" si="1"/>
        <v>2013.0545454545454</v>
      </c>
    </row>
    <row r="55" spans="1:19">
      <c r="A55" s="5">
        <v>54</v>
      </c>
      <c r="B55" s="5">
        <v>2508013265</v>
      </c>
      <c r="C55" s="5" t="s">
        <v>1223</v>
      </c>
      <c r="D55" s="5" t="s">
        <v>228</v>
      </c>
      <c r="E55" s="5" t="s">
        <v>229</v>
      </c>
      <c r="F55" s="5" t="s">
        <v>169</v>
      </c>
      <c r="G55" s="5" t="s">
        <v>52</v>
      </c>
      <c r="H55" s="5" t="s">
        <v>1202</v>
      </c>
      <c r="I55" s="5">
        <v>202500833</v>
      </c>
      <c r="J55" s="5"/>
      <c r="K55" s="6">
        <v>45870</v>
      </c>
      <c r="L55" s="6">
        <v>45874</v>
      </c>
      <c r="M55" s="5" t="s">
        <v>53</v>
      </c>
      <c r="N55" s="5" t="s">
        <v>54</v>
      </c>
      <c r="O55" s="5" t="s">
        <v>41</v>
      </c>
      <c r="P55" s="30">
        <f t="shared" si="2"/>
        <v>4</v>
      </c>
      <c r="Q55" s="41">
        <v>3086.9454545454546</v>
      </c>
      <c r="R55" s="41">
        <v>6000</v>
      </c>
      <c r="S55" s="41">
        <f t="shared" si="1"/>
        <v>2913.0545454545454</v>
      </c>
    </row>
    <row r="56" spans="1:19">
      <c r="A56" s="5">
        <v>55</v>
      </c>
      <c r="B56" s="5">
        <v>2508013271</v>
      </c>
      <c r="C56" s="5" t="s">
        <v>1224</v>
      </c>
      <c r="D56" s="5" t="s">
        <v>321</v>
      </c>
      <c r="E56" s="5" t="s">
        <v>322</v>
      </c>
      <c r="F56" s="5" t="s">
        <v>202</v>
      </c>
      <c r="G56" s="5" t="s">
        <v>43</v>
      </c>
      <c r="H56" s="5" t="s">
        <v>1202</v>
      </c>
      <c r="I56" s="5">
        <v>202500834</v>
      </c>
      <c r="J56" s="5"/>
      <c r="K56" s="6">
        <v>45870</v>
      </c>
      <c r="L56" s="6">
        <v>45874</v>
      </c>
      <c r="M56" s="5" t="s">
        <v>53</v>
      </c>
      <c r="N56" s="5" t="s">
        <v>54</v>
      </c>
      <c r="O56" s="5" t="s">
        <v>41</v>
      </c>
      <c r="P56" s="30">
        <f t="shared" si="2"/>
        <v>4</v>
      </c>
      <c r="Q56" s="41">
        <v>3086.9454545454546</v>
      </c>
      <c r="R56" s="41">
        <v>12000</v>
      </c>
      <c r="S56" s="41">
        <f t="shared" si="1"/>
        <v>8913.0545454545463</v>
      </c>
    </row>
    <row r="57" spans="1:19">
      <c r="A57" s="5">
        <v>56</v>
      </c>
      <c r="B57" s="5">
        <v>2508013274</v>
      </c>
      <c r="C57" s="5" t="s">
        <v>1225</v>
      </c>
      <c r="D57" s="5" t="s">
        <v>405</v>
      </c>
      <c r="E57" s="5" t="s">
        <v>526</v>
      </c>
      <c r="F57" s="5" t="s">
        <v>202</v>
      </c>
      <c r="G57" s="5" t="s">
        <v>52</v>
      </c>
      <c r="H57" s="5" t="s">
        <v>1202</v>
      </c>
      <c r="I57" s="5">
        <v>202500835</v>
      </c>
      <c r="J57" s="5"/>
      <c r="K57" s="6">
        <v>45870</v>
      </c>
      <c r="L57" s="6">
        <v>45874</v>
      </c>
      <c r="M57" s="5" t="s">
        <v>53</v>
      </c>
      <c r="N57" s="5" t="s">
        <v>54</v>
      </c>
      <c r="O57" s="5" t="s">
        <v>41</v>
      </c>
      <c r="P57" s="30">
        <f t="shared" si="2"/>
        <v>4</v>
      </c>
      <c r="Q57" s="41">
        <v>3086.9454545454546</v>
      </c>
      <c r="R57" s="41">
        <v>6450</v>
      </c>
      <c r="S57" s="41">
        <f t="shared" si="1"/>
        <v>3363.0545454545454</v>
      </c>
    </row>
    <row r="58" spans="1:19">
      <c r="A58" s="5">
        <v>57</v>
      </c>
      <c r="B58" s="5">
        <v>2508013280</v>
      </c>
      <c r="C58" s="5" t="s">
        <v>1226</v>
      </c>
      <c r="D58" s="5" t="s">
        <v>405</v>
      </c>
      <c r="E58" s="5" t="s">
        <v>526</v>
      </c>
      <c r="F58" s="5" t="s">
        <v>202</v>
      </c>
      <c r="G58" s="5" t="s">
        <v>52</v>
      </c>
      <c r="H58" s="5" t="s">
        <v>1202</v>
      </c>
      <c r="I58" s="5">
        <v>202500836</v>
      </c>
      <c r="J58" s="5"/>
      <c r="K58" s="6">
        <v>45870</v>
      </c>
      <c r="L58" s="6">
        <v>45874</v>
      </c>
      <c r="M58" s="5" t="s">
        <v>53</v>
      </c>
      <c r="N58" s="5" t="s">
        <v>54</v>
      </c>
      <c r="O58" s="5" t="s">
        <v>41</v>
      </c>
      <c r="P58" s="30">
        <f t="shared" si="2"/>
        <v>4</v>
      </c>
      <c r="Q58" s="41">
        <v>3086.9454545454546</v>
      </c>
      <c r="R58" s="41">
        <v>6450</v>
      </c>
      <c r="S58" s="41">
        <f t="shared" si="1"/>
        <v>3363.0545454545454</v>
      </c>
    </row>
    <row r="59" spans="1:19">
      <c r="A59" s="5">
        <v>58</v>
      </c>
      <c r="B59" s="9">
        <v>2508013288</v>
      </c>
      <c r="C59" s="9" t="s">
        <v>1227</v>
      </c>
      <c r="D59" s="9" t="s">
        <v>228</v>
      </c>
      <c r="E59" s="9" t="s">
        <v>229</v>
      </c>
      <c r="F59" s="9" t="s">
        <v>169</v>
      </c>
      <c r="G59" s="9" t="s">
        <v>52</v>
      </c>
      <c r="H59" s="9" t="s">
        <v>1202</v>
      </c>
      <c r="I59" s="9">
        <v>202500837</v>
      </c>
      <c r="J59" s="9"/>
      <c r="K59" s="10">
        <v>45870</v>
      </c>
      <c r="L59" s="10">
        <v>45874</v>
      </c>
      <c r="M59" s="9" t="s">
        <v>45</v>
      </c>
      <c r="N59" s="9" t="s">
        <v>94</v>
      </c>
      <c r="O59" s="9" t="s">
        <v>888</v>
      </c>
      <c r="P59" s="32">
        <f t="shared" si="2"/>
        <v>4</v>
      </c>
      <c r="Q59" s="11">
        <v>3086.9454545454546</v>
      </c>
      <c r="R59" s="11">
        <v>6000</v>
      </c>
      <c r="S59" s="11">
        <f t="shared" si="1"/>
        <v>2913.0545454545454</v>
      </c>
    </row>
    <row r="60" spans="1:19">
      <c r="A60" s="5">
        <v>59</v>
      </c>
      <c r="B60" s="17">
        <v>2508021518</v>
      </c>
      <c r="C60" s="17" t="s">
        <v>1228</v>
      </c>
      <c r="D60" s="17" t="s">
        <v>215</v>
      </c>
      <c r="E60" s="17" t="s">
        <v>216</v>
      </c>
      <c r="F60" s="17" t="s">
        <v>109</v>
      </c>
      <c r="G60" s="17" t="s">
        <v>52</v>
      </c>
      <c r="H60" s="17" t="s">
        <v>1202</v>
      </c>
      <c r="I60" s="17">
        <v>202500838</v>
      </c>
      <c r="J60" s="17"/>
      <c r="K60" s="18">
        <v>45871</v>
      </c>
      <c r="L60" s="18">
        <v>45874</v>
      </c>
      <c r="M60" s="17" t="s">
        <v>53</v>
      </c>
      <c r="N60" s="17" t="s">
        <v>480</v>
      </c>
      <c r="O60" s="17" t="s">
        <v>1229</v>
      </c>
      <c r="P60" s="31">
        <f t="shared" si="2"/>
        <v>3</v>
      </c>
      <c r="Q60" s="19">
        <v>3086.9454545454546</v>
      </c>
      <c r="R60" s="19">
        <v>6000</v>
      </c>
      <c r="S60" s="19">
        <f t="shared" si="1"/>
        <v>2913.0545454545454</v>
      </c>
    </row>
    <row r="61" spans="1:19">
      <c r="A61" s="5">
        <v>60</v>
      </c>
      <c r="B61" s="5">
        <v>2507292346</v>
      </c>
      <c r="C61" s="5" t="s">
        <v>1230</v>
      </c>
      <c r="D61" s="5" t="s">
        <v>511</v>
      </c>
      <c r="E61" s="5" t="s">
        <v>942</v>
      </c>
      <c r="F61" s="5" t="s">
        <v>79</v>
      </c>
      <c r="G61" s="5" t="s">
        <v>52</v>
      </c>
      <c r="H61" s="5" t="s">
        <v>1202</v>
      </c>
      <c r="I61" s="5">
        <v>202500839</v>
      </c>
      <c r="J61" s="5"/>
      <c r="K61" s="6">
        <v>45871</v>
      </c>
      <c r="L61" s="6">
        <v>45874</v>
      </c>
      <c r="M61" s="5" t="s">
        <v>53</v>
      </c>
      <c r="N61" s="5" t="s">
        <v>54</v>
      </c>
      <c r="O61" s="5" t="s">
        <v>41</v>
      </c>
      <c r="P61" s="30">
        <f t="shared" si="2"/>
        <v>3</v>
      </c>
      <c r="Q61" s="41">
        <v>3086.9454545454546</v>
      </c>
      <c r="R61" s="41">
        <v>5500</v>
      </c>
      <c r="S61" s="41">
        <f t="shared" si="1"/>
        <v>2413.0545454545454</v>
      </c>
    </row>
    <row r="62" spans="1:19">
      <c r="A62" s="5">
        <v>61</v>
      </c>
      <c r="B62" s="5">
        <v>2508021521</v>
      </c>
      <c r="C62" s="5" t="s">
        <v>1231</v>
      </c>
      <c r="D62" s="5" t="s">
        <v>908</v>
      </c>
      <c r="E62" s="5" t="s">
        <v>909</v>
      </c>
      <c r="F62" s="5" t="s">
        <v>362</v>
      </c>
      <c r="G62" s="5" t="s">
        <v>52</v>
      </c>
      <c r="H62" s="5" t="s">
        <v>1202</v>
      </c>
      <c r="I62" s="5">
        <v>202500840</v>
      </c>
      <c r="J62" s="5"/>
      <c r="K62" s="6">
        <v>45871</v>
      </c>
      <c r="L62" s="6">
        <v>45874</v>
      </c>
      <c r="M62" s="5" t="s">
        <v>53</v>
      </c>
      <c r="N62" s="5" t="s">
        <v>54</v>
      </c>
      <c r="O62" s="5" t="s">
        <v>41</v>
      </c>
      <c r="P62" s="30">
        <f t="shared" si="2"/>
        <v>3</v>
      </c>
      <c r="Q62" s="41">
        <v>3086.9454545454546</v>
      </c>
      <c r="R62" s="41">
        <v>5500</v>
      </c>
      <c r="S62" s="41">
        <f t="shared" si="1"/>
        <v>2413.0545454545454</v>
      </c>
    </row>
    <row r="63" spans="1:19">
      <c r="A63" s="5">
        <v>62</v>
      </c>
      <c r="B63" s="5">
        <v>2508021525</v>
      </c>
      <c r="C63" s="5" t="s">
        <v>1232</v>
      </c>
      <c r="D63" s="5" t="s">
        <v>908</v>
      </c>
      <c r="E63" s="5" t="s">
        <v>909</v>
      </c>
      <c r="F63" s="5" t="s">
        <v>362</v>
      </c>
      <c r="G63" s="5" t="s">
        <v>52</v>
      </c>
      <c r="H63" s="5" t="s">
        <v>1202</v>
      </c>
      <c r="I63" s="5">
        <v>202500841</v>
      </c>
      <c r="J63" s="5"/>
      <c r="K63" s="6">
        <v>45871</v>
      </c>
      <c r="L63" s="6">
        <v>45874</v>
      </c>
      <c r="M63" s="5" t="s">
        <v>53</v>
      </c>
      <c r="N63" s="5" t="s">
        <v>54</v>
      </c>
      <c r="O63" s="5" t="s">
        <v>41</v>
      </c>
      <c r="P63" s="30">
        <f t="shared" si="2"/>
        <v>3</v>
      </c>
      <c r="Q63" s="41">
        <v>3086.9454545454546</v>
      </c>
      <c r="R63" s="41">
        <v>5500</v>
      </c>
      <c r="S63" s="41">
        <f t="shared" si="1"/>
        <v>2413.0545454545454</v>
      </c>
    </row>
    <row r="64" spans="1:19">
      <c r="A64" s="5">
        <v>63</v>
      </c>
      <c r="B64" s="5">
        <v>2508021546</v>
      </c>
      <c r="C64" s="5" t="s">
        <v>1233</v>
      </c>
      <c r="D64" s="5" t="s">
        <v>296</v>
      </c>
      <c r="E64" s="5" t="s">
        <v>297</v>
      </c>
      <c r="F64" s="5" t="s">
        <v>79</v>
      </c>
      <c r="G64" s="5" t="s">
        <v>52</v>
      </c>
      <c r="H64" s="5" t="s">
        <v>1202</v>
      </c>
      <c r="I64" s="5">
        <v>202500842</v>
      </c>
      <c r="J64" s="5"/>
      <c r="K64" s="6">
        <v>45871</v>
      </c>
      <c r="L64" s="6">
        <v>45874</v>
      </c>
      <c r="M64" s="5" t="s">
        <v>53</v>
      </c>
      <c r="N64" s="5" t="s">
        <v>54</v>
      </c>
      <c r="O64" s="5" t="s">
        <v>41</v>
      </c>
      <c r="P64" s="30">
        <f t="shared" si="2"/>
        <v>3</v>
      </c>
      <c r="Q64" s="41">
        <v>3086.9454545454546</v>
      </c>
      <c r="R64" s="41">
        <v>8500</v>
      </c>
      <c r="S64" s="41">
        <f t="shared" si="1"/>
        <v>5413.0545454545454</v>
      </c>
    </row>
    <row r="65" spans="1:19">
      <c r="A65" s="5">
        <v>64</v>
      </c>
      <c r="B65" s="5">
        <v>2508021575</v>
      </c>
      <c r="C65" s="5" t="s">
        <v>1234</v>
      </c>
      <c r="D65" s="5" t="s">
        <v>77</v>
      </c>
      <c r="E65" s="5" t="s">
        <v>78</v>
      </c>
      <c r="F65" s="5" t="s">
        <v>79</v>
      </c>
      <c r="G65" s="5" t="s">
        <v>52</v>
      </c>
      <c r="H65" s="5" t="s">
        <v>1202</v>
      </c>
      <c r="I65" s="5">
        <v>202500843</v>
      </c>
      <c r="J65" s="5"/>
      <c r="K65" s="6">
        <v>45871</v>
      </c>
      <c r="L65" s="6">
        <v>45874</v>
      </c>
      <c r="M65" s="5" t="s">
        <v>53</v>
      </c>
      <c r="N65" s="5" t="s">
        <v>54</v>
      </c>
      <c r="O65" s="5" t="s">
        <v>41</v>
      </c>
      <c r="P65" s="30">
        <f t="shared" si="2"/>
        <v>3</v>
      </c>
      <c r="Q65" s="41">
        <v>3086.9454545454546</v>
      </c>
      <c r="R65" s="41">
        <v>5500</v>
      </c>
      <c r="S65" s="41">
        <f t="shared" si="1"/>
        <v>2413.0545454545454</v>
      </c>
    </row>
    <row r="66" spans="1:19">
      <c r="A66" s="5">
        <v>65</v>
      </c>
      <c r="B66" s="5">
        <v>2508021606</v>
      </c>
      <c r="C66" s="5" t="s">
        <v>1235</v>
      </c>
      <c r="D66" s="5" t="s">
        <v>77</v>
      </c>
      <c r="E66" s="5" t="s">
        <v>78</v>
      </c>
      <c r="F66" s="5" t="s">
        <v>79</v>
      </c>
      <c r="G66" s="5" t="s">
        <v>52</v>
      </c>
      <c r="H66" s="5" t="s">
        <v>1202</v>
      </c>
      <c r="I66" s="5">
        <v>202500844</v>
      </c>
      <c r="J66" s="5"/>
      <c r="K66" s="6">
        <v>45871</v>
      </c>
      <c r="L66" s="6">
        <v>45874</v>
      </c>
      <c r="M66" s="5" t="s">
        <v>53</v>
      </c>
      <c r="N66" s="5" t="s">
        <v>54</v>
      </c>
      <c r="O66" s="5" t="s">
        <v>41</v>
      </c>
      <c r="P66" s="30">
        <f t="shared" si="2"/>
        <v>3</v>
      </c>
      <c r="Q66" s="41">
        <v>3086.9454545454546</v>
      </c>
      <c r="R66" s="41">
        <v>5500</v>
      </c>
      <c r="S66" s="41">
        <f t="shared" ref="S66:S129" si="3">R66-Q66</f>
        <v>2413.0545454545454</v>
      </c>
    </row>
    <row r="67" spans="1:19">
      <c r="A67" s="5">
        <v>66</v>
      </c>
      <c r="B67" s="5">
        <v>2508021614</v>
      </c>
      <c r="C67" s="5" t="s">
        <v>1236</v>
      </c>
      <c r="D67" s="5" t="s">
        <v>309</v>
      </c>
      <c r="E67" s="5" t="s">
        <v>310</v>
      </c>
      <c r="F67" s="5" t="s">
        <v>51</v>
      </c>
      <c r="G67" s="5" t="s">
        <v>52</v>
      </c>
      <c r="H67" s="5" t="s">
        <v>1202</v>
      </c>
      <c r="I67" s="5">
        <v>202500845</v>
      </c>
      <c r="J67" s="5"/>
      <c r="K67" s="6">
        <v>45871</v>
      </c>
      <c r="L67" s="6">
        <v>45874</v>
      </c>
      <c r="M67" s="5" t="s">
        <v>53</v>
      </c>
      <c r="N67" s="5" t="s">
        <v>54</v>
      </c>
      <c r="O67" s="5" t="s">
        <v>41</v>
      </c>
      <c r="P67" s="30">
        <f t="shared" si="2"/>
        <v>3</v>
      </c>
      <c r="Q67" s="41">
        <v>3086.9454545454546</v>
      </c>
      <c r="R67" s="41">
        <v>5500</v>
      </c>
      <c r="S67" s="41">
        <f t="shared" si="3"/>
        <v>2413.0545454545454</v>
      </c>
    </row>
    <row r="68" spans="1:19">
      <c r="A68" s="5">
        <v>67</v>
      </c>
      <c r="B68" s="5">
        <v>2508021625</v>
      </c>
      <c r="C68" s="5" t="s">
        <v>1237</v>
      </c>
      <c r="D68" s="5" t="s">
        <v>309</v>
      </c>
      <c r="E68" s="5" t="s">
        <v>310</v>
      </c>
      <c r="F68" s="5" t="s">
        <v>51</v>
      </c>
      <c r="G68" s="5" t="s">
        <v>52</v>
      </c>
      <c r="H68" s="5" t="s">
        <v>1202</v>
      </c>
      <c r="I68" s="5">
        <v>202500846</v>
      </c>
      <c r="J68" s="5"/>
      <c r="K68" s="6">
        <v>45871</v>
      </c>
      <c r="L68" s="6">
        <v>45874</v>
      </c>
      <c r="M68" s="5" t="s">
        <v>53</v>
      </c>
      <c r="N68" s="5" t="s">
        <v>54</v>
      </c>
      <c r="O68" s="5" t="s">
        <v>41</v>
      </c>
      <c r="P68" s="30">
        <f t="shared" si="2"/>
        <v>3</v>
      </c>
      <c r="Q68" s="41">
        <v>3086.9454545454546</v>
      </c>
      <c r="R68" s="41">
        <v>5500</v>
      </c>
      <c r="S68" s="41">
        <f t="shared" si="3"/>
        <v>2413.0545454545454</v>
      </c>
    </row>
    <row r="69" spans="1:19">
      <c r="A69" s="5">
        <v>68</v>
      </c>
      <c r="B69" s="5">
        <v>2508022498</v>
      </c>
      <c r="C69" s="5" t="s">
        <v>1238</v>
      </c>
      <c r="D69" s="5" t="s">
        <v>345</v>
      </c>
      <c r="E69" s="5" t="s">
        <v>346</v>
      </c>
      <c r="F69" s="5" t="s">
        <v>66</v>
      </c>
      <c r="G69" s="5" t="s">
        <v>52</v>
      </c>
      <c r="H69" s="5" t="s">
        <v>1202</v>
      </c>
      <c r="I69" s="5">
        <v>202500847</v>
      </c>
      <c r="J69" s="5"/>
      <c r="K69" s="6">
        <v>45871</v>
      </c>
      <c r="L69" s="6">
        <v>45874</v>
      </c>
      <c r="M69" s="5" t="s">
        <v>53</v>
      </c>
      <c r="N69" s="5" t="s">
        <v>54</v>
      </c>
      <c r="O69" s="5" t="s">
        <v>41</v>
      </c>
      <c r="P69" s="30">
        <f t="shared" si="2"/>
        <v>3</v>
      </c>
      <c r="Q69" s="41">
        <v>3086.9454545454546</v>
      </c>
      <c r="R69" s="41">
        <v>6000</v>
      </c>
      <c r="S69" s="41">
        <f t="shared" si="3"/>
        <v>2913.0545454545454</v>
      </c>
    </row>
    <row r="70" spans="1:19">
      <c r="A70" s="5">
        <v>69</v>
      </c>
      <c r="B70" s="5" t="s">
        <v>1239</v>
      </c>
      <c r="C70" s="5"/>
      <c r="D70" s="5"/>
      <c r="E70" s="5"/>
      <c r="F70" s="5"/>
      <c r="G70" s="5" t="s">
        <v>52</v>
      </c>
      <c r="H70" s="5"/>
      <c r="I70" s="5"/>
      <c r="J70" s="5"/>
      <c r="K70" s="5"/>
      <c r="L70" s="5"/>
      <c r="M70" s="5"/>
      <c r="N70" s="5"/>
      <c r="O70" s="5"/>
      <c r="P70" s="5"/>
      <c r="Q70" s="41">
        <v>3086.9454545454546</v>
      </c>
      <c r="R70" s="41">
        <v>0</v>
      </c>
      <c r="S70" s="41">
        <f t="shared" si="3"/>
        <v>-3086.9454545454546</v>
      </c>
    </row>
    <row r="71" spans="1:19">
      <c r="A71" s="5">
        <v>70</v>
      </c>
      <c r="B71" s="5" t="s">
        <v>1240</v>
      </c>
      <c r="C71" s="5"/>
      <c r="D71" s="5"/>
      <c r="E71" s="5"/>
      <c r="F71" s="5"/>
      <c r="G71" s="5" t="s">
        <v>52</v>
      </c>
      <c r="H71" s="5"/>
      <c r="I71" s="5"/>
      <c r="J71" s="5"/>
      <c r="K71" s="5"/>
      <c r="L71" s="5"/>
      <c r="M71" s="5"/>
      <c r="N71" s="5"/>
      <c r="O71" s="5"/>
      <c r="P71" s="5"/>
      <c r="Q71" s="41">
        <v>3086.9454545454546</v>
      </c>
      <c r="R71" s="41">
        <v>0</v>
      </c>
      <c r="S71" s="41">
        <f t="shared" si="3"/>
        <v>-3086.9454545454546</v>
      </c>
    </row>
    <row r="72" spans="1:19">
      <c r="A72" s="5">
        <v>71</v>
      </c>
      <c r="B72" s="26">
        <v>2507260498</v>
      </c>
      <c r="C72" s="26" t="s">
        <v>1104</v>
      </c>
      <c r="D72" s="26" t="s">
        <v>514</v>
      </c>
      <c r="E72" s="26" t="s">
        <v>41</v>
      </c>
      <c r="F72" s="26" t="s">
        <v>516</v>
      </c>
      <c r="G72" s="26" t="s">
        <v>52</v>
      </c>
      <c r="H72" s="26" t="s">
        <v>1241</v>
      </c>
      <c r="I72" s="26" t="s">
        <v>1242</v>
      </c>
      <c r="J72" s="26"/>
      <c r="K72" s="27">
        <v>45870</v>
      </c>
      <c r="L72" s="27">
        <v>45877</v>
      </c>
      <c r="M72" s="26" t="s">
        <v>45</v>
      </c>
      <c r="N72" s="26" t="s">
        <v>163</v>
      </c>
      <c r="O72" s="26" t="s">
        <v>1243</v>
      </c>
      <c r="P72" s="33">
        <f t="shared" ref="P72:P105" si="4">L72-K72</f>
        <v>7</v>
      </c>
      <c r="Q72" s="28">
        <v>2863.8666666666668</v>
      </c>
      <c r="R72" s="28">
        <v>0</v>
      </c>
      <c r="S72" s="28">
        <f t="shared" si="3"/>
        <v>-2863.8666666666668</v>
      </c>
    </row>
    <row r="73" spans="1:19">
      <c r="A73" s="5">
        <v>72</v>
      </c>
      <c r="B73" s="22">
        <v>2507281180</v>
      </c>
      <c r="C73" s="22" t="s">
        <v>1154</v>
      </c>
      <c r="D73" s="22" t="s">
        <v>1155</v>
      </c>
      <c r="E73" s="22" t="s">
        <v>1156</v>
      </c>
      <c r="F73" s="22" t="s">
        <v>169</v>
      </c>
      <c r="G73" s="22" t="s">
        <v>52</v>
      </c>
      <c r="H73" s="22" t="s">
        <v>1241</v>
      </c>
      <c r="I73" s="22" t="s">
        <v>1244</v>
      </c>
      <c r="J73" s="22"/>
      <c r="K73" s="23">
        <v>45873</v>
      </c>
      <c r="L73" s="23">
        <v>45877</v>
      </c>
      <c r="M73" s="22" t="s">
        <v>53</v>
      </c>
      <c r="N73" s="22" t="s">
        <v>54</v>
      </c>
      <c r="O73" s="22" t="s">
        <v>41</v>
      </c>
      <c r="P73" s="34">
        <f t="shared" si="4"/>
        <v>4</v>
      </c>
      <c r="Q73" s="24">
        <v>2863.8666666666668</v>
      </c>
      <c r="R73" s="24">
        <v>0</v>
      </c>
      <c r="S73" s="24">
        <f t="shared" si="3"/>
        <v>-2863.8666666666668</v>
      </c>
    </row>
    <row r="74" spans="1:19">
      <c r="A74" s="5">
        <v>73</v>
      </c>
      <c r="B74" s="13">
        <v>2508010020</v>
      </c>
      <c r="C74" s="13" t="s">
        <v>1208</v>
      </c>
      <c r="D74" s="13" t="s">
        <v>1209</v>
      </c>
      <c r="E74" s="13" t="s">
        <v>1210</v>
      </c>
      <c r="F74" s="13" t="s">
        <v>51</v>
      </c>
      <c r="G74" s="13" t="s">
        <v>52</v>
      </c>
      <c r="H74" s="13" t="s">
        <v>1241</v>
      </c>
      <c r="I74" s="13" t="s">
        <v>1245</v>
      </c>
      <c r="J74" s="13"/>
      <c r="K74" s="14">
        <v>45870</v>
      </c>
      <c r="L74" s="14">
        <v>45877</v>
      </c>
      <c r="M74" s="13" t="s">
        <v>45</v>
      </c>
      <c r="N74" s="13" t="s">
        <v>46</v>
      </c>
      <c r="O74" s="13" t="s">
        <v>888</v>
      </c>
      <c r="P74" s="35">
        <f t="shared" si="4"/>
        <v>7</v>
      </c>
      <c r="Q74" s="15">
        <v>2863.8666666666668</v>
      </c>
      <c r="R74" s="15">
        <v>0</v>
      </c>
      <c r="S74" s="15">
        <f t="shared" si="3"/>
        <v>-2863.8666666666668</v>
      </c>
    </row>
    <row r="75" spans="1:19">
      <c r="A75" s="5">
        <v>74</v>
      </c>
      <c r="B75" s="13">
        <v>2508010022</v>
      </c>
      <c r="C75" s="13" t="s">
        <v>1212</v>
      </c>
      <c r="D75" s="13" t="s">
        <v>257</v>
      </c>
      <c r="E75" s="13" t="s">
        <v>258</v>
      </c>
      <c r="F75" s="13" t="s">
        <v>62</v>
      </c>
      <c r="G75" s="13" t="s">
        <v>52</v>
      </c>
      <c r="H75" s="13" t="s">
        <v>1241</v>
      </c>
      <c r="I75" s="13" t="s">
        <v>1246</v>
      </c>
      <c r="J75" s="13"/>
      <c r="K75" s="14">
        <v>45870</v>
      </c>
      <c r="L75" s="14">
        <v>45877</v>
      </c>
      <c r="M75" s="13" t="s">
        <v>45</v>
      </c>
      <c r="N75" s="13" t="s">
        <v>46</v>
      </c>
      <c r="O75" s="13" t="s">
        <v>1247</v>
      </c>
      <c r="P75" s="35">
        <f t="shared" si="4"/>
        <v>7</v>
      </c>
      <c r="Q75" s="15">
        <v>2863.8666666666668</v>
      </c>
      <c r="R75" s="15">
        <v>0</v>
      </c>
      <c r="S75" s="15">
        <f t="shared" si="3"/>
        <v>-2863.8666666666668</v>
      </c>
    </row>
    <row r="76" spans="1:19">
      <c r="A76" s="5">
        <v>75</v>
      </c>
      <c r="B76" s="13">
        <v>2508013288</v>
      </c>
      <c r="C76" s="13" t="s">
        <v>1227</v>
      </c>
      <c r="D76" s="13" t="s">
        <v>228</v>
      </c>
      <c r="E76" s="13" t="s">
        <v>229</v>
      </c>
      <c r="F76" s="13" t="s">
        <v>169</v>
      </c>
      <c r="G76" s="13" t="s">
        <v>52</v>
      </c>
      <c r="H76" s="13" t="s">
        <v>1241</v>
      </c>
      <c r="I76" s="13" t="s">
        <v>1248</v>
      </c>
      <c r="J76" s="13"/>
      <c r="K76" s="14">
        <v>45870</v>
      </c>
      <c r="L76" s="14">
        <v>45877</v>
      </c>
      <c r="M76" s="13" t="s">
        <v>45</v>
      </c>
      <c r="N76" s="13" t="s">
        <v>46</v>
      </c>
      <c r="O76" s="13" t="s">
        <v>888</v>
      </c>
      <c r="P76" s="35">
        <f t="shared" si="4"/>
        <v>7</v>
      </c>
      <c r="Q76" s="15">
        <v>2863.8666666666668</v>
      </c>
      <c r="R76" s="15">
        <v>0</v>
      </c>
      <c r="S76" s="15">
        <f t="shared" si="3"/>
        <v>-2863.8666666666668</v>
      </c>
    </row>
    <row r="77" spans="1:19">
      <c r="A77" s="5">
        <v>76</v>
      </c>
      <c r="B77" s="5">
        <v>2508022507</v>
      </c>
      <c r="C77" s="5" t="s">
        <v>1249</v>
      </c>
      <c r="D77" s="5" t="s">
        <v>1031</v>
      </c>
      <c r="E77" s="5" t="s">
        <v>635</v>
      </c>
      <c r="F77" s="5" t="s">
        <v>109</v>
      </c>
      <c r="G77" s="5" t="s">
        <v>75</v>
      </c>
      <c r="H77" s="5" t="s">
        <v>1241</v>
      </c>
      <c r="I77" s="5">
        <v>202500848</v>
      </c>
      <c r="J77" s="5"/>
      <c r="K77" s="6">
        <v>45871</v>
      </c>
      <c r="L77" s="6">
        <v>45877</v>
      </c>
      <c r="M77" s="5" t="s">
        <v>53</v>
      </c>
      <c r="N77" s="5" t="s">
        <v>54</v>
      </c>
      <c r="O77" s="5" t="s">
        <v>41</v>
      </c>
      <c r="P77" s="30">
        <f t="shared" si="4"/>
        <v>6</v>
      </c>
      <c r="Q77" s="7">
        <v>2863.8666666666668</v>
      </c>
      <c r="R77" s="7">
        <v>4500</v>
      </c>
      <c r="S77" s="7">
        <f t="shared" si="3"/>
        <v>1636.1333333333332</v>
      </c>
    </row>
    <row r="78" spans="1:19">
      <c r="A78" s="5">
        <v>77</v>
      </c>
      <c r="B78" s="5">
        <v>2508031208</v>
      </c>
      <c r="C78" s="5" t="s">
        <v>1250</v>
      </c>
      <c r="D78" s="5" t="s">
        <v>440</v>
      </c>
      <c r="E78" s="5" t="s">
        <v>441</v>
      </c>
      <c r="F78" s="5" t="s">
        <v>169</v>
      </c>
      <c r="G78" s="5" t="s">
        <v>52</v>
      </c>
      <c r="H78" s="5" t="s">
        <v>1241</v>
      </c>
      <c r="I78" s="5">
        <v>202500849</v>
      </c>
      <c r="J78" s="5"/>
      <c r="K78" s="6">
        <v>45872</v>
      </c>
      <c r="L78" s="6">
        <v>45877</v>
      </c>
      <c r="M78" s="5" t="s">
        <v>53</v>
      </c>
      <c r="N78" s="5" t="s">
        <v>54</v>
      </c>
      <c r="O78" s="5" t="s">
        <v>41</v>
      </c>
      <c r="P78" s="30">
        <f t="shared" si="4"/>
        <v>5</v>
      </c>
      <c r="Q78" s="7">
        <v>2863.8666666666668</v>
      </c>
      <c r="R78" s="7">
        <v>5500</v>
      </c>
      <c r="S78" s="7">
        <f t="shared" si="3"/>
        <v>2636.1333333333332</v>
      </c>
    </row>
    <row r="79" spans="1:19">
      <c r="A79" s="5">
        <v>78</v>
      </c>
      <c r="B79" s="5">
        <v>2508031215</v>
      </c>
      <c r="C79" s="5" t="s">
        <v>1251</v>
      </c>
      <c r="D79" s="5" t="s">
        <v>167</v>
      </c>
      <c r="E79" s="5" t="s">
        <v>659</v>
      </c>
      <c r="F79" s="5" t="s">
        <v>169</v>
      </c>
      <c r="G79" s="5" t="s">
        <v>52</v>
      </c>
      <c r="H79" s="5" t="s">
        <v>1241</v>
      </c>
      <c r="I79" s="5">
        <v>202500850</v>
      </c>
      <c r="J79" s="5"/>
      <c r="K79" s="6">
        <v>45872</v>
      </c>
      <c r="L79" s="6">
        <v>45877</v>
      </c>
      <c r="M79" s="5" t="s">
        <v>53</v>
      </c>
      <c r="N79" s="5" t="s">
        <v>54</v>
      </c>
      <c r="O79" s="5" t="s">
        <v>41</v>
      </c>
      <c r="P79" s="30">
        <f t="shared" si="4"/>
        <v>5</v>
      </c>
      <c r="Q79" s="7">
        <v>2863.8666666666668</v>
      </c>
      <c r="R79" s="7">
        <v>6000</v>
      </c>
      <c r="S79" s="7">
        <f t="shared" si="3"/>
        <v>3136.1333333333332</v>
      </c>
    </row>
    <row r="80" spans="1:19">
      <c r="A80" s="5">
        <v>79</v>
      </c>
      <c r="B80" s="5">
        <v>2508031220</v>
      </c>
      <c r="C80" s="5" t="s">
        <v>1252</v>
      </c>
      <c r="D80" s="5" t="s">
        <v>309</v>
      </c>
      <c r="E80" s="5" t="s">
        <v>310</v>
      </c>
      <c r="F80" s="5" t="s">
        <v>51</v>
      </c>
      <c r="G80" s="5" t="s">
        <v>52</v>
      </c>
      <c r="H80" s="5" t="s">
        <v>1241</v>
      </c>
      <c r="I80" s="5">
        <v>202500851</v>
      </c>
      <c r="J80" s="5"/>
      <c r="K80" s="6">
        <v>45872</v>
      </c>
      <c r="L80" s="6">
        <v>45877</v>
      </c>
      <c r="M80" s="5" t="s">
        <v>53</v>
      </c>
      <c r="N80" s="5" t="s">
        <v>54</v>
      </c>
      <c r="O80" s="5" t="s">
        <v>41</v>
      </c>
      <c r="P80" s="30">
        <f t="shared" si="4"/>
        <v>5</v>
      </c>
      <c r="Q80" s="7">
        <v>2863.8666666666668</v>
      </c>
      <c r="R80" s="7">
        <v>5500</v>
      </c>
      <c r="S80" s="7">
        <f t="shared" si="3"/>
        <v>2636.1333333333332</v>
      </c>
    </row>
    <row r="81" spans="1:19">
      <c r="A81" s="5">
        <v>80</v>
      </c>
      <c r="B81" s="5">
        <v>2508031224</v>
      </c>
      <c r="C81" s="5" t="s">
        <v>1253</v>
      </c>
      <c r="D81" s="5" t="s">
        <v>309</v>
      </c>
      <c r="E81" s="5" t="s">
        <v>310</v>
      </c>
      <c r="F81" s="5" t="s">
        <v>51</v>
      </c>
      <c r="G81" s="5" t="s">
        <v>52</v>
      </c>
      <c r="H81" s="5" t="s">
        <v>1241</v>
      </c>
      <c r="I81" s="5">
        <v>202500852</v>
      </c>
      <c r="J81" s="5"/>
      <c r="K81" s="6">
        <v>45872</v>
      </c>
      <c r="L81" s="6">
        <v>45877</v>
      </c>
      <c r="M81" s="5" t="s">
        <v>53</v>
      </c>
      <c r="N81" s="5" t="s">
        <v>54</v>
      </c>
      <c r="O81" s="5" t="s">
        <v>41</v>
      </c>
      <c r="P81" s="30">
        <f t="shared" si="4"/>
        <v>5</v>
      </c>
      <c r="Q81" s="7">
        <v>2863.8666666666668</v>
      </c>
      <c r="R81" s="7">
        <v>5500</v>
      </c>
      <c r="S81" s="7">
        <f t="shared" si="3"/>
        <v>2636.1333333333332</v>
      </c>
    </row>
    <row r="82" spans="1:19">
      <c r="A82" s="5">
        <v>81</v>
      </c>
      <c r="B82" s="5">
        <v>2508031229</v>
      </c>
      <c r="C82" s="5" t="s">
        <v>1254</v>
      </c>
      <c r="D82" s="5" t="s">
        <v>309</v>
      </c>
      <c r="E82" s="5" t="s">
        <v>310</v>
      </c>
      <c r="F82" s="5" t="s">
        <v>51</v>
      </c>
      <c r="G82" s="5" t="s">
        <v>52</v>
      </c>
      <c r="H82" s="5" t="s">
        <v>1241</v>
      </c>
      <c r="I82" s="5">
        <v>202500853</v>
      </c>
      <c r="J82" s="5"/>
      <c r="K82" s="6">
        <v>45872</v>
      </c>
      <c r="L82" s="6">
        <v>45877</v>
      </c>
      <c r="M82" s="5" t="s">
        <v>53</v>
      </c>
      <c r="N82" s="5" t="s">
        <v>54</v>
      </c>
      <c r="O82" s="5" t="s">
        <v>41</v>
      </c>
      <c r="P82" s="30">
        <f t="shared" si="4"/>
        <v>5</v>
      </c>
      <c r="Q82" s="7">
        <v>2863.8666666666668</v>
      </c>
      <c r="R82" s="7">
        <v>5500</v>
      </c>
      <c r="S82" s="7">
        <f t="shared" si="3"/>
        <v>2636.1333333333332</v>
      </c>
    </row>
    <row r="83" spans="1:19">
      <c r="A83" s="5">
        <v>82</v>
      </c>
      <c r="B83" s="5">
        <v>2508031234</v>
      </c>
      <c r="C83" s="5" t="s">
        <v>1255</v>
      </c>
      <c r="D83" s="5" t="s">
        <v>528</v>
      </c>
      <c r="E83" s="5" t="s">
        <v>639</v>
      </c>
      <c r="F83" s="5" t="s">
        <v>202</v>
      </c>
      <c r="G83" s="5" t="s">
        <v>52</v>
      </c>
      <c r="H83" s="5" t="s">
        <v>1241</v>
      </c>
      <c r="I83" s="5">
        <v>202500854</v>
      </c>
      <c r="J83" s="5"/>
      <c r="K83" s="6">
        <v>45872</v>
      </c>
      <c r="L83" s="6">
        <v>45877</v>
      </c>
      <c r="M83" s="5" t="s">
        <v>53</v>
      </c>
      <c r="N83" s="5" t="s">
        <v>54</v>
      </c>
      <c r="O83" s="5" t="s">
        <v>41</v>
      </c>
      <c r="P83" s="30">
        <f t="shared" si="4"/>
        <v>5</v>
      </c>
      <c r="Q83" s="7">
        <v>2863.8666666666668</v>
      </c>
      <c r="R83" s="7">
        <v>7500</v>
      </c>
      <c r="S83" s="7">
        <f t="shared" si="3"/>
        <v>4636.1333333333332</v>
      </c>
    </row>
    <row r="84" spans="1:19">
      <c r="A84" s="5">
        <v>83</v>
      </c>
      <c r="B84" s="5">
        <v>2508031240</v>
      </c>
      <c r="C84" s="5" t="s">
        <v>1256</v>
      </c>
      <c r="D84" s="5" t="s">
        <v>775</v>
      </c>
      <c r="E84" s="5" t="s">
        <v>776</v>
      </c>
      <c r="F84" s="5" t="s">
        <v>202</v>
      </c>
      <c r="G84" s="5" t="s">
        <v>52</v>
      </c>
      <c r="H84" s="5" t="s">
        <v>1241</v>
      </c>
      <c r="I84" s="5">
        <v>202500855</v>
      </c>
      <c r="J84" s="5"/>
      <c r="K84" s="6">
        <v>45872</v>
      </c>
      <c r="L84" s="6">
        <v>45877</v>
      </c>
      <c r="M84" s="5" t="s">
        <v>53</v>
      </c>
      <c r="N84" s="5" t="s">
        <v>54</v>
      </c>
      <c r="O84" s="5" t="s">
        <v>41</v>
      </c>
      <c r="P84" s="30">
        <f t="shared" si="4"/>
        <v>5</v>
      </c>
      <c r="Q84" s="7">
        <v>2863.8666666666668</v>
      </c>
      <c r="R84" s="7">
        <v>8500</v>
      </c>
      <c r="S84" s="7">
        <f t="shared" si="3"/>
        <v>5636.1333333333332</v>
      </c>
    </row>
    <row r="85" spans="1:19">
      <c r="A85" s="5">
        <v>84</v>
      </c>
      <c r="B85" s="5">
        <v>2508030810</v>
      </c>
      <c r="C85" s="5" t="s">
        <v>1257</v>
      </c>
      <c r="D85" s="5" t="s">
        <v>40</v>
      </c>
      <c r="E85" s="5" t="s">
        <v>41</v>
      </c>
      <c r="F85" s="5" t="s">
        <v>42</v>
      </c>
      <c r="G85" s="5" t="s">
        <v>75</v>
      </c>
      <c r="H85" s="5" t="s">
        <v>1241</v>
      </c>
      <c r="I85" s="5">
        <v>202500856</v>
      </c>
      <c r="J85" s="5"/>
      <c r="K85" s="6">
        <v>45872</v>
      </c>
      <c r="L85" s="6">
        <v>45877</v>
      </c>
      <c r="M85" s="5" t="s">
        <v>53</v>
      </c>
      <c r="N85" s="5" t="s">
        <v>54</v>
      </c>
      <c r="O85" s="5" t="s">
        <v>41</v>
      </c>
      <c r="P85" s="30">
        <f t="shared" si="4"/>
        <v>5</v>
      </c>
      <c r="Q85" s="7">
        <v>2863.8666666666668</v>
      </c>
      <c r="R85" s="7">
        <v>6500</v>
      </c>
      <c r="S85" s="7">
        <f t="shared" si="3"/>
        <v>3636.1333333333332</v>
      </c>
    </row>
    <row r="86" spans="1:19">
      <c r="A86" s="5">
        <v>85</v>
      </c>
      <c r="B86" s="5">
        <v>2508040498</v>
      </c>
      <c r="C86" s="5" t="s">
        <v>1258</v>
      </c>
      <c r="D86" s="5" t="s">
        <v>393</v>
      </c>
      <c r="E86" s="5" t="s">
        <v>394</v>
      </c>
      <c r="F86" s="5" t="s">
        <v>202</v>
      </c>
      <c r="G86" s="5" t="s">
        <v>75</v>
      </c>
      <c r="H86" s="5" t="s">
        <v>1241</v>
      </c>
      <c r="I86" s="5">
        <v>202500857</v>
      </c>
      <c r="J86" s="5"/>
      <c r="K86" s="6">
        <v>45873</v>
      </c>
      <c r="L86" s="6">
        <v>45877</v>
      </c>
      <c r="M86" s="5" t="s">
        <v>53</v>
      </c>
      <c r="N86" s="5" t="s">
        <v>54</v>
      </c>
      <c r="O86" s="5" t="s">
        <v>41</v>
      </c>
      <c r="P86" s="30">
        <f t="shared" si="4"/>
        <v>4</v>
      </c>
      <c r="Q86" s="7">
        <v>2863.8666666666668</v>
      </c>
      <c r="R86" s="7">
        <v>4500</v>
      </c>
      <c r="S86" s="7">
        <f t="shared" si="3"/>
        <v>1636.1333333333332</v>
      </c>
    </row>
    <row r="87" spans="1:19">
      <c r="A87" s="5">
        <v>86</v>
      </c>
      <c r="B87" s="5">
        <v>2508040504</v>
      </c>
      <c r="C87" s="5" t="s">
        <v>1259</v>
      </c>
      <c r="D87" s="5" t="s">
        <v>177</v>
      </c>
      <c r="E87" s="5" t="s">
        <v>98</v>
      </c>
      <c r="F87" s="5" t="s">
        <v>71</v>
      </c>
      <c r="G87" s="5" t="s">
        <v>75</v>
      </c>
      <c r="H87" s="5" t="s">
        <v>1241</v>
      </c>
      <c r="I87" s="5">
        <v>202500858</v>
      </c>
      <c r="J87" s="5"/>
      <c r="K87" s="6">
        <v>45873</v>
      </c>
      <c r="L87" s="6">
        <v>45877</v>
      </c>
      <c r="M87" s="5" t="s">
        <v>53</v>
      </c>
      <c r="N87" s="5" t="s">
        <v>54</v>
      </c>
      <c r="O87" s="5" t="s">
        <v>41</v>
      </c>
      <c r="P87" s="30">
        <f t="shared" si="4"/>
        <v>4</v>
      </c>
      <c r="Q87" s="7">
        <v>2863.8666666666668</v>
      </c>
      <c r="R87" s="7">
        <v>4900</v>
      </c>
      <c r="S87" s="7">
        <f t="shared" si="3"/>
        <v>2036.1333333333332</v>
      </c>
    </row>
    <row r="88" spans="1:19">
      <c r="A88" s="5">
        <v>87</v>
      </c>
      <c r="B88" s="5">
        <v>2508042095</v>
      </c>
      <c r="C88" s="5" t="s">
        <v>1260</v>
      </c>
      <c r="D88" s="5" t="s">
        <v>1261</v>
      </c>
      <c r="E88" s="5" t="s">
        <v>1262</v>
      </c>
      <c r="F88" s="5" t="s">
        <v>71</v>
      </c>
      <c r="G88" s="5" t="s">
        <v>75</v>
      </c>
      <c r="H88" s="5" t="s">
        <v>1241</v>
      </c>
      <c r="I88" s="5">
        <v>202500859</v>
      </c>
      <c r="J88" s="5"/>
      <c r="K88" s="6">
        <v>45873</v>
      </c>
      <c r="L88" s="6">
        <v>45877</v>
      </c>
      <c r="M88" s="5" t="s">
        <v>53</v>
      </c>
      <c r="N88" s="5" t="s">
        <v>54</v>
      </c>
      <c r="O88" s="5" t="s">
        <v>41</v>
      </c>
      <c r="P88" s="30">
        <f t="shared" si="4"/>
        <v>4</v>
      </c>
      <c r="Q88" s="41">
        <v>2863.8666666666668</v>
      </c>
      <c r="R88" s="41">
        <v>4500</v>
      </c>
      <c r="S88" s="41">
        <f t="shared" si="3"/>
        <v>1636.1333333333332</v>
      </c>
    </row>
    <row r="89" spans="1:19">
      <c r="A89" s="5">
        <v>88</v>
      </c>
      <c r="B89" s="5">
        <v>2508042102</v>
      </c>
      <c r="C89" s="5" t="s">
        <v>1263</v>
      </c>
      <c r="D89" s="5" t="s">
        <v>437</v>
      </c>
      <c r="E89" s="5" t="s">
        <v>438</v>
      </c>
      <c r="F89" s="5" t="s">
        <v>71</v>
      </c>
      <c r="G89" s="5" t="s">
        <v>52</v>
      </c>
      <c r="H89" s="5" t="s">
        <v>1241</v>
      </c>
      <c r="I89" s="5">
        <v>202500860</v>
      </c>
      <c r="J89" s="5"/>
      <c r="K89" s="6">
        <v>45873</v>
      </c>
      <c r="L89" s="6">
        <v>45877</v>
      </c>
      <c r="M89" s="5" t="s">
        <v>53</v>
      </c>
      <c r="N89" s="5" t="s">
        <v>54</v>
      </c>
      <c r="O89" s="5" t="s">
        <v>41</v>
      </c>
      <c r="P89" s="30">
        <f t="shared" si="4"/>
        <v>4</v>
      </c>
      <c r="Q89" s="41">
        <v>2863.8666666666668</v>
      </c>
      <c r="R89" s="41">
        <v>8500</v>
      </c>
      <c r="S89" s="41">
        <f t="shared" si="3"/>
        <v>5636.1333333333332</v>
      </c>
    </row>
    <row r="90" spans="1:19">
      <c r="A90" s="5">
        <v>89</v>
      </c>
      <c r="B90" s="5">
        <v>2508042108</v>
      </c>
      <c r="C90" s="5" t="s">
        <v>1264</v>
      </c>
      <c r="D90" s="5" t="s">
        <v>1168</v>
      </c>
      <c r="E90" s="5" t="s">
        <v>1265</v>
      </c>
      <c r="F90" s="5" t="s">
        <v>109</v>
      </c>
      <c r="G90" s="5" t="s">
        <v>52</v>
      </c>
      <c r="H90" s="5" t="s">
        <v>1241</v>
      </c>
      <c r="I90" s="5">
        <v>202500861</v>
      </c>
      <c r="J90" s="5"/>
      <c r="K90" s="6">
        <v>45873</v>
      </c>
      <c r="L90" s="6">
        <v>45877</v>
      </c>
      <c r="M90" s="5" t="s">
        <v>53</v>
      </c>
      <c r="N90" s="5" t="s">
        <v>54</v>
      </c>
      <c r="O90" s="5" t="s">
        <v>41</v>
      </c>
      <c r="P90" s="30">
        <f t="shared" si="4"/>
        <v>4</v>
      </c>
      <c r="Q90" s="41">
        <v>2863.8666666666668</v>
      </c>
      <c r="R90" s="41">
        <v>6000</v>
      </c>
      <c r="S90" s="41">
        <f t="shared" si="3"/>
        <v>3136.1333333333332</v>
      </c>
    </row>
    <row r="91" spans="1:19">
      <c r="A91" s="5">
        <v>90</v>
      </c>
      <c r="B91" s="5">
        <v>2508042116</v>
      </c>
      <c r="C91" s="5" t="s">
        <v>1266</v>
      </c>
      <c r="D91" s="5" t="s">
        <v>1173</v>
      </c>
      <c r="E91" s="5" t="s">
        <v>1267</v>
      </c>
      <c r="F91" s="5" t="s">
        <v>58</v>
      </c>
      <c r="G91" s="5" t="s">
        <v>75</v>
      </c>
      <c r="H91" s="5" t="s">
        <v>1241</v>
      </c>
      <c r="I91" s="5">
        <v>202500862</v>
      </c>
      <c r="J91" s="5"/>
      <c r="K91" s="6">
        <v>45873</v>
      </c>
      <c r="L91" s="6">
        <v>45877</v>
      </c>
      <c r="M91" s="5" t="s">
        <v>53</v>
      </c>
      <c r="N91" s="5" t="s">
        <v>54</v>
      </c>
      <c r="O91" s="5" t="s">
        <v>41</v>
      </c>
      <c r="P91" s="30">
        <f t="shared" si="4"/>
        <v>4</v>
      </c>
      <c r="Q91" s="41">
        <v>2863.8666666666668</v>
      </c>
      <c r="R91" s="41">
        <v>4900</v>
      </c>
      <c r="S91" s="41">
        <f t="shared" si="3"/>
        <v>2036.1333333333332</v>
      </c>
    </row>
    <row r="92" spans="1:19">
      <c r="A92" s="5">
        <v>91</v>
      </c>
      <c r="B92" s="5">
        <v>2508042126</v>
      </c>
      <c r="C92" s="5" t="s">
        <v>1268</v>
      </c>
      <c r="D92" s="5" t="s">
        <v>581</v>
      </c>
      <c r="E92" s="5" t="s">
        <v>1269</v>
      </c>
      <c r="F92" s="5" t="s">
        <v>202</v>
      </c>
      <c r="G92" s="5" t="s">
        <v>52</v>
      </c>
      <c r="H92" s="5" t="s">
        <v>1241</v>
      </c>
      <c r="I92" s="5">
        <v>202500863</v>
      </c>
      <c r="J92" s="5"/>
      <c r="K92" s="6">
        <v>45873</v>
      </c>
      <c r="L92" s="6">
        <v>45877</v>
      </c>
      <c r="M92" s="5" t="s">
        <v>53</v>
      </c>
      <c r="N92" s="5" t="s">
        <v>54</v>
      </c>
      <c r="O92" s="5" t="s">
        <v>41</v>
      </c>
      <c r="P92" s="30">
        <f t="shared" si="4"/>
        <v>4</v>
      </c>
      <c r="Q92" s="41">
        <v>2863.8666666666668</v>
      </c>
      <c r="R92" s="41">
        <v>8000</v>
      </c>
      <c r="S92" s="41">
        <f t="shared" si="3"/>
        <v>5136.1333333333332</v>
      </c>
    </row>
    <row r="93" spans="1:19">
      <c r="A93" s="5">
        <v>92</v>
      </c>
      <c r="B93" s="5">
        <v>2508042132</v>
      </c>
      <c r="C93" s="5" t="s">
        <v>1270</v>
      </c>
      <c r="D93" s="5" t="s">
        <v>1261</v>
      </c>
      <c r="E93" s="5" t="s">
        <v>1262</v>
      </c>
      <c r="F93" s="5" t="s">
        <v>71</v>
      </c>
      <c r="G93" s="5" t="s">
        <v>75</v>
      </c>
      <c r="H93" s="5" t="s">
        <v>1241</v>
      </c>
      <c r="I93" s="5">
        <v>202500864</v>
      </c>
      <c r="J93" s="5"/>
      <c r="K93" s="6">
        <v>45873</v>
      </c>
      <c r="L93" s="6">
        <v>45877</v>
      </c>
      <c r="M93" s="5" t="s">
        <v>53</v>
      </c>
      <c r="N93" s="5" t="s">
        <v>54</v>
      </c>
      <c r="O93" s="5" t="s">
        <v>41</v>
      </c>
      <c r="P93" s="30">
        <f t="shared" si="4"/>
        <v>4</v>
      </c>
      <c r="Q93" s="41">
        <v>2863.8666666666668</v>
      </c>
      <c r="R93" s="41">
        <v>4500</v>
      </c>
      <c r="S93" s="41">
        <f t="shared" si="3"/>
        <v>1636.1333333333332</v>
      </c>
    </row>
    <row r="94" spans="1:19">
      <c r="A94" s="5">
        <v>93</v>
      </c>
      <c r="B94" s="5">
        <v>2508042138</v>
      </c>
      <c r="C94" s="5" t="s">
        <v>1271</v>
      </c>
      <c r="D94" s="5" t="s">
        <v>444</v>
      </c>
      <c r="E94" s="5" t="s">
        <v>670</v>
      </c>
      <c r="F94" s="5" t="s">
        <v>109</v>
      </c>
      <c r="G94" s="5" t="s">
        <v>52</v>
      </c>
      <c r="H94" s="5" t="s">
        <v>1241</v>
      </c>
      <c r="I94" s="5">
        <v>202500865</v>
      </c>
      <c r="J94" s="5"/>
      <c r="K94" s="6">
        <v>45873</v>
      </c>
      <c r="L94" s="6">
        <v>45877</v>
      </c>
      <c r="M94" s="5" t="s">
        <v>53</v>
      </c>
      <c r="N94" s="5" t="s">
        <v>54</v>
      </c>
      <c r="O94" s="5" t="s">
        <v>41</v>
      </c>
      <c r="P94" s="30">
        <f t="shared" si="4"/>
        <v>4</v>
      </c>
      <c r="Q94" s="41">
        <v>2863.8666666666668</v>
      </c>
      <c r="R94" s="41">
        <v>5950</v>
      </c>
      <c r="S94" s="41">
        <f t="shared" si="3"/>
        <v>3086.1333333333332</v>
      </c>
    </row>
    <row r="95" spans="1:19">
      <c r="A95" s="5">
        <v>94</v>
      </c>
      <c r="B95" s="5">
        <v>2508052961</v>
      </c>
      <c r="C95" s="5" t="s">
        <v>1272</v>
      </c>
      <c r="D95" s="5" t="s">
        <v>309</v>
      </c>
      <c r="E95" s="5" t="s">
        <v>310</v>
      </c>
      <c r="F95" s="5" t="s">
        <v>51</v>
      </c>
      <c r="G95" s="5" t="s">
        <v>52</v>
      </c>
      <c r="H95" s="5" t="s">
        <v>1241</v>
      </c>
      <c r="I95" s="5">
        <v>202500866</v>
      </c>
      <c r="J95" s="5"/>
      <c r="K95" s="6">
        <v>45874</v>
      </c>
      <c r="L95" s="6">
        <v>45877</v>
      </c>
      <c r="M95" s="5" t="s">
        <v>53</v>
      </c>
      <c r="N95" s="5" t="s">
        <v>54</v>
      </c>
      <c r="O95" s="5" t="s">
        <v>41</v>
      </c>
      <c r="P95" s="30">
        <f t="shared" si="4"/>
        <v>3</v>
      </c>
      <c r="Q95" s="41">
        <v>2863.8666666666668</v>
      </c>
      <c r="R95" s="41">
        <v>5500</v>
      </c>
      <c r="S95" s="41">
        <f t="shared" si="3"/>
        <v>2636.1333333333332</v>
      </c>
    </row>
    <row r="96" spans="1:19">
      <c r="A96" s="5">
        <v>95</v>
      </c>
      <c r="B96" s="5">
        <v>2508052979</v>
      </c>
      <c r="C96" s="5" t="s">
        <v>1273</v>
      </c>
      <c r="D96" s="5" t="s">
        <v>103</v>
      </c>
      <c r="E96" s="5" t="s">
        <v>1274</v>
      </c>
      <c r="F96" s="5" t="s">
        <v>51</v>
      </c>
      <c r="G96" s="5" t="s">
        <v>52</v>
      </c>
      <c r="H96" s="5" t="s">
        <v>1241</v>
      </c>
      <c r="I96" s="5">
        <v>202500867</v>
      </c>
      <c r="J96" s="5"/>
      <c r="K96" s="6">
        <v>45874</v>
      </c>
      <c r="L96" s="6">
        <v>45877</v>
      </c>
      <c r="M96" s="5" t="s">
        <v>53</v>
      </c>
      <c r="N96" s="5" t="s">
        <v>54</v>
      </c>
      <c r="O96" s="5" t="s">
        <v>41</v>
      </c>
      <c r="P96" s="30">
        <f t="shared" si="4"/>
        <v>3</v>
      </c>
      <c r="Q96" s="41">
        <v>2863.8666666666668</v>
      </c>
      <c r="R96" s="41">
        <v>8500</v>
      </c>
      <c r="S96" s="41">
        <f t="shared" si="3"/>
        <v>5636.1333333333332</v>
      </c>
    </row>
    <row r="97" spans="1:19">
      <c r="A97" s="5">
        <v>96</v>
      </c>
      <c r="B97" s="5">
        <v>2508052982</v>
      </c>
      <c r="C97" s="5" t="s">
        <v>1275</v>
      </c>
      <c r="D97" s="5" t="s">
        <v>405</v>
      </c>
      <c r="E97" s="5" t="s">
        <v>1276</v>
      </c>
      <c r="F97" s="5" t="s">
        <v>202</v>
      </c>
      <c r="G97" s="5" t="s">
        <v>52</v>
      </c>
      <c r="H97" s="5" t="s">
        <v>1241</v>
      </c>
      <c r="I97" s="5">
        <v>202500868</v>
      </c>
      <c r="J97" s="5"/>
      <c r="K97" s="6">
        <v>45874</v>
      </c>
      <c r="L97" s="6">
        <v>45877</v>
      </c>
      <c r="M97" s="5" t="s">
        <v>53</v>
      </c>
      <c r="N97" s="5" t="s">
        <v>54</v>
      </c>
      <c r="O97" s="5" t="s">
        <v>41</v>
      </c>
      <c r="P97" s="30">
        <f t="shared" si="4"/>
        <v>3</v>
      </c>
      <c r="Q97" s="41">
        <v>2863.8666666666668</v>
      </c>
      <c r="R97" s="41">
        <v>6450</v>
      </c>
      <c r="S97" s="41">
        <f t="shared" si="3"/>
        <v>3586.1333333333332</v>
      </c>
    </row>
    <row r="98" spans="1:19">
      <c r="A98" s="5">
        <v>97</v>
      </c>
      <c r="B98" s="5">
        <v>2508052985</v>
      </c>
      <c r="C98" s="5" t="s">
        <v>1277</v>
      </c>
      <c r="D98" s="5" t="s">
        <v>631</v>
      </c>
      <c r="E98" s="5" t="s">
        <v>1083</v>
      </c>
      <c r="F98" s="5" t="s">
        <v>87</v>
      </c>
      <c r="G98" s="5" t="s">
        <v>52</v>
      </c>
      <c r="H98" s="5" t="s">
        <v>1241</v>
      </c>
      <c r="I98" s="5">
        <v>202500869</v>
      </c>
      <c r="J98" s="5"/>
      <c r="K98" s="6">
        <v>45874</v>
      </c>
      <c r="L98" s="6">
        <v>45877</v>
      </c>
      <c r="M98" s="5" t="s">
        <v>53</v>
      </c>
      <c r="N98" s="5" t="s">
        <v>54</v>
      </c>
      <c r="O98" s="5" t="s">
        <v>41</v>
      </c>
      <c r="P98" s="30">
        <f t="shared" si="4"/>
        <v>3</v>
      </c>
      <c r="Q98" s="41">
        <v>2863.8666666666668</v>
      </c>
      <c r="R98" s="41">
        <v>8000</v>
      </c>
      <c r="S98" s="41">
        <f t="shared" si="3"/>
        <v>5136.1333333333332</v>
      </c>
    </row>
    <row r="99" spans="1:19">
      <c r="A99" s="5">
        <v>98</v>
      </c>
      <c r="B99" s="5">
        <v>2508051166</v>
      </c>
      <c r="C99" s="5" t="s">
        <v>1278</v>
      </c>
      <c r="D99" s="5" t="s">
        <v>40</v>
      </c>
      <c r="E99" s="5" t="s">
        <v>41</v>
      </c>
      <c r="F99" s="5" t="s">
        <v>42</v>
      </c>
      <c r="G99" s="5" t="s">
        <v>75</v>
      </c>
      <c r="H99" s="5" t="s">
        <v>1241</v>
      </c>
      <c r="I99" s="5">
        <v>202500870</v>
      </c>
      <c r="J99" s="5"/>
      <c r="K99" s="6">
        <v>45874</v>
      </c>
      <c r="L99" s="6">
        <v>45877</v>
      </c>
      <c r="M99" s="5" t="s">
        <v>53</v>
      </c>
      <c r="N99" s="5" t="s">
        <v>54</v>
      </c>
      <c r="O99" s="5" t="s">
        <v>41</v>
      </c>
      <c r="P99" s="30">
        <f t="shared" si="4"/>
        <v>3</v>
      </c>
      <c r="Q99" s="41">
        <v>2863.8666666666668</v>
      </c>
      <c r="R99" s="41">
        <v>6500</v>
      </c>
      <c r="S99" s="41">
        <f t="shared" si="3"/>
        <v>3636.1333333333332</v>
      </c>
    </row>
    <row r="100" spans="1:19">
      <c r="A100" s="5">
        <v>99</v>
      </c>
      <c r="B100" s="5">
        <v>2508052991</v>
      </c>
      <c r="C100" s="5" t="s">
        <v>1279</v>
      </c>
      <c r="D100" s="5" t="s">
        <v>955</v>
      </c>
      <c r="E100" s="5" t="s">
        <v>1195</v>
      </c>
      <c r="F100" s="5" t="s">
        <v>202</v>
      </c>
      <c r="G100" s="5" t="s">
        <v>52</v>
      </c>
      <c r="H100" s="5" t="s">
        <v>1241</v>
      </c>
      <c r="I100" s="5">
        <v>202500871</v>
      </c>
      <c r="J100" s="5"/>
      <c r="K100" s="6">
        <v>45874</v>
      </c>
      <c r="L100" s="6">
        <v>45877</v>
      </c>
      <c r="M100" s="5" t="s">
        <v>53</v>
      </c>
      <c r="N100" s="5" t="s">
        <v>54</v>
      </c>
      <c r="O100" s="5" t="s">
        <v>41</v>
      </c>
      <c r="P100" s="30">
        <f t="shared" si="4"/>
        <v>3</v>
      </c>
      <c r="Q100" s="41">
        <v>2863.8666666666668</v>
      </c>
      <c r="R100" s="41">
        <v>7000</v>
      </c>
      <c r="S100" s="41">
        <f t="shared" si="3"/>
        <v>4136.1333333333332</v>
      </c>
    </row>
    <row r="101" spans="1:19">
      <c r="A101" s="5">
        <v>100</v>
      </c>
      <c r="B101" s="5">
        <v>2508052995</v>
      </c>
      <c r="C101" s="5" t="s">
        <v>1280</v>
      </c>
      <c r="D101" s="5" t="s">
        <v>405</v>
      </c>
      <c r="E101" s="5" t="s">
        <v>526</v>
      </c>
      <c r="F101" s="5" t="s">
        <v>202</v>
      </c>
      <c r="G101" s="5" t="s">
        <v>52</v>
      </c>
      <c r="H101" s="5" t="s">
        <v>1241</v>
      </c>
      <c r="I101" s="5">
        <v>202500872</v>
      </c>
      <c r="J101" s="5"/>
      <c r="K101" s="6">
        <v>45874</v>
      </c>
      <c r="L101" s="6">
        <v>45877</v>
      </c>
      <c r="M101" s="5" t="s">
        <v>53</v>
      </c>
      <c r="N101" s="5" t="s">
        <v>54</v>
      </c>
      <c r="O101" s="5" t="s">
        <v>41</v>
      </c>
      <c r="P101" s="30">
        <f t="shared" si="4"/>
        <v>3</v>
      </c>
      <c r="Q101" s="41">
        <v>2863.8666666666668</v>
      </c>
      <c r="R101" s="41">
        <v>6450</v>
      </c>
      <c r="S101" s="41">
        <f t="shared" si="3"/>
        <v>3586.1333333333332</v>
      </c>
    </row>
    <row r="102" spans="1:19">
      <c r="A102" s="5">
        <v>101</v>
      </c>
      <c r="B102" s="5">
        <v>2508052998</v>
      </c>
      <c r="C102" s="5" t="s">
        <v>1281</v>
      </c>
      <c r="D102" s="5" t="s">
        <v>1282</v>
      </c>
      <c r="E102" s="5" t="s">
        <v>1283</v>
      </c>
      <c r="F102" s="5" t="s">
        <v>62</v>
      </c>
      <c r="G102" s="5" t="s">
        <v>52</v>
      </c>
      <c r="H102" s="5" t="s">
        <v>1241</v>
      </c>
      <c r="I102" s="5">
        <v>202500873</v>
      </c>
      <c r="J102" s="5"/>
      <c r="K102" s="6">
        <v>45874</v>
      </c>
      <c r="L102" s="6">
        <v>45877</v>
      </c>
      <c r="M102" s="5" t="s">
        <v>53</v>
      </c>
      <c r="N102" s="5" t="s">
        <v>54</v>
      </c>
      <c r="O102" s="5" t="s">
        <v>41</v>
      </c>
      <c r="P102" s="30">
        <f t="shared" si="4"/>
        <v>3</v>
      </c>
      <c r="Q102" s="41">
        <v>2863.8666666666668</v>
      </c>
      <c r="R102" s="41">
        <v>5500</v>
      </c>
      <c r="S102" s="41">
        <f t="shared" si="3"/>
        <v>2636.1333333333332</v>
      </c>
    </row>
    <row r="103" spans="1:19">
      <c r="A103" s="5">
        <v>102</v>
      </c>
      <c r="B103" s="5">
        <v>2508053015</v>
      </c>
      <c r="C103" s="5" t="s">
        <v>1284</v>
      </c>
      <c r="D103" s="5" t="s">
        <v>567</v>
      </c>
      <c r="E103" s="5" t="s">
        <v>568</v>
      </c>
      <c r="F103" s="5" t="s">
        <v>169</v>
      </c>
      <c r="G103" s="5" t="s">
        <v>52</v>
      </c>
      <c r="H103" s="5" t="s">
        <v>1241</v>
      </c>
      <c r="I103" s="5">
        <v>202500874</v>
      </c>
      <c r="J103" s="5"/>
      <c r="K103" s="6">
        <v>45874</v>
      </c>
      <c r="L103" s="6">
        <v>45877</v>
      </c>
      <c r="M103" s="5" t="s">
        <v>53</v>
      </c>
      <c r="N103" s="5" t="s">
        <v>54</v>
      </c>
      <c r="O103" s="5" t="s">
        <v>41</v>
      </c>
      <c r="P103" s="30">
        <f t="shared" si="4"/>
        <v>3</v>
      </c>
      <c r="Q103" s="41">
        <v>2863.8666666666668</v>
      </c>
      <c r="R103" s="41">
        <v>6000</v>
      </c>
      <c r="S103" s="41">
        <f t="shared" si="3"/>
        <v>3136.1333333333332</v>
      </c>
    </row>
    <row r="104" spans="1:19">
      <c r="A104" s="5">
        <v>103</v>
      </c>
      <c r="B104" s="5">
        <v>2508053019</v>
      </c>
      <c r="C104" s="5" t="s">
        <v>1285</v>
      </c>
      <c r="D104" s="5" t="s">
        <v>567</v>
      </c>
      <c r="E104" s="5" t="s">
        <v>568</v>
      </c>
      <c r="F104" s="5" t="s">
        <v>169</v>
      </c>
      <c r="G104" s="5" t="s">
        <v>52</v>
      </c>
      <c r="H104" s="5" t="s">
        <v>1241</v>
      </c>
      <c r="I104" s="5">
        <v>202500875</v>
      </c>
      <c r="J104" s="5"/>
      <c r="K104" s="6">
        <v>45874</v>
      </c>
      <c r="L104" s="6">
        <v>45877</v>
      </c>
      <c r="M104" s="5" t="s">
        <v>53</v>
      </c>
      <c r="N104" s="5" t="s">
        <v>54</v>
      </c>
      <c r="O104" s="5" t="s">
        <v>41</v>
      </c>
      <c r="P104" s="30">
        <f t="shared" si="4"/>
        <v>3</v>
      </c>
      <c r="Q104" s="41">
        <v>2863.8666666666668</v>
      </c>
      <c r="R104" s="41">
        <v>6000</v>
      </c>
      <c r="S104" s="41">
        <f t="shared" si="3"/>
        <v>3136.1333333333332</v>
      </c>
    </row>
    <row r="105" spans="1:19">
      <c r="A105" s="5">
        <v>104</v>
      </c>
      <c r="B105" s="5">
        <v>2508052991</v>
      </c>
      <c r="C105" s="5" t="s">
        <v>1286</v>
      </c>
      <c r="D105" s="5" t="s">
        <v>955</v>
      </c>
      <c r="E105" s="5" t="s">
        <v>1195</v>
      </c>
      <c r="F105" s="5" t="s">
        <v>202</v>
      </c>
      <c r="G105" s="5" t="s">
        <v>52</v>
      </c>
      <c r="H105" s="5" t="s">
        <v>1241</v>
      </c>
      <c r="I105" s="5">
        <v>202500876</v>
      </c>
      <c r="J105" s="5"/>
      <c r="K105" s="6">
        <v>45874</v>
      </c>
      <c r="L105" s="6">
        <v>45877</v>
      </c>
      <c r="M105" s="5" t="s">
        <v>53</v>
      </c>
      <c r="N105" s="5" t="s">
        <v>54</v>
      </c>
      <c r="O105" s="5" t="s">
        <v>41</v>
      </c>
      <c r="P105" s="30">
        <f t="shared" si="4"/>
        <v>3</v>
      </c>
      <c r="Q105" s="41">
        <v>2863.8666666666668</v>
      </c>
      <c r="R105" s="41">
        <v>0</v>
      </c>
      <c r="S105" s="41">
        <f t="shared" si="3"/>
        <v>-2863.8666666666668</v>
      </c>
    </row>
    <row r="106" spans="1:19">
      <c r="A106" s="5">
        <v>105</v>
      </c>
      <c r="B106" s="5" t="s">
        <v>1239</v>
      </c>
      <c r="C106" s="5"/>
      <c r="D106" s="5"/>
      <c r="E106" s="5"/>
      <c r="F106" s="5"/>
      <c r="G106" s="5" t="s">
        <v>52</v>
      </c>
      <c r="H106" s="5"/>
      <c r="I106" s="5"/>
      <c r="J106" s="5"/>
      <c r="K106" s="5"/>
      <c r="L106" s="5"/>
      <c r="M106" s="5"/>
      <c r="N106" s="5"/>
      <c r="O106" s="5"/>
      <c r="P106" s="5"/>
      <c r="Q106" s="41">
        <v>2863.8666666666668</v>
      </c>
      <c r="R106" s="41">
        <v>0</v>
      </c>
      <c r="S106" s="41">
        <f t="shared" si="3"/>
        <v>-2863.8666666666668</v>
      </c>
    </row>
    <row r="107" spans="1:19">
      <c r="A107" s="5">
        <v>106</v>
      </c>
      <c r="B107" s="5" t="s">
        <v>1240</v>
      </c>
      <c r="C107" s="5"/>
      <c r="D107" s="5"/>
      <c r="E107" s="5"/>
      <c r="F107" s="5"/>
      <c r="G107" s="5" t="s">
        <v>52</v>
      </c>
      <c r="H107" s="5"/>
      <c r="I107" s="5"/>
      <c r="J107" s="5"/>
      <c r="K107" s="5"/>
      <c r="L107" s="5"/>
      <c r="M107" s="5"/>
      <c r="N107" s="5"/>
      <c r="O107" s="5"/>
      <c r="P107" s="5"/>
      <c r="Q107" s="41">
        <v>2863.8666666666668</v>
      </c>
      <c r="R107" s="41">
        <v>0</v>
      </c>
      <c r="S107" s="41">
        <f t="shared" si="3"/>
        <v>-2863.8666666666668</v>
      </c>
    </row>
    <row r="108" spans="1:19">
      <c r="A108" s="5">
        <v>107</v>
      </c>
      <c r="B108" s="5">
        <v>2508060196</v>
      </c>
      <c r="C108" s="5" t="s">
        <v>1287</v>
      </c>
      <c r="D108" s="5" t="s">
        <v>393</v>
      </c>
      <c r="E108" s="5" t="s">
        <v>394</v>
      </c>
      <c r="F108" s="5" t="s">
        <v>202</v>
      </c>
      <c r="G108" s="5" t="s">
        <v>43</v>
      </c>
      <c r="H108" s="5" t="s">
        <v>1288</v>
      </c>
      <c r="I108" s="5">
        <v>202500877</v>
      </c>
      <c r="J108" s="5"/>
      <c r="K108" s="6">
        <v>45875</v>
      </c>
      <c r="L108" s="6">
        <v>45881</v>
      </c>
      <c r="M108" s="5" t="s">
        <v>53</v>
      </c>
      <c r="N108" s="5" t="s">
        <v>54</v>
      </c>
      <c r="O108" s="5" t="s">
        <v>41</v>
      </c>
      <c r="P108" s="30">
        <f t="shared" ref="P108:P136" si="5">L108-K108</f>
        <v>6</v>
      </c>
      <c r="Q108" s="41">
        <v>3259.6516129032257</v>
      </c>
      <c r="R108" s="41">
        <v>13500</v>
      </c>
      <c r="S108" s="41">
        <f t="shared" si="3"/>
        <v>10240.348387096774</v>
      </c>
    </row>
    <row r="109" spans="1:19">
      <c r="A109" s="5">
        <v>108</v>
      </c>
      <c r="B109" s="5">
        <v>2508060200</v>
      </c>
      <c r="C109" s="5" t="s">
        <v>1289</v>
      </c>
      <c r="D109" s="5" t="s">
        <v>64</v>
      </c>
      <c r="E109" s="5" t="s">
        <v>65</v>
      </c>
      <c r="F109" s="5" t="s">
        <v>66</v>
      </c>
      <c r="G109" s="5" t="s">
        <v>52</v>
      </c>
      <c r="H109" s="5" t="s">
        <v>1288</v>
      </c>
      <c r="I109" s="5">
        <v>202500878</v>
      </c>
      <c r="J109" s="5"/>
      <c r="K109" s="6">
        <v>45875</v>
      </c>
      <c r="L109" s="6">
        <v>45881</v>
      </c>
      <c r="M109" s="5" t="s">
        <v>53</v>
      </c>
      <c r="N109" s="5" t="s">
        <v>54</v>
      </c>
      <c r="O109" s="5" t="s">
        <v>41</v>
      </c>
      <c r="P109" s="30">
        <f t="shared" si="5"/>
        <v>6</v>
      </c>
      <c r="Q109" s="41">
        <v>3259.6516129032257</v>
      </c>
      <c r="R109" s="41">
        <v>5500</v>
      </c>
      <c r="S109" s="41">
        <f t="shared" si="3"/>
        <v>2240.3483870967743</v>
      </c>
    </row>
    <row r="110" spans="1:19">
      <c r="A110" s="5">
        <v>109</v>
      </c>
      <c r="B110" s="5">
        <v>2508060202</v>
      </c>
      <c r="C110" s="5" t="s">
        <v>1290</v>
      </c>
      <c r="D110" s="5" t="s">
        <v>64</v>
      </c>
      <c r="E110" s="5" t="s">
        <v>65</v>
      </c>
      <c r="F110" s="5" t="s">
        <v>66</v>
      </c>
      <c r="G110" s="5" t="s">
        <v>52</v>
      </c>
      <c r="H110" s="5" t="s">
        <v>1288</v>
      </c>
      <c r="I110" s="5">
        <v>202500879</v>
      </c>
      <c r="J110" s="5"/>
      <c r="K110" s="6">
        <v>45875</v>
      </c>
      <c r="L110" s="6">
        <v>45881</v>
      </c>
      <c r="M110" s="5" t="s">
        <v>53</v>
      </c>
      <c r="N110" s="5" t="s">
        <v>54</v>
      </c>
      <c r="O110" s="5" t="s">
        <v>41</v>
      </c>
      <c r="P110" s="30">
        <f t="shared" si="5"/>
        <v>6</v>
      </c>
      <c r="Q110" s="41">
        <v>3259.6516129032257</v>
      </c>
      <c r="R110" s="41">
        <v>5500</v>
      </c>
      <c r="S110" s="41">
        <f t="shared" si="3"/>
        <v>2240.3483870967743</v>
      </c>
    </row>
    <row r="111" spans="1:19">
      <c r="A111" s="5">
        <v>110</v>
      </c>
      <c r="B111" s="5">
        <v>2508063627</v>
      </c>
      <c r="C111" s="5" t="s">
        <v>1291</v>
      </c>
      <c r="D111" s="5" t="s">
        <v>748</v>
      </c>
      <c r="E111" s="5" t="s">
        <v>947</v>
      </c>
      <c r="F111" s="5" t="s">
        <v>51</v>
      </c>
      <c r="G111" s="5" t="s">
        <v>43</v>
      </c>
      <c r="H111" s="5" t="s">
        <v>1288</v>
      </c>
      <c r="I111" s="5">
        <v>202500880</v>
      </c>
      <c r="J111" s="5"/>
      <c r="K111" s="6">
        <v>45875</v>
      </c>
      <c r="L111" s="6">
        <v>45881</v>
      </c>
      <c r="M111" s="5" t="s">
        <v>53</v>
      </c>
      <c r="N111" s="5" t="s">
        <v>54</v>
      </c>
      <c r="O111" s="5" t="s">
        <v>41</v>
      </c>
      <c r="P111" s="30">
        <f t="shared" si="5"/>
        <v>6</v>
      </c>
      <c r="Q111" s="41">
        <v>3259.6516129032257</v>
      </c>
      <c r="R111" s="41">
        <v>10000</v>
      </c>
      <c r="S111" s="41">
        <f t="shared" si="3"/>
        <v>6740.3483870967739</v>
      </c>
    </row>
    <row r="112" spans="1:19">
      <c r="A112" s="5">
        <v>111</v>
      </c>
      <c r="B112" s="5">
        <v>2508063631</v>
      </c>
      <c r="C112" s="5" t="s">
        <v>1292</v>
      </c>
      <c r="D112" s="5" t="s">
        <v>77</v>
      </c>
      <c r="E112" s="5" t="s">
        <v>78</v>
      </c>
      <c r="F112" s="5" t="s">
        <v>79</v>
      </c>
      <c r="G112" s="5" t="s">
        <v>52</v>
      </c>
      <c r="H112" s="5" t="s">
        <v>1288</v>
      </c>
      <c r="I112" s="5">
        <v>202500881</v>
      </c>
      <c r="J112" s="5"/>
      <c r="K112" s="6">
        <v>45875</v>
      </c>
      <c r="L112" s="6">
        <v>45881</v>
      </c>
      <c r="M112" s="5" t="s">
        <v>53</v>
      </c>
      <c r="N112" s="5" t="s">
        <v>54</v>
      </c>
      <c r="O112" s="5" t="s">
        <v>41</v>
      </c>
      <c r="P112" s="30">
        <f t="shared" si="5"/>
        <v>6</v>
      </c>
      <c r="Q112" s="41">
        <v>3259.6516129032257</v>
      </c>
      <c r="R112" s="41">
        <v>5500</v>
      </c>
      <c r="S112" s="41">
        <f t="shared" si="3"/>
        <v>2240.3483870967743</v>
      </c>
    </row>
    <row r="113" spans="1:19">
      <c r="A113" s="5">
        <v>112</v>
      </c>
      <c r="B113" s="5">
        <v>2508063633</v>
      </c>
      <c r="C113" s="5" t="s">
        <v>1293</v>
      </c>
      <c r="D113" s="5" t="s">
        <v>775</v>
      </c>
      <c r="E113" s="5" t="s">
        <v>776</v>
      </c>
      <c r="F113" s="5" t="s">
        <v>202</v>
      </c>
      <c r="G113" s="5" t="s">
        <v>52</v>
      </c>
      <c r="H113" s="5" t="s">
        <v>1288</v>
      </c>
      <c r="I113" s="5">
        <v>202500882</v>
      </c>
      <c r="J113" s="5"/>
      <c r="K113" s="6">
        <v>45875</v>
      </c>
      <c r="L113" s="6">
        <v>45881</v>
      </c>
      <c r="M113" s="5" t="s">
        <v>53</v>
      </c>
      <c r="N113" s="5" t="s">
        <v>54</v>
      </c>
      <c r="O113" s="5" t="s">
        <v>41</v>
      </c>
      <c r="P113" s="30">
        <f t="shared" si="5"/>
        <v>6</v>
      </c>
      <c r="Q113" s="41">
        <v>3259.6516129032257</v>
      </c>
      <c r="R113" s="41">
        <v>8500</v>
      </c>
      <c r="S113" s="41">
        <f t="shared" si="3"/>
        <v>5240.3483870967739</v>
      </c>
    </row>
    <row r="114" spans="1:19">
      <c r="A114" s="5">
        <v>113</v>
      </c>
      <c r="B114" s="5">
        <v>2508063636</v>
      </c>
      <c r="C114" s="5" t="s">
        <v>1294</v>
      </c>
      <c r="D114" s="5" t="s">
        <v>89</v>
      </c>
      <c r="E114" s="5" t="s">
        <v>90</v>
      </c>
      <c r="F114" s="5" t="s">
        <v>79</v>
      </c>
      <c r="G114" s="5" t="s">
        <v>52</v>
      </c>
      <c r="H114" s="5" t="s">
        <v>1288</v>
      </c>
      <c r="I114" s="5">
        <v>202500883</v>
      </c>
      <c r="J114" s="5"/>
      <c r="K114" s="6">
        <v>45875</v>
      </c>
      <c r="L114" s="6">
        <v>45881</v>
      </c>
      <c r="M114" s="5" t="s">
        <v>53</v>
      </c>
      <c r="N114" s="5" t="s">
        <v>54</v>
      </c>
      <c r="O114" s="5" t="s">
        <v>41</v>
      </c>
      <c r="P114" s="30">
        <f t="shared" si="5"/>
        <v>6</v>
      </c>
      <c r="Q114" s="41">
        <v>3259.6516129032257</v>
      </c>
      <c r="R114" s="41">
        <v>5500</v>
      </c>
      <c r="S114" s="41">
        <f t="shared" si="3"/>
        <v>2240.3483870967743</v>
      </c>
    </row>
    <row r="115" spans="1:19">
      <c r="A115" s="5">
        <v>114</v>
      </c>
      <c r="B115" s="5">
        <v>2508063639</v>
      </c>
      <c r="C115" s="5" t="s">
        <v>1295</v>
      </c>
      <c r="D115" s="5" t="s">
        <v>581</v>
      </c>
      <c r="E115" s="5" t="s">
        <v>905</v>
      </c>
      <c r="F115" s="5" t="s">
        <v>202</v>
      </c>
      <c r="G115" s="5" t="s">
        <v>75</v>
      </c>
      <c r="H115" s="5" t="s">
        <v>1288</v>
      </c>
      <c r="I115" s="5">
        <v>202500884</v>
      </c>
      <c r="J115" s="5"/>
      <c r="K115" s="6">
        <v>45875</v>
      </c>
      <c r="L115" s="6">
        <v>45881</v>
      </c>
      <c r="M115" s="5" t="s">
        <v>53</v>
      </c>
      <c r="N115" s="5" t="s">
        <v>54</v>
      </c>
      <c r="O115" s="5" t="s">
        <v>41</v>
      </c>
      <c r="P115" s="30">
        <f t="shared" si="5"/>
        <v>6</v>
      </c>
      <c r="Q115" s="41">
        <v>3259.6516129032257</v>
      </c>
      <c r="R115" s="41">
        <v>5900</v>
      </c>
      <c r="S115" s="41">
        <f t="shared" si="3"/>
        <v>2640.3483870967743</v>
      </c>
    </row>
    <row r="116" spans="1:19">
      <c r="A116" s="5">
        <v>115</v>
      </c>
      <c r="B116" s="5">
        <v>2508063642</v>
      </c>
      <c r="C116" s="5" t="s">
        <v>1296</v>
      </c>
      <c r="D116" s="5" t="s">
        <v>564</v>
      </c>
      <c r="E116" s="5" t="s">
        <v>890</v>
      </c>
      <c r="F116" s="5" t="s">
        <v>71</v>
      </c>
      <c r="G116" s="5" t="s">
        <v>52</v>
      </c>
      <c r="H116" s="5" t="s">
        <v>1288</v>
      </c>
      <c r="I116" s="5">
        <v>202500885</v>
      </c>
      <c r="J116" s="5"/>
      <c r="K116" s="6">
        <v>45875</v>
      </c>
      <c r="L116" s="6">
        <v>45881</v>
      </c>
      <c r="M116" s="5" t="s">
        <v>53</v>
      </c>
      <c r="N116" s="5" t="s">
        <v>54</v>
      </c>
      <c r="O116" s="5" t="s">
        <v>41</v>
      </c>
      <c r="P116" s="30">
        <f t="shared" si="5"/>
        <v>6</v>
      </c>
      <c r="Q116" s="41">
        <v>3259.6516129032257</v>
      </c>
      <c r="R116" s="41">
        <v>8500</v>
      </c>
      <c r="S116" s="41">
        <f t="shared" si="3"/>
        <v>5240.3483870967739</v>
      </c>
    </row>
    <row r="117" spans="1:19">
      <c r="A117" s="5">
        <v>116</v>
      </c>
      <c r="B117" s="5">
        <v>2508063645</v>
      </c>
      <c r="C117" s="5" t="s">
        <v>1297</v>
      </c>
      <c r="D117" s="5" t="s">
        <v>1282</v>
      </c>
      <c r="E117" s="5" t="s">
        <v>1283</v>
      </c>
      <c r="F117" s="5" t="s">
        <v>62</v>
      </c>
      <c r="G117" s="5" t="s">
        <v>52</v>
      </c>
      <c r="H117" s="5" t="s">
        <v>1288</v>
      </c>
      <c r="I117" s="5">
        <v>202500886</v>
      </c>
      <c r="J117" s="5"/>
      <c r="K117" s="6">
        <v>45875</v>
      </c>
      <c r="L117" s="6">
        <v>45881</v>
      </c>
      <c r="M117" s="5" t="s">
        <v>53</v>
      </c>
      <c r="N117" s="5" t="s">
        <v>54</v>
      </c>
      <c r="O117" s="5" t="s">
        <v>41</v>
      </c>
      <c r="P117" s="30">
        <f t="shared" si="5"/>
        <v>6</v>
      </c>
      <c r="Q117" s="41">
        <v>3259.6516129032257</v>
      </c>
      <c r="R117" s="41">
        <v>5500</v>
      </c>
      <c r="S117" s="41">
        <f t="shared" si="3"/>
        <v>2240.3483870967743</v>
      </c>
    </row>
    <row r="118" spans="1:19">
      <c r="A118" s="5">
        <v>117</v>
      </c>
      <c r="B118" s="5">
        <v>2508063958</v>
      </c>
      <c r="C118" s="5" t="s">
        <v>1298</v>
      </c>
      <c r="D118" s="5" t="s">
        <v>1299</v>
      </c>
      <c r="E118" s="5" t="s">
        <v>1300</v>
      </c>
      <c r="F118" s="5" t="s">
        <v>79</v>
      </c>
      <c r="G118" s="5" t="s">
        <v>52</v>
      </c>
      <c r="H118" s="5" t="s">
        <v>1288</v>
      </c>
      <c r="I118" s="5">
        <v>202500887</v>
      </c>
      <c r="J118" s="5"/>
      <c r="K118" s="6">
        <v>45875</v>
      </c>
      <c r="L118" s="6">
        <v>45881</v>
      </c>
      <c r="M118" s="5" t="s">
        <v>53</v>
      </c>
      <c r="N118" s="5" t="s">
        <v>54</v>
      </c>
      <c r="O118" s="5" t="s">
        <v>41</v>
      </c>
      <c r="P118" s="30">
        <f t="shared" si="5"/>
        <v>6</v>
      </c>
      <c r="Q118" s="41">
        <v>3259.6516129032257</v>
      </c>
      <c r="R118" s="41">
        <v>6000</v>
      </c>
      <c r="S118" s="41">
        <f t="shared" si="3"/>
        <v>2740.3483870967743</v>
      </c>
    </row>
    <row r="119" spans="1:19">
      <c r="A119" s="5">
        <v>118</v>
      </c>
      <c r="B119" s="5">
        <v>2508063649</v>
      </c>
      <c r="C119" s="5" t="s">
        <v>1301</v>
      </c>
      <c r="D119" s="5" t="s">
        <v>301</v>
      </c>
      <c r="E119" s="5" t="s">
        <v>302</v>
      </c>
      <c r="F119" s="5" t="s">
        <v>169</v>
      </c>
      <c r="G119" s="5" t="s">
        <v>75</v>
      </c>
      <c r="H119" s="5" t="s">
        <v>1288</v>
      </c>
      <c r="I119" s="5">
        <v>202500888</v>
      </c>
      <c r="J119" s="5"/>
      <c r="K119" s="6">
        <v>45875</v>
      </c>
      <c r="L119" s="6">
        <v>45881</v>
      </c>
      <c r="M119" s="5" t="s">
        <v>53</v>
      </c>
      <c r="N119" s="5" t="s">
        <v>54</v>
      </c>
      <c r="O119" s="5" t="s">
        <v>41</v>
      </c>
      <c r="P119" s="30">
        <f t="shared" si="5"/>
        <v>6</v>
      </c>
      <c r="Q119" s="41">
        <v>3259.6516129032257</v>
      </c>
      <c r="R119" s="41">
        <v>4500</v>
      </c>
      <c r="S119" s="41">
        <f t="shared" si="3"/>
        <v>1240.3483870967743</v>
      </c>
    </row>
    <row r="120" spans="1:19">
      <c r="A120" s="5">
        <v>119</v>
      </c>
      <c r="B120" s="5">
        <v>2508063653</v>
      </c>
      <c r="C120" s="5" t="s">
        <v>1302</v>
      </c>
      <c r="D120" s="5" t="s">
        <v>444</v>
      </c>
      <c r="E120" s="5" t="s">
        <v>670</v>
      </c>
      <c r="F120" s="5" t="s">
        <v>109</v>
      </c>
      <c r="G120" s="5" t="s">
        <v>52</v>
      </c>
      <c r="H120" s="5" t="s">
        <v>1288</v>
      </c>
      <c r="I120" s="5">
        <v>202500889</v>
      </c>
      <c r="J120" s="5"/>
      <c r="K120" s="6">
        <v>45875</v>
      </c>
      <c r="L120" s="6">
        <v>45881</v>
      </c>
      <c r="M120" s="5" t="s">
        <v>53</v>
      </c>
      <c r="N120" s="5" t="s">
        <v>54</v>
      </c>
      <c r="O120" s="5" t="s">
        <v>41</v>
      </c>
      <c r="P120" s="30">
        <f t="shared" si="5"/>
        <v>6</v>
      </c>
      <c r="Q120" s="41">
        <v>3259.6516129032257</v>
      </c>
      <c r="R120" s="41">
        <v>5950</v>
      </c>
      <c r="S120" s="41">
        <f t="shared" si="3"/>
        <v>2690.3483870967743</v>
      </c>
    </row>
    <row r="121" spans="1:19">
      <c r="A121" s="5">
        <v>120</v>
      </c>
      <c r="B121" s="5">
        <v>2508071199</v>
      </c>
      <c r="C121" s="5" t="s">
        <v>1303</v>
      </c>
      <c r="D121" s="5" t="s">
        <v>599</v>
      </c>
      <c r="E121" s="5" t="s">
        <v>837</v>
      </c>
      <c r="F121" s="5" t="s">
        <v>169</v>
      </c>
      <c r="G121" s="5" t="s">
        <v>43</v>
      </c>
      <c r="H121" s="5" t="s">
        <v>1288</v>
      </c>
      <c r="I121" s="5">
        <v>202500890</v>
      </c>
      <c r="J121" s="5"/>
      <c r="K121" s="6">
        <v>45876</v>
      </c>
      <c r="L121" s="6">
        <v>45881</v>
      </c>
      <c r="M121" s="5" t="s">
        <v>53</v>
      </c>
      <c r="N121" s="5" t="s">
        <v>54</v>
      </c>
      <c r="O121" s="5" t="s">
        <v>41</v>
      </c>
      <c r="P121" s="30">
        <f t="shared" si="5"/>
        <v>5</v>
      </c>
      <c r="Q121" s="41">
        <v>3259.6516129032257</v>
      </c>
      <c r="R121" s="41">
        <v>11500</v>
      </c>
      <c r="S121" s="41">
        <f t="shared" si="3"/>
        <v>8240.3483870967739</v>
      </c>
    </row>
    <row r="122" spans="1:19">
      <c r="A122" s="5">
        <v>121</v>
      </c>
      <c r="B122" s="5">
        <v>2508071206</v>
      </c>
      <c r="C122" s="5" t="s">
        <v>1304</v>
      </c>
      <c r="D122" s="5" t="s">
        <v>908</v>
      </c>
      <c r="E122" s="5" t="s">
        <v>909</v>
      </c>
      <c r="F122" s="5" t="s">
        <v>362</v>
      </c>
      <c r="G122" s="5" t="s">
        <v>52</v>
      </c>
      <c r="H122" s="5" t="s">
        <v>1288</v>
      </c>
      <c r="I122" s="5">
        <v>202500891</v>
      </c>
      <c r="J122" s="5"/>
      <c r="K122" s="6">
        <v>45876</v>
      </c>
      <c r="L122" s="6">
        <v>45881</v>
      </c>
      <c r="M122" s="5" t="s">
        <v>53</v>
      </c>
      <c r="N122" s="5" t="s">
        <v>54</v>
      </c>
      <c r="O122" s="5" t="s">
        <v>41</v>
      </c>
      <c r="P122" s="30">
        <f t="shared" si="5"/>
        <v>5</v>
      </c>
      <c r="Q122" s="41">
        <v>3259.6516129032257</v>
      </c>
      <c r="R122" s="41">
        <v>5500</v>
      </c>
      <c r="S122" s="41">
        <f t="shared" si="3"/>
        <v>2240.3483870967743</v>
      </c>
    </row>
    <row r="123" spans="1:19">
      <c r="A123" s="5">
        <v>122</v>
      </c>
      <c r="B123" s="5">
        <v>2508073053</v>
      </c>
      <c r="C123" s="5" t="s">
        <v>1305</v>
      </c>
      <c r="D123" s="5" t="s">
        <v>881</v>
      </c>
      <c r="E123" s="5" t="s">
        <v>1306</v>
      </c>
      <c r="F123" s="5" t="s">
        <v>457</v>
      </c>
      <c r="G123" s="5" t="s">
        <v>52</v>
      </c>
      <c r="H123" s="5" t="s">
        <v>1288</v>
      </c>
      <c r="I123" s="5">
        <v>202500892</v>
      </c>
      <c r="J123" s="5"/>
      <c r="K123" s="6">
        <v>45876</v>
      </c>
      <c r="L123" s="6">
        <v>45881</v>
      </c>
      <c r="M123" s="5" t="s">
        <v>53</v>
      </c>
      <c r="N123" s="5" t="s">
        <v>54</v>
      </c>
      <c r="O123" s="5" t="s">
        <v>41</v>
      </c>
      <c r="P123" s="30">
        <f t="shared" si="5"/>
        <v>5</v>
      </c>
      <c r="Q123" s="41">
        <v>3259.6516129032257</v>
      </c>
      <c r="R123" s="41">
        <v>6000</v>
      </c>
      <c r="S123" s="41">
        <f t="shared" si="3"/>
        <v>2740.3483870967743</v>
      </c>
    </row>
    <row r="124" spans="1:19">
      <c r="A124" s="5">
        <v>123</v>
      </c>
      <c r="B124" s="5">
        <v>2508071211</v>
      </c>
      <c r="C124" s="5" t="s">
        <v>1307</v>
      </c>
      <c r="D124" s="5" t="s">
        <v>309</v>
      </c>
      <c r="E124" s="5" t="s">
        <v>310</v>
      </c>
      <c r="F124" s="5" t="s">
        <v>51</v>
      </c>
      <c r="G124" s="5" t="s">
        <v>52</v>
      </c>
      <c r="H124" s="5" t="s">
        <v>1288</v>
      </c>
      <c r="I124" s="5">
        <v>202500893</v>
      </c>
      <c r="J124" s="5"/>
      <c r="K124" s="6">
        <v>45876</v>
      </c>
      <c r="L124" s="6">
        <v>45881</v>
      </c>
      <c r="M124" s="5" t="s">
        <v>53</v>
      </c>
      <c r="N124" s="5" t="s">
        <v>54</v>
      </c>
      <c r="O124" s="5" t="s">
        <v>41</v>
      </c>
      <c r="P124" s="30">
        <f t="shared" si="5"/>
        <v>5</v>
      </c>
      <c r="Q124" s="41">
        <v>3259.6516129032257</v>
      </c>
      <c r="R124" s="41">
        <v>5500</v>
      </c>
      <c r="S124" s="41">
        <f t="shared" si="3"/>
        <v>2240.3483870967743</v>
      </c>
    </row>
    <row r="125" spans="1:19">
      <c r="A125" s="5">
        <v>124</v>
      </c>
      <c r="B125" s="17">
        <v>2508073058</v>
      </c>
      <c r="C125" s="17" t="s">
        <v>1308</v>
      </c>
      <c r="D125" s="17" t="s">
        <v>77</v>
      </c>
      <c r="E125" s="17" t="s">
        <v>78</v>
      </c>
      <c r="F125" s="17" t="s">
        <v>79</v>
      </c>
      <c r="G125" s="17" t="s">
        <v>52</v>
      </c>
      <c r="H125" s="17" t="s">
        <v>1288</v>
      </c>
      <c r="I125" s="17">
        <v>202500894</v>
      </c>
      <c r="J125" s="17"/>
      <c r="K125" s="18">
        <v>45876</v>
      </c>
      <c r="L125" s="18">
        <v>45881</v>
      </c>
      <c r="M125" s="17" t="s">
        <v>53</v>
      </c>
      <c r="N125" s="17" t="s">
        <v>480</v>
      </c>
      <c r="O125" s="17" t="s">
        <v>1324</v>
      </c>
      <c r="P125" s="31">
        <f t="shared" si="5"/>
        <v>5</v>
      </c>
      <c r="Q125" s="19">
        <v>3259.6516129032257</v>
      </c>
      <c r="R125" s="19">
        <v>5500</v>
      </c>
      <c r="S125" s="19">
        <f t="shared" si="3"/>
        <v>2240.3483870967743</v>
      </c>
    </row>
    <row r="126" spans="1:19">
      <c r="A126" s="5">
        <v>125</v>
      </c>
      <c r="B126" s="5">
        <v>2508073065</v>
      </c>
      <c r="C126" s="5" t="s">
        <v>1309</v>
      </c>
      <c r="D126" s="5" t="s">
        <v>309</v>
      </c>
      <c r="E126" s="5" t="s">
        <v>310</v>
      </c>
      <c r="F126" s="5" t="s">
        <v>51</v>
      </c>
      <c r="G126" s="5" t="s">
        <v>52</v>
      </c>
      <c r="H126" s="5" t="s">
        <v>1288</v>
      </c>
      <c r="I126" s="5">
        <v>202500895</v>
      </c>
      <c r="J126" s="5"/>
      <c r="K126" s="6">
        <v>45876</v>
      </c>
      <c r="L126" s="6">
        <v>45881</v>
      </c>
      <c r="M126" s="5" t="s">
        <v>53</v>
      </c>
      <c r="N126" s="5" t="s">
        <v>54</v>
      </c>
      <c r="O126" s="5" t="s">
        <v>41</v>
      </c>
      <c r="P126" s="30">
        <f t="shared" si="5"/>
        <v>5</v>
      </c>
      <c r="Q126" s="41">
        <v>3259.6516129032257</v>
      </c>
      <c r="R126" s="41">
        <v>5500</v>
      </c>
      <c r="S126" s="41">
        <f t="shared" si="3"/>
        <v>2240.3483870967743</v>
      </c>
    </row>
    <row r="127" spans="1:19">
      <c r="A127" s="5">
        <v>126</v>
      </c>
      <c r="B127" s="5">
        <v>2508073071</v>
      </c>
      <c r="C127" s="5" t="s">
        <v>1310</v>
      </c>
      <c r="D127" s="5" t="s">
        <v>257</v>
      </c>
      <c r="E127" s="5" t="s">
        <v>258</v>
      </c>
      <c r="F127" s="5" t="s">
        <v>62</v>
      </c>
      <c r="G127" s="5" t="s">
        <v>52</v>
      </c>
      <c r="H127" s="5" t="s">
        <v>1288</v>
      </c>
      <c r="I127" s="5">
        <v>202500896</v>
      </c>
      <c r="J127" s="5"/>
      <c r="K127" s="6">
        <v>45876</v>
      </c>
      <c r="L127" s="6">
        <v>45881</v>
      </c>
      <c r="M127" s="5" t="s">
        <v>53</v>
      </c>
      <c r="N127" s="5" t="s">
        <v>54</v>
      </c>
      <c r="O127" s="5" t="s">
        <v>41</v>
      </c>
      <c r="P127" s="30">
        <f t="shared" si="5"/>
        <v>5</v>
      </c>
      <c r="Q127" s="41">
        <v>3259.6516129032257</v>
      </c>
      <c r="R127" s="41">
        <v>5100</v>
      </c>
      <c r="S127" s="41">
        <f t="shared" si="3"/>
        <v>1840.3483870967743</v>
      </c>
    </row>
    <row r="128" spans="1:19">
      <c r="A128" s="5">
        <v>127</v>
      </c>
      <c r="B128" s="5">
        <v>2508073075</v>
      </c>
      <c r="C128" s="5" t="s">
        <v>1311</v>
      </c>
      <c r="D128" s="5" t="s">
        <v>326</v>
      </c>
      <c r="E128" s="5" t="s">
        <v>329</v>
      </c>
      <c r="F128" s="5" t="s">
        <v>169</v>
      </c>
      <c r="G128" s="5" t="s">
        <v>52</v>
      </c>
      <c r="H128" s="5" t="s">
        <v>1288</v>
      </c>
      <c r="I128" s="5">
        <v>202500897</v>
      </c>
      <c r="J128" s="5"/>
      <c r="K128" s="6">
        <v>45876</v>
      </c>
      <c r="L128" s="6">
        <v>45881</v>
      </c>
      <c r="M128" s="5" t="s">
        <v>53</v>
      </c>
      <c r="N128" s="5" t="s">
        <v>54</v>
      </c>
      <c r="O128" s="5" t="s">
        <v>41</v>
      </c>
      <c r="P128" s="30">
        <f t="shared" si="5"/>
        <v>5</v>
      </c>
      <c r="Q128" s="41">
        <v>3259.6516129032257</v>
      </c>
      <c r="R128" s="41">
        <v>6000</v>
      </c>
      <c r="S128" s="41">
        <f t="shared" si="3"/>
        <v>2740.3483870967743</v>
      </c>
    </row>
    <row r="129" spans="1:19">
      <c r="A129" s="5">
        <v>128</v>
      </c>
      <c r="B129" s="5">
        <v>2508082883</v>
      </c>
      <c r="C129" s="5" t="s">
        <v>1312</v>
      </c>
      <c r="D129" s="5" t="s">
        <v>581</v>
      </c>
      <c r="E129" s="5" t="s">
        <v>1313</v>
      </c>
      <c r="F129" s="5" t="s">
        <v>202</v>
      </c>
      <c r="G129" s="5" t="s">
        <v>52</v>
      </c>
      <c r="H129" s="5" t="s">
        <v>1288</v>
      </c>
      <c r="I129" s="5">
        <v>202500898</v>
      </c>
      <c r="J129" s="5"/>
      <c r="K129" s="6">
        <v>45877</v>
      </c>
      <c r="L129" s="6">
        <v>45881</v>
      </c>
      <c r="M129" s="5" t="s">
        <v>53</v>
      </c>
      <c r="N129" s="5" t="s">
        <v>54</v>
      </c>
      <c r="O129" s="5" t="s">
        <v>41</v>
      </c>
      <c r="P129" s="30">
        <f t="shared" si="5"/>
        <v>4</v>
      </c>
      <c r="Q129" s="41">
        <v>3259.6516129032257</v>
      </c>
      <c r="R129" s="41">
        <v>8000</v>
      </c>
      <c r="S129" s="41">
        <f t="shared" si="3"/>
        <v>4740.3483870967739</v>
      </c>
    </row>
    <row r="130" spans="1:19">
      <c r="A130" s="5">
        <v>129</v>
      </c>
      <c r="B130" s="5">
        <v>2508082896</v>
      </c>
      <c r="C130" s="5" t="s">
        <v>1314</v>
      </c>
      <c r="D130" s="5" t="s">
        <v>64</v>
      </c>
      <c r="E130" s="5" t="s">
        <v>65</v>
      </c>
      <c r="F130" s="5" t="s">
        <v>66</v>
      </c>
      <c r="G130" s="5" t="s">
        <v>52</v>
      </c>
      <c r="H130" s="5" t="s">
        <v>1288</v>
      </c>
      <c r="I130" s="5">
        <v>202500899</v>
      </c>
      <c r="J130" s="5"/>
      <c r="K130" s="6">
        <v>45877</v>
      </c>
      <c r="L130" s="6">
        <v>45881</v>
      </c>
      <c r="M130" s="5" t="s">
        <v>53</v>
      </c>
      <c r="N130" s="5" t="s">
        <v>54</v>
      </c>
      <c r="O130" s="5" t="s">
        <v>41</v>
      </c>
      <c r="P130" s="30">
        <f t="shared" si="5"/>
        <v>4</v>
      </c>
      <c r="Q130" s="41">
        <v>3259.6516129032257</v>
      </c>
      <c r="R130" s="41">
        <v>5500</v>
      </c>
      <c r="S130" s="41">
        <f t="shared" ref="S130:S193" si="6">R130-Q130</f>
        <v>2240.3483870967743</v>
      </c>
    </row>
    <row r="131" spans="1:19">
      <c r="A131" s="5">
        <v>130</v>
      </c>
      <c r="B131" s="5">
        <v>2508082907</v>
      </c>
      <c r="C131" s="5" t="s">
        <v>1315</v>
      </c>
      <c r="D131" s="5" t="s">
        <v>64</v>
      </c>
      <c r="E131" s="5" t="s">
        <v>65</v>
      </c>
      <c r="F131" s="5" t="s">
        <v>66</v>
      </c>
      <c r="G131" s="5" t="s">
        <v>52</v>
      </c>
      <c r="H131" s="5" t="s">
        <v>1288</v>
      </c>
      <c r="I131" s="5">
        <v>202500900</v>
      </c>
      <c r="J131" s="5"/>
      <c r="K131" s="6">
        <v>45877</v>
      </c>
      <c r="L131" s="6">
        <v>45881</v>
      </c>
      <c r="M131" s="5" t="s">
        <v>53</v>
      </c>
      <c r="N131" s="5" t="s">
        <v>54</v>
      </c>
      <c r="O131" s="5" t="s">
        <v>41</v>
      </c>
      <c r="P131" s="30">
        <f t="shared" si="5"/>
        <v>4</v>
      </c>
      <c r="Q131" s="41">
        <v>3259.6516129032257</v>
      </c>
      <c r="R131" s="41">
        <v>5500</v>
      </c>
      <c r="S131" s="41">
        <f t="shared" si="6"/>
        <v>2240.3483870967743</v>
      </c>
    </row>
    <row r="132" spans="1:19">
      <c r="A132" s="5">
        <v>131</v>
      </c>
      <c r="B132" s="5">
        <v>2508082918</v>
      </c>
      <c r="C132" s="5" t="s">
        <v>1316</v>
      </c>
      <c r="D132" s="5" t="s">
        <v>1317</v>
      </c>
      <c r="E132" s="5" t="s">
        <v>1318</v>
      </c>
      <c r="F132" s="5" t="s">
        <v>58</v>
      </c>
      <c r="G132" s="5" t="s">
        <v>75</v>
      </c>
      <c r="H132" s="5" t="s">
        <v>1288</v>
      </c>
      <c r="I132" s="5">
        <v>202500901</v>
      </c>
      <c r="J132" s="5"/>
      <c r="K132" s="6">
        <v>45877</v>
      </c>
      <c r="L132" s="6">
        <v>45881</v>
      </c>
      <c r="M132" s="5" t="s">
        <v>53</v>
      </c>
      <c r="N132" s="5" t="s">
        <v>54</v>
      </c>
      <c r="O132" s="5" t="s">
        <v>41</v>
      </c>
      <c r="P132" s="30">
        <f t="shared" si="5"/>
        <v>4</v>
      </c>
      <c r="Q132" s="41">
        <v>3259.6516129032257</v>
      </c>
      <c r="R132" s="41">
        <v>4900</v>
      </c>
      <c r="S132" s="41">
        <f t="shared" si="6"/>
        <v>1640.3483870967743</v>
      </c>
    </row>
    <row r="133" spans="1:19">
      <c r="A133" s="5">
        <v>132</v>
      </c>
      <c r="B133" s="9">
        <v>2508081308</v>
      </c>
      <c r="C133" s="9" t="s">
        <v>1319</v>
      </c>
      <c r="D133" s="9" t="s">
        <v>40</v>
      </c>
      <c r="E133" s="9" t="s">
        <v>41</v>
      </c>
      <c r="F133" s="9" t="s">
        <v>42</v>
      </c>
      <c r="G133" s="9" t="s">
        <v>190</v>
      </c>
      <c r="H133" s="9" t="s">
        <v>1288</v>
      </c>
      <c r="I133" s="9">
        <v>202500902</v>
      </c>
      <c r="J133" s="9"/>
      <c r="K133" s="10">
        <v>45877</v>
      </c>
      <c r="L133" s="10">
        <v>45881</v>
      </c>
      <c r="M133" s="9" t="s">
        <v>53</v>
      </c>
      <c r="N133" s="9" t="s">
        <v>94</v>
      </c>
      <c r="O133" s="63" t="s">
        <v>1320</v>
      </c>
      <c r="P133" s="32">
        <f t="shared" si="5"/>
        <v>4</v>
      </c>
      <c r="Q133" s="11">
        <v>3259.6516129032257</v>
      </c>
      <c r="R133" s="11">
        <v>13500</v>
      </c>
      <c r="S133" s="11">
        <f t="shared" si="6"/>
        <v>10240.348387096774</v>
      </c>
    </row>
    <row r="134" spans="1:19">
      <c r="A134" s="5">
        <v>133</v>
      </c>
      <c r="B134" s="5">
        <v>2508082923</v>
      </c>
      <c r="C134" s="5" t="s">
        <v>1321</v>
      </c>
      <c r="D134" s="5" t="s">
        <v>405</v>
      </c>
      <c r="E134" s="5" t="s">
        <v>1276</v>
      </c>
      <c r="F134" s="5" t="s">
        <v>202</v>
      </c>
      <c r="G134" s="5" t="s">
        <v>52</v>
      </c>
      <c r="H134" s="5" t="s">
        <v>1288</v>
      </c>
      <c r="I134" s="5">
        <v>202500903</v>
      </c>
      <c r="J134" s="5"/>
      <c r="K134" s="6">
        <v>45877</v>
      </c>
      <c r="L134" s="6">
        <v>45881</v>
      </c>
      <c r="M134" s="5" t="s">
        <v>53</v>
      </c>
      <c r="N134" s="5" t="s">
        <v>54</v>
      </c>
      <c r="O134" s="5" t="s">
        <v>41</v>
      </c>
      <c r="P134" s="30">
        <f t="shared" si="5"/>
        <v>4</v>
      </c>
      <c r="Q134" s="41">
        <v>3259.6516129032257</v>
      </c>
      <c r="R134" s="41">
        <v>6450</v>
      </c>
      <c r="S134" s="41">
        <f t="shared" si="6"/>
        <v>3190.3483870967743</v>
      </c>
    </row>
    <row r="135" spans="1:19">
      <c r="A135" s="5">
        <v>134</v>
      </c>
      <c r="B135" s="5">
        <v>2508082931</v>
      </c>
      <c r="C135" s="5" t="s">
        <v>1322</v>
      </c>
      <c r="D135" s="5" t="s">
        <v>405</v>
      </c>
      <c r="E135" s="5" t="s">
        <v>459</v>
      </c>
      <c r="F135" s="5" t="s">
        <v>202</v>
      </c>
      <c r="G135" s="5" t="s">
        <v>52</v>
      </c>
      <c r="H135" s="5" t="s">
        <v>1288</v>
      </c>
      <c r="I135" s="5">
        <v>202500904</v>
      </c>
      <c r="J135" s="5"/>
      <c r="K135" s="6">
        <v>45877</v>
      </c>
      <c r="L135" s="6">
        <v>45881</v>
      </c>
      <c r="M135" s="5" t="s">
        <v>53</v>
      </c>
      <c r="N135" s="5" t="s">
        <v>54</v>
      </c>
      <c r="O135" s="5" t="s">
        <v>41</v>
      </c>
      <c r="P135" s="30">
        <f t="shared" si="5"/>
        <v>4</v>
      </c>
      <c r="Q135" s="41">
        <v>3259.6516129032257</v>
      </c>
      <c r="R135" s="41">
        <v>6450</v>
      </c>
      <c r="S135" s="41">
        <f t="shared" si="6"/>
        <v>3190.3483870967743</v>
      </c>
    </row>
    <row r="136" spans="1:19">
      <c r="A136" s="5">
        <v>135</v>
      </c>
      <c r="B136" s="5">
        <v>2508082948</v>
      </c>
      <c r="C136" s="5" t="s">
        <v>1323</v>
      </c>
      <c r="D136" s="5" t="s">
        <v>405</v>
      </c>
      <c r="E136" s="5" t="s">
        <v>1276</v>
      </c>
      <c r="F136" s="5" t="s">
        <v>202</v>
      </c>
      <c r="G136" s="5" t="s">
        <v>52</v>
      </c>
      <c r="H136" s="5" t="s">
        <v>1288</v>
      </c>
      <c r="I136" s="5">
        <v>202500905</v>
      </c>
      <c r="J136" s="5"/>
      <c r="K136" s="6">
        <v>45877</v>
      </c>
      <c r="L136" s="6">
        <v>45881</v>
      </c>
      <c r="M136" s="5" t="s">
        <v>53</v>
      </c>
      <c r="N136" s="5" t="s">
        <v>54</v>
      </c>
      <c r="O136" s="5" t="s">
        <v>41</v>
      </c>
      <c r="P136" s="30">
        <f t="shared" si="5"/>
        <v>4</v>
      </c>
      <c r="Q136" s="41">
        <v>3259.6516129032257</v>
      </c>
      <c r="R136" s="41">
        <v>6450</v>
      </c>
      <c r="S136" s="41">
        <f t="shared" si="6"/>
        <v>3190.3483870967743</v>
      </c>
    </row>
    <row r="137" spans="1:19">
      <c r="A137" s="5">
        <v>136</v>
      </c>
      <c r="B137" s="5" t="s">
        <v>1239</v>
      </c>
      <c r="C137" s="5"/>
      <c r="D137" s="5"/>
      <c r="E137" s="5"/>
      <c r="F137" s="5"/>
      <c r="G137" s="5" t="s">
        <v>52</v>
      </c>
      <c r="H137" s="5" t="s">
        <v>1288</v>
      </c>
      <c r="I137" s="5"/>
      <c r="J137" s="5"/>
      <c r="K137" s="6"/>
      <c r="L137" s="5"/>
      <c r="M137" s="5"/>
      <c r="N137" s="5"/>
      <c r="O137" s="5"/>
      <c r="P137" s="5"/>
      <c r="Q137" s="41">
        <v>3259.6516129032257</v>
      </c>
      <c r="R137" s="41">
        <v>0</v>
      </c>
      <c r="S137" s="41">
        <f t="shared" si="6"/>
        <v>-3259.6516129032257</v>
      </c>
    </row>
    <row r="138" spans="1:19">
      <c r="A138" s="5">
        <v>137</v>
      </c>
      <c r="B138" s="5" t="s">
        <v>1240</v>
      </c>
      <c r="C138" s="5"/>
      <c r="D138" s="5"/>
      <c r="E138" s="5"/>
      <c r="F138" s="5"/>
      <c r="G138" s="5" t="s">
        <v>52</v>
      </c>
      <c r="H138" s="5" t="s">
        <v>1288</v>
      </c>
      <c r="I138" s="5"/>
      <c r="J138" s="5"/>
      <c r="K138" s="6"/>
      <c r="L138" s="5"/>
      <c r="M138" s="5"/>
      <c r="N138" s="5"/>
      <c r="O138" s="5"/>
      <c r="P138" s="5"/>
      <c r="Q138" s="41">
        <v>3259.6516129032257</v>
      </c>
      <c r="R138" s="41">
        <v>0</v>
      </c>
      <c r="S138" s="41">
        <f t="shared" si="6"/>
        <v>-3259.6516129032257</v>
      </c>
    </row>
    <row r="139" spans="1:19">
      <c r="A139" s="5">
        <v>138</v>
      </c>
      <c r="B139" s="22">
        <v>2508081308</v>
      </c>
      <c r="C139" s="22" t="s">
        <v>1319</v>
      </c>
      <c r="D139" s="22" t="s">
        <v>40</v>
      </c>
      <c r="E139" s="22" t="s">
        <v>41</v>
      </c>
      <c r="F139" s="22" t="s">
        <v>42</v>
      </c>
      <c r="G139" s="22" t="s">
        <v>190</v>
      </c>
      <c r="H139" s="22" t="s">
        <v>1325</v>
      </c>
      <c r="I139" s="22" t="s">
        <v>1326</v>
      </c>
      <c r="J139" s="22"/>
      <c r="K139" s="23">
        <v>45877</v>
      </c>
      <c r="L139" s="23">
        <v>45883</v>
      </c>
      <c r="M139" s="22" t="s">
        <v>53</v>
      </c>
      <c r="N139" s="22" t="s">
        <v>54</v>
      </c>
      <c r="O139" s="22" t="s">
        <v>41</v>
      </c>
      <c r="P139" s="34">
        <f t="shared" ref="P139:P166" si="7">L139-K139</f>
        <v>6</v>
      </c>
      <c r="Q139" s="24">
        <v>3354.64</v>
      </c>
      <c r="R139" s="24">
        <v>0</v>
      </c>
      <c r="S139" s="24">
        <f t="shared" si="6"/>
        <v>-3354.64</v>
      </c>
    </row>
    <row r="140" spans="1:19">
      <c r="A140" s="5">
        <v>139</v>
      </c>
      <c r="B140" s="9">
        <v>2508082937</v>
      </c>
      <c r="C140" s="9" t="s">
        <v>1327</v>
      </c>
      <c r="D140" s="9" t="s">
        <v>83</v>
      </c>
      <c r="E140" s="9" t="s">
        <v>84</v>
      </c>
      <c r="F140" s="9" t="s">
        <v>62</v>
      </c>
      <c r="G140" s="9" t="s">
        <v>43</v>
      </c>
      <c r="H140" s="9" t="s">
        <v>1325</v>
      </c>
      <c r="I140" s="9">
        <v>202500906</v>
      </c>
      <c r="J140" s="9"/>
      <c r="K140" s="10">
        <v>45877</v>
      </c>
      <c r="L140" s="10">
        <v>45883</v>
      </c>
      <c r="M140" s="9" t="s">
        <v>53</v>
      </c>
      <c r="N140" s="9" t="s">
        <v>94</v>
      </c>
      <c r="O140" s="63" t="s">
        <v>1328</v>
      </c>
      <c r="P140" s="9">
        <f t="shared" si="7"/>
        <v>6</v>
      </c>
      <c r="Q140" s="11">
        <v>3354.64</v>
      </c>
      <c r="R140" s="11">
        <v>9000</v>
      </c>
      <c r="S140" s="11">
        <f t="shared" si="6"/>
        <v>5645.3600000000006</v>
      </c>
    </row>
    <row r="141" spans="1:19">
      <c r="A141" s="5">
        <v>140</v>
      </c>
      <c r="B141" s="5">
        <v>2508082958</v>
      </c>
      <c r="C141" s="5" t="s">
        <v>1329</v>
      </c>
      <c r="D141" s="5" t="s">
        <v>955</v>
      </c>
      <c r="E141" s="5" t="s">
        <v>1195</v>
      </c>
      <c r="F141" s="5" t="s">
        <v>202</v>
      </c>
      <c r="G141" s="5" t="s">
        <v>52</v>
      </c>
      <c r="H141" s="5" t="s">
        <v>1325</v>
      </c>
      <c r="I141" s="5">
        <v>202500907</v>
      </c>
      <c r="J141" s="5"/>
      <c r="K141" s="6">
        <v>45877</v>
      </c>
      <c r="L141" s="6">
        <v>45883</v>
      </c>
      <c r="M141" s="5" t="s">
        <v>53</v>
      </c>
      <c r="N141" s="5" t="s">
        <v>54</v>
      </c>
      <c r="O141" s="5" t="s">
        <v>41</v>
      </c>
      <c r="P141" s="30">
        <f t="shared" si="7"/>
        <v>6</v>
      </c>
      <c r="Q141" s="41">
        <v>3354.64</v>
      </c>
      <c r="R141" s="41">
        <v>7000</v>
      </c>
      <c r="S141" s="41">
        <f t="shared" si="6"/>
        <v>3645.36</v>
      </c>
    </row>
    <row r="142" spans="1:19">
      <c r="A142" s="5">
        <v>141</v>
      </c>
      <c r="B142" s="5">
        <v>2508082968</v>
      </c>
      <c r="C142" s="5" t="s">
        <v>1330</v>
      </c>
      <c r="D142" s="5" t="s">
        <v>153</v>
      </c>
      <c r="E142" s="5" t="s">
        <v>154</v>
      </c>
      <c r="F142" s="5" t="s">
        <v>141</v>
      </c>
      <c r="G142" s="5" t="s">
        <v>52</v>
      </c>
      <c r="H142" s="5" t="s">
        <v>1325</v>
      </c>
      <c r="I142" s="5">
        <v>202500908</v>
      </c>
      <c r="J142" s="5"/>
      <c r="K142" s="6">
        <v>45877</v>
      </c>
      <c r="L142" s="6">
        <v>45883</v>
      </c>
      <c r="M142" s="5" t="s">
        <v>53</v>
      </c>
      <c r="N142" s="5" t="s">
        <v>54</v>
      </c>
      <c r="O142" s="5" t="s">
        <v>41</v>
      </c>
      <c r="P142" s="30">
        <f t="shared" si="7"/>
        <v>6</v>
      </c>
      <c r="Q142" s="41">
        <v>3354.64</v>
      </c>
      <c r="R142" s="41">
        <v>5500</v>
      </c>
      <c r="S142" s="41">
        <f t="shared" si="6"/>
        <v>2145.36</v>
      </c>
    </row>
    <row r="143" spans="1:19">
      <c r="A143" s="5">
        <v>142</v>
      </c>
      <c r="B143" s="5">
        <v>2508091356</v>
      </c>
      <c r="C143" s="17" t="s">
        <v>1331</v>
      </c>
      <c r="D143" s="17" t="s">
        <v>376</v>
      </c>
      <c r="E143" s="17" t="s">
        <v>335</v>
      </c>
      <c r="F143" s="17" t="s">
        <v>71</v>
      </c>
      <c r="G143" s="17" t="s">
        <v>52</v>
      </c>
      <c r="H143" s="17" t="s">
        <v>1325</v>
      </c>
      <c r="I143" s="17">
        <v>202500909</v>
      </c>
      <c r="J143" s="17"/>
      <c r="K143" s="18">
        <v>45878</v>
      </c>
      <c r="L143" s="18">
        <v>45883</v>
      </c>
      <c r="M143" s="17" t="s">
        <v>53</v>
      </c>
      <c r="N143" s="17" t="s">
        <v>480</v>
      </c>
      <c r="O143" s="17" t="s">
        <v>1332</v>
      </c>
      <c r="P143" s="31">
        <f t="shared" si="7"/>
        <v>5</v>
      </c>
      <c r="Q143" s="19">
        <v>3354.64</v>
      </c>
      <c r="R143" s="19">
        <v>5950</v>
      </c>
      <c r="S143" s="19">
        <f t="shared" si="6"/>
        <v>2595.36</v>
      </c>
    </row>
    <row r="144" spans="1:19">
      <c r="A144" s="5">
        <v>143</v>
      </c>
      <c r="B144" s="5">
        <v>2508091370</v>
      </c>
      <c r="C144" s="5" t="s">
        <v>1333</v>
      </c>
      <c r="D144" s="5" t="s">
        <v>631</v>
      </c>
      <c r="E144" s="5" t="s">
        <v>1083</v>
      </c>
      <c r="F144" s="5" t="s">
        <v>87</v>
      </c>
      <c r="G144" s="5" t="s">
        <v>52</v>
      </c>
      <c r="H144" s="5" t="s">
        <v>1325</v>
      </c>
      <c r="I144" s="5">
        <v>202500910</v>
      </c>
      <c r="J144" s="5"/>
      <c r="K144" s="6">
        <v>45878</v>
      </c>
      <c r="L144" s="6">
        <v>45883</v>
      </c>
      <c r="M144" s="5" t="s">
        <v>53</v>
      </c>
      <c r="N144" s="5" t="s">
        <v>54</v>
      </c>
      <c r="O144" s="5" t="s">
        <v>41</v>
      </c>
      <c r="P144" s="30">
        <f t="shared" si="7"/>
        <v>5</v>
      </c>
      <c r="Q144" s="41">
        <v>3354.64</v>
      </c>
      <c r="R144" s="41">
        <v>8000</v>
      </c>
      <c r="S144" s="41">
        <f t="shared" si="6"/>
        <v>4645.3600000000006</v>
      </c>
    </row>
    <row r="145" spans="1:19">
      <c r="A145" s="5">
        <v>144</v>
      </c>
      <c r="B145" s="5">
        <v>2508090033</v>
      </c>
      <c r="C145" s="5" t="s">
        <v>1334</v>
      </c>
      <c r="D145" s="5" t="s">
        <v>40</v>
      </c>
      <c r="E145" s="5" t="s">
        <v>41</v>
      </c>
      <c r="F145" s="5" t="s">
        <v>42</v>
      </c>
      <c r="G145" s="5" t="s">
        <v>75</v>
      </c>
      <c r="H145" s="5" t="s">
        <v>1325</v>
      </c>
      <c r="I145" s="5">
        <v>202500911</v>
      </c>
      <c r="J145" s="5"/>
      <c r="K145" s="6">
        <v>45878</v>
      </c>
      <c r="L145" s="6">
        <v>45883</v>
      </c>
      <c r="M145" s="5" t="s">
        <v>53</v>
      </c>
      <c r="N145" s="5" t="s">
        <v>54</v>
      </c>
      <c r="O145" s="5" t="s">
        <v>41</v>
      </c>
      <c r="P145" s="30">
        <f t="shared" si="7"/>
        <v>5</v>
      </c>
      <c r="Q145" s="41">
        <v>3354.64</v>
      </c>
      <c r="R145" s="41">
        <v>6500</v>
      </c>
      <c r="S145" s="41">
        <f t="shared" si="6"/>
        <v>3145.36</v>
      </c>
    </row>
    <row r="146" spans="1:19">
      <c r="A146" s="5">
        <v>145</v>
      </c>
      <c r="B146" s="5">
        <v>2508091381</v>
      </c>
      <c r="C146" s="5" t="s">
        <v>1335</v>
      </c>
      <c r="D146" s="5" t="s">
        <v>810</v>
      </c>
      <c r="E146" s="5" t="s">
        <v>1336</v>
      </c>
      <c r="F146" s="5" t="s">
        <v>457</v>
      </c>
      <c r="G146" s="5" t="s">
        <v>52</v>
      </c>
      <c r="H146" s="5" t="s">
        <v>1325</v>
      </c>
      <c r="I146" s="5">
        <v>202500912</v>
      </c>
      <c r="J146" s="5"/>
      <c r="K146" s="6">
        <v>45878</v>
      </c>
      <c r="L146" s="6">
        <v>45883</v>
      </c>
      <c r="M146" s="5" t="s">
        <v>53</v>
      </c>
      <c r="N146" s="5" t="s">
        <v>54</v>
      </c>
      <c r="O146" s="5" t="s">
        <v>41</v>
      </c>
      <c r="P146" s="30">
        <f t="shared" si="7"/>
        <v>5</v>
      </c>
      <c r="Q146" s="41">
        <v>3354.64</v>
      </c>
      <c r="R146" s="41">
        <v>5200</v>
      </c>
      <c r="S146" s="41">
        <f t="shared" si="6"/>
        <v>1845.3600000000001</v>
      </c>
    </row>
    <row r="147" spans="1:19">
      <c r="A147" s="5">
        <v>146</v>
      </c>
      <c r="B147" s="5">
        <v>2508091388</v>
      </c>
      <c r="C147" s="5" t="s">
        <v>1337</v>
      </c>
      <c r="D147" s="5" t="s">
        <v>810</v>
      </c>
      <c r="E147" s="5" t="s">
        <v>851</v>
      </c>
      <c r="F147" s="5" t="s">
        <v>457</v>
      </c>
      <c r="G147" s="5" t="s">
        <v>52</v>
      </c>
      <c r="H147" s="5" t="s">
        <v>1325</v>
      </c>
      <c r="I147" s="5">
        <v>202500913</v>
      </c>
      <c r="J147" s="5"/>
      <c r="K147" s="6">
        <v>45878</v>
      </c>
      <c r="L147" s="6">
        <v>45883</v>
      </c>
      <c r="M147" s="5" t="s">
        <v>53</v>
      </c>
      <c r="N147" s="5" t="s">
        <v>54</v>
      </c>
      <c r="O147" s="5" t="s">
        <v>41</v>
      </c>
      <c r="P147" s="30">
        <f t="shared" si="7"/>
        <v>5</v>
      </c>
      <c r="Q147" s="41">
        <v>3354.64</v>
      </c>
      <c r="R147" s="41">
        <v>5200</v>
      </c>
      <c r="S147" s="41">
        <f t="shared" si="6"/>
        <v>1845.3600000000001</v>
      </c>
    </row>
    <row r="148" spans="1:19">
      <c r="A148" s="5">
        <v>147</v>
      </c>
      <c r="B148" s="5">
        <v>2508092510</v>
      </c>
      <c r="C148" s="5" t="s">
        <v>1338</v>
      </c>
      <c r="D148" s="5" t="s">
        <v>83</v>
      </c>
      <c r="E148" s="5" t="s">
        <v>84</v>
      </c>
      <c r="F148" s="5" t="s">
        <v>62</v>
      </c>
      <c r="G148" s="5" t="s">
        <v>52</v>
      </c>
      <c r="H148" s="5" t="s">
        <v>1325</v>
      </c>
      <c r="I148" s="5">
        <v>202500914</v>
      </c>
      <c r="J148" s="5"/>
      <c r="K148" s="6">
        <v>45878</v>
      </c>
      <c r="L148" s="6">
        <v>45883</v>
      </c>
      <c r="M148" s="5" t="s">
        <v>53</v>
      </c>
      <c r="N148" s="5" t="s">
        <v>54</v>
      </c>
      <c r="O148" s="5" t="s">
        <v>41</v>
      </c>
      <c r="P148" s="30">
        <f t="shared" si="7"/>
        <v>5</v>
      </c>
      <c r="Q148" s="41">
        <v>3354.64</v>
      </c>
      <c r="R148" s="41">
        <v>6000</v>
      </c>
      <c r="S148" s="41">
        <f t="shared" si="6"/>
        <v>2645.36</v>
      </c>
    </row>
    <row r="149" spans="1:19">
      <c r="A149" s="5">
        <v>148</v>
      </c>
      <c r="B149" s="5">
        <v>2508092517</v>
      </c>
      <c r="C149" s="5" t="s">
        <v>1339</v>
      </c>
      <c r="D149" s="5" t="s">
        <v>60</v>
      </c>
      <c r="E149" s="5" t="s">
        <v>61</v>
      </c>
      <c r="F149" s="5" t="s">
        <v>62</v>
      </c>
      <c r="G149" s="5" t="s">
        <v>52</v>
      </c>
      <c r="H149" s="5" t="s">
        <v>1325</v>
      </c>
      <c r="I149" s="5">
        <v>202500915</v>
      </c>
      <c r="J149" s="5"/>
      <c r="K149" s="6">
        <v>45878</v>
      </c>
      <c r="L149" s="6">
        <v>45883</v>
      </c>
      <c r="M149" s="5" t="s">
        <v>53</v>
      </c>
      <c r="N149" s="5" t="s">
        <v>54</v>
      </c>
      <c r="O149" s="5" t="s">
        <v>41</v>
      </c>
      <c r="P149" s="30">
        <f t="shared" si="7"/>
        <v>5</v>
      </c>
      <c r="Q149" s="41">
        <v>3354.64</v>
      </c>
      <c r="R149" s="41">
        <v>6000</v>
      </c>
      <c r="S149" s="41">
        <f t="shared" si="6"/>
        <v>2645.36</v>
      </c>
    </row>
    <row r="150" spans="1:19">
      <c r="A150" s="5">
        <v>149</v>
      </c>
      <c r="B150" s="5">
        <v>2508092518</v>
      </c>
      <c r="C150" s="5" t="s">
        <v>1340</v>
      </c>
      <c r="D150" s="5" t="s">
        <v>804</v>
      </c>
      <c r="E150" s="5" t="s">
        <v>805</v>
      </c>
      <c r="F150" s="5" t="s">
        <v>457</v>
      </c>
      <c r="G150" s="5" t="s">
        <v>52</v>
      </c>
      <c r="H150" s="5" t="s">
        <v>1325</v>
      </c>
      <c r="I150" s="5">
        <v>202500916</v>
      </c>
      <c r="J150" s="5"/>
      <c r="K150" s="6">
        <v>45878</v>
      </c>
      <c r="L150" s="6">
        <v>45883</v>
      </c>
      <c r="M150" s="5" t="s">
        <v>53</v>
      </c>
      <c r="N150" s="5" t="s">
        <v>54</v>
      </c>
      <c r="O150" s="5" t="s">
        <v>41</v>
      </c>
      <c r="P150" s="30">
        <f t="shared" si="7"/>
        <v>5</v>
      </c>
      <c r="Q150" s="41">
        <v>3354.64</v>
      </c>
      <c r="R150" s="41">
        <v>5000</v>
      </c>
      <c r="S150" s="41">
        <f t="shared" si="6"/>
        <v>1645.3600000000001</v>
      </c>
    </row>
    <row r="151" spans="1:19">
      <c r="A151" s="5">
        <v>150</v>
      </c>
      <c r="B151" s="5">
        <v>2508092519</v>
      </c>
      <c r="C151" s="5" t="s">
        <v>1341</v>
      </c>
      <c r="D151" s="5" t="s">
        <v>345</v>
      </c>
      <c r="E151" s="5" t="s">
        <v>346</v>
      </c>
      <c r="F151" s="5" t="s">
        <v>66</v>
      </c>
      <c r="G151" s="5" t="s">
        <v>52</v>
      </c>
      <c r="H151" s="5" t="s">
        <v>1325</v>
      </c>
      <c r="I151" s="5">
        <v>202500917</v>
      </c>
      <c r="J151" s="5"/>
      <c r="K151" s="6">
        <v>45878</v>
      </c>
      <c r="L151" s="6">
        <v>45883</v>
      </c>
      <c r="M151" s="5" t="s">
        <v>53</v>
      </c>
      <c r="N151" s="5" t="s">
        <v>54</v>
      </c>
      <c r="O151" s="5" t="s">
        <v>41</v>
      </c>
      <c r="P151" s="30">
        <f t="shared" si="7"/>
        <v>5</v>
      </c>
      <c r="Q151" s="41">
        <v>3354.64</v>
      </c>
      <c r="R151" s="41">
        <v>6000</v>
      </c>
      <c r="S151" s="41">
        <f t="shared" si="6"/>
        <v>2645.36</v>
      </c>
    </row>
    <row r="152" spans="1:19">
      <c r="A152" s="5">
        <v>151</v>
      </c>
      <c r="B152" s="5">
        <v>2508100672</v>
      </c>
      <c r="C152" s="5" t="s">
        <v>1342</v>
      </c>
      <c r="D152" s="5" t="s">
        <v>397</v>
      </c>
      <c r="E152" s="5" t="s">
        <v>1343</v>
      </c>
      <c r="F152" s="5" t="s">
        <v>79</v>
      </c>
      <c r="G152" s="5" t="s">
        <v>75</v>
      </c>
      <c r="H152" s="5" t="s">
        <v>1325</v>
      </c>
      <c r="I152" s="5">
        <v>202500918</v>
      </c>
      <c r="J152" s="5"/>
      <c r="K152" s="6">
        <v>45879</v>
      </c>
      <c r="L152" s="6">
        <v>45883</v>
      </c>
      <c r="M152" s="5" t="s">
        <v>53</v>
      </c>
      <c r="N152" s="5" t="s">
        <v>54</v>
      </c>
      <c r="O152" s="5" t="s">
        <v>41</v>
      </c>
      <c r="P152" s="30">
        <f t="shared" si="7"/>
        <v>4</v>
      </c>
      <c r="Q152" s="41">
        <v>3354.64</v>
      </c>
      <c r="R152" s="41">
        <v>4900</v>
      </c>
      <c r="S152" s="41">
        <f t="shared" si="6"/>
        <v>1545.3600000000001</v>
      </c>
    </row>
    <row r="153" spans="1:19">
      <c r="A153" s="5">
        <v>152</v>
      </c>
      <c r="B153" s="5">
        <v>2508100676</v>
      </c>
      <c r="C153" s="5" t="s">
        <v>1344</v>
      </c>
      <c r="D153" s="5" t="s">
        <v>1345</v>
      </c>
      <c r="E153" s="5" t="s">
        <v>41</v>
      </c>
      <c r="F153" s="5" t="s">
        <v>51</v>
      </c>
      <c r="G153" s="5" t="s">
        <v>75</v>
      </c>
      <c r="H153" s="5" t="s">
        <v>1325</v>
      </c>
      <c r="I153" s="5">
        <v>202500919</v>
      </c>
      <c r="J153" s="5"/>
      <c r="K153" s="6">
        <v>45879</v>
      </c>
      <c r="L153" s="6">
        <v>45883</v>
      </c>
      <c r="M153" s="5" t="s">
        <v>53</v>
      </c>
      <c r="N153" s="5" t="s">
        <v>54</v>
      </c>
      <c r="O153" s="5" t="s">
        <v>41</v>
      </c>
      <c r="P153" s="30">
        <f t="shared" si="7"/>
        <v>4</v>
      </c>
      <c r="Q153" s="41">
        <v>3354.64</v>
      </c>
      <c r="R153" s="41">
        <v>4500</v>
      </c>
      <c r="S153" s="41">
        <f t="shared" si="6"/>
        <v>1145.3600000000001</v>
      </c>
    </row>
    <row r="154" spans="1:19">
      <c r="A154" s="5">
        <v>153</v>
      </c>
      <c r="B154" s="5">
        <v>2508100681</v>
      </c>
      <c r="C154" s="5" t="s">
        <v>1346</v>
      </c>
      <c r="D154" s="5" t="s">
        <v>293</v>
      </c>
      <c r="E154" s="5" t="s">
        <v>294</v>
      </c>
      <c r="F154" s="5" t="s">
        <v>51</v>
      </c>
      <c r="G154" s="5" t="s">
        <v>52</v>
      </c>
      <c r="H154" s="5" t="s">
        <v>1325</v>
      </c>
      <c r="I154" s="5">
        <v>202500920</v>
      </c>
      <c r="J154" s="5"/>
      <c r="K154" s="6">
        <v>45879</v>
      </c>
      <c r="L154" s="6">
        <v>45883</v>
      </c>
      <c r="M154" s="5" t="s">
        <v>53</v>
      </c>
      <c r="N154" s="5" t="s">
        <v>54</v>
      </c>
      <c r="O154" s="5" t="s">
        <v>41</v>
      </c>
      <c r="P154" s="30">
        <f t="shared" si="7"/>
        <v>4</v>
      </c>
      <c r="Q154" s="41">
        <v>3354.64</v>
      </c>
      <c r="R154" s="41">
        <v>6000</v>
      </c>
      <c r="S154" s="41">
        <f t="shared" si="6"/>
        <v>2645.36</v>
      </c>
    </row>
    <row r="155" spans="1:19">
      <c r="A155" s="5">
        <v>154</v>
      </c>
      <c r="B155" s="17">
        <v>2508100687</v>
      </c>
      <c r="C155" s="17" t="s">
        <v>294</v>
      </c>
      <c r="D155" s="17" t="s">
        <v>293</v>
      </c>
      <c r="E155" s="17" t="s">
        <v>294</v>
      </c>
      <c r="F155" s="17" t="s">
        <v>51</v>
      </c>
      <c r="G155" s="17" t="s">
        <v>43</v>
      </c>
      <c r="H155" s="17" t="s">
        <v>1325</v>
      </c>
      <c r="I155" s="17">
        <v>202500921</v>
      </c>
      <c r="J155" s="17"/>
      <c r="K155" s="18">
        <v>45879</v>
      </c>
      <c r="L155" s="18">
        <v>45883</v>
      </c>
      <c r="M155" s="17" t="s">
        <v>53</v>
      </c>
      <c r="N155" s="17" t="s">
        <v>480</v>
      </c>
      <c r="O155" s="17" t="s">
        <v>67</v>
      </c>
      <c r="P155" s="31">
        <f t="shared" si="7"/>
        <v>4</v>
      </c>
      <c r="Q155" s="19">
        <v>3354.64</v>
      </c>
      <c r="R155" s="19">
        <v>11000</v>
      </c>
      <c r="S155" s="19">
        <f t="shared" si="6"/>
        <v>7645.3600000000006</v>
      </c>
    </row>
    <row r="156" spans="1:19">
      <c r="A156" s="5">
        <v>155</v>
      </c>
      <c r="B156" s="5">
        <v>2508100690</v>
      </c>
      <c r="C156" s="5" t="s">
        <v>1347</v>
      </c>
      <c r="D156" s="5" t="s">
        <v>64</v>
      </c>
      <c r="E156" s="5" t="s">
        <v>65</v>
      </c>
      <c r="F156" s="5" t="s">
        <v>66</v>
      </c>
      <c r="G156" s="5" t="s">
        <v>75</v>
      </c>
      <c r="H156" s="5" t="s">
        <v>1325</v>
      </c>
      <c r="I156" s="5">
        <v>202500922</v>
      </c>
      <c r="J156" s="5"/>
      <c r="K156" s="6">
        <v>45879</v>
      </c>
      <c r="L156" s="6">
        <v>45883</v>
      </c>
      <c r="M156" s="5" t="s">
        <v>53</v>
      </c>
      <c r="N156" s="5" t="s">
        <v>54</v>
      </c>
      <c r="O156" s="5" t="s">
        <v>41</v>
      </c>
      <c r="P156" s="30">
        <f t="shared" si="7"/>
        <v>4</v>
      </c>
      <c r="Q156" s="41">
        <v>3354.64</v>
      </c>
      <c r="R156" s="41">
        <v>5500</v>
      </c>
      <c r="S156" s="41">
        <f t="shared" si="6"/>
        <v>2145.36</v>
      </c>
    </row>
    <row r="157" spans="1:19">
      <c r="A157" s="5">
        <v>156</v>
      </c>
      <c r="B157" s="5">
        <v>2508071209</v>
      </c>
      <c r="C157" s="5" t="s">
        <v>1348</v>
      </c>
      <c r="D157" s="5" t="s">
        <v>64</v>
      </c>
      <c r="E157" s="5" t="s">
        <v>65</v>
      </c>
      <c r="F157" s="5" t="s">
        <v>66</v>
      </c>
      <c r="G157" s="5" t="s">
        <v>52</v>
      </c>
      <c r="H157" s="5" t="s">
        <v>1325</v>
      </c>
      <c r="I157" s="5">
        <v>202500923</v>
      </c>
      <c r="J157" s="5"/>
      <c r="K157" s="6">
        <v>45879</v>
      </c>
      <c r="L157" s="6">
        <v>45883</v>
      </c>
      <c r="M157" s="5" t="s">
        <v>53</v>
      </c>
      <c r="N157" s="5" t="s">
        <v>54</v>
      </c>
      <c r="O157" s="5" t="s">
        <v>41</v>
      </c>
      <c r="P157" s="30">
        <f t="shared" si="7"/>
        <v>4</v>
      </c>
      <c r="Q157" s="41">
        <v>3354.64</v>
      </c>
      <c r="R157" s="41">
        <v>5500</v>
      </c>
      <c r="S157" s="41">
        <f t="shared" si="6"/>
        <v>2145.36</v>
      </c>
    </row>
    <row r="158" spans="1:19">
      <c r="A158" s="5">
        <v>157</v>
      </c>
      <c r="B158" s="5">
        <v>2508100693</v>
      </c>
      <c r="C158" s="5" t="s">
        <v>1349</v>
      </c>
      <c r="D158" s="5" t="s">
        <v>528</v>
      </c>
      <c r="E158" s="5" t="s">
        <v>529</v>
      </c>
      <c r="F158" s="5" t="s">
        <v>202</v>
      </c>
      <c r="G158" s="5" t="s">
        <v>75</v>
      </c>
      <c r="H158" s="5" t="s">
        <v>1325</v>
      </c>
      <c r="I158" s="5">
        <v>202500924</v>
      </c>
      <c r="J158" s="5"/>
      <c r="K158" s="6">
        <v>45879</v>
      </c>
      <c r="L158" s="6">
        <v>45883</v>
      </c>
      <c r="M158" s="5" t="s">
        <v>53</v>
      </c>
      <c r="N158" s="5" t="s">
        <v>54</v>
      </c>
      <c r="O158" s="5" t="s">
        <v>41</v>
      </c>
      <c r="P158" s="30">
        <f t="shared" si="7"/>
        <v>4</v>
      </c>
      <c r="Q158" s="41">
        <v>3354.64</v>
      </c>
      <c r="R158" s="41">
        <v>7500</v>
      </c>
      <c r="S158" s="41">
        <f t="shared" si="6"/>
        <v>4145.3600000000006</v>
      </c>
    </row>
    <row r="159" spans="1:19">
      <c r="A159" s="5">
        <v>158</v>
      </c>
      <c r="B159" s="5">
        <v>2508100696</v>
      </c>
      <c r="C159" s="5" t="s">
        <v>1350</v>
      </c>
      <c r="D159" s="5" t="s">
        <v>103</v>
      </c>
      <c r="E159" s="5" t="s">
        <v>104</v>
      </c>
      <c r="F159" s="5" t="s">
        <v>51</v>
      </c>
      <c r="G159" s="5" t="s">
        <v>75</v>
      </c>
      <c r="H159" s="5" t="s">
        <v>1325</v>
      </c>
      <c r="I159" s="5">
        <v>202500925</v>
      </c>
      <c r="J159" s="5"/>
      <c r="K159" s="6">
        <v>45879</v>
      </c>
      <c r="L159" s="6">
        <v>45883</v>
      </c>
      <c r="M159" s="5" t="s">
        <v>53</v>
      </c>
      <c r="N159" s="5" t="s">
        <v>54</v>
      </c>
      <c r="O159" s="5" t="s">
        <v>41</v>
      </c>
      <c r="P159" s="30">
        <f t="shared" si="7"/>
        <v>4</v>
      </c>
      <c r="Q159" s="41">
        <v>3354.64</v>
      </c>
      <c r="R159" s="41">
        <v>8000</v>
      </c>
      <c r="S159" s="41">
        <f t="shared" si="6"/>
        <v>4645.3600000000006</v>
      </c>
    </row>
    <row r="160" spans="1:19">
      <c r="A160" s="5">
        <v>159</v>
      </c>
      <c r="B160" s="5">
        <v>2508100699</v>
      </c>
      <c r="C160" s="5" t="s">
        <v>1351</v>
      </c>
      <c r="D160" s="5" t="s">
        <v>309</v>
      </c>
      <c r="E160" s="5" t="s">
        <v>310</v>
      </c>
      <c r="F160" s="5" t="s">
        <v>51</v>
      </c>
      <c r="G160" s="5" t="s">
        <v>75</v>
      </c>
      <c r="H160" s="5" t="s">
        <v>1325</v>
      </c>
      <c r="I160" s="5">
        <v>202500926</v>
      </c>
      <c r="J160" s="5"/>
      <c r="K160" s="6">
        <v>45879</v>
      </c>
      <c r="L160" s="6">
        <v>45883</v>
      </c>
      <c r="M160" s="5" t="s">
        <v>53</v>
      </c>
      <c r="N160" s="5" t="s">
        <v>54</v>
      </c>
      <c r="O160" s="5" t="s">
        <v>41</v>
      </c>
      <c r="P160" s="30">
        <f t="shared" si="7"/>
        <v>4</v>
      </c>
      <c r="Q160" s="41">
        <v>3354.64</v>
      </c>
      <c r="R160" s="41">
        <v>5500</v>
      </c>
      <c r="S160" s="41">
        <f t="shared" si="6"/>
        <v>2145.36</v>
      </c>
    </row>
    <row r="161" spans="1:19">
      <c r="A161" s="5">
        <v>160</v>
      </c>
      <c r="B161" s="5">
        <v>2508100640</v>
      </c>
      <c r="C161" s="5" t="s">
        <v>1352</v>
      </c>
      <c r="D161" s="5" t="s">
        <v>40</v>
      </c>
      <c r="E161" s="5" t="s">
        <v>41</v>
      </c>
      <c r="F161" s="5" t="s">
        <v>42</v>
      </c>
      <c r="G161" s="5" t="s">
        <v>75</v>
      </c>
      <c r="H161" s="5" t="s">
        <v>1325</v>
      </c>
      <c r="I161" s="5">
        <v>202500927</v>
      </c>
      <c r="J161" s="5"/>
      <c r="K161" s="6">
        <v>45879</v>
      </c>
      <c r="L161" s="6">
        <v>45883</v>
      </c>
      <c r="M161" s="5" t="s">
        <v>53</v>
      </c>
      <c r="N161" s="5" t="s">
        <v>54</v>
      </c>
      <c r="O161" s="5" t="s">
        <v>41</v>
      </c>
      <c r="P161" s="30">
        <f t="shared" si="7"/>
        <v>4</v>
      </c>
      <c r="Q161" s="41">
        <v>3354.64</v>
      </c>
      <c r="R161" s="41">
        <v>6500</v>
      </c>
      <c r="S161" s="41">
        <f t="shared" si="6"/>
        <v>3145.36</v>
      </c>
    </row>
    <row r="162" spans="1:19">
      <c r="A162" s="5">
        <v>161</v>
      </c>
      <c r="B162" s="5">
        <v>2508100639</v>
      </c>
      <c r="C162" s="5" t="s">
        <v>1353</v>
      </c>
      <c r="D162" s="5" t="s">
        <v>40</v>
      </c>
      <c r="E162" s="5" t="s">
        <v>41</v>
      </c>
      <c r="F162" s="5" t="s">
        <v>42</v>
      </c>
      <c r="G162" s="5" t="s">
        <v>75</v>
      </c>
      <c r="H162" s="5" t="s">
        <v>1325</v>
      </c>
      <c r="I162" s="5">
        <v>202500928</v>
      </c>
      <c r="J162" s="5"/>
      <c r="K162" s="6">
        <v>45879</v>
      </c>
      <c r="L162" s="6">
        <v>45883</v>
      </c>
      <c r="M162" s="5" t="s">
        <v>53</v>
      </c>
      <c r="N162" s="5" t="s">
        <v>54</v>
      </c>
      <c r="O162" s="5" t="s">
        <v>41</v>
      </c>
      <c r="P162" s="30">
        <f t="shared" si="7"/>
        <v>4</v>
      </c>
      <c r="Q162" s="41">
        <v>3354.64</v>
      </c>
      <c r="R162" s="41">
        <v>6500</v>
      </c>
      <c r="S162" s="41">
        <f t="shared" si="6"/>
        <v>3145.36</v>
      </c>
    </row>
    <row r="163" spans="1:19">
      <c r="A163" s="5">
        <v>162</v>
      </c>
      <c r="B163" s="5">
        <v>2508101391</v>
      </c>
      <c r="C163" s="5" t="s">
        <v>1354</v>
      </c>
      <c r="D163" s="5" t="s">
        <v>77</v>
      </c>
      <c r="E163" s="5" t="s">
        <v>78</v>
      </c>
      <c r="F163" s="5" t="s">
        <v>79</v>
      </c>
      <c r="G163" s="5" t="s">
        <v>43</v>
      </c>
      <c r="H163" s="5" t="s">
        <v>1325</v>
      </c>
      <c r="I163" s="5">
        <v>202500929</v>
      </c>
      <c r="J163" s="5"/>
      <c r="K163" s="6">
        <v>45879</v>
      </c>
      <c r="L163" s="6">
        <v>45883</v>
      </c>
      <c r="M163" s="5" t="s">
        <v>53</v>
      </c>
      <c r="N163" s="5" t="s">
        <v>54</v>
      </c>
      <c r="O163" s="5" t="s">
        <v>41</v>
      </c>
      <c r="P163" s="30">
        <f t="shared" si="7"/>
        <v>4</v>
      </c>
      <c r="Q163" s="41">
        <v>3354.64</v>
      </c>
      <c r="R163" s="41">
        <v>8500</v>
      </c>
      <c r="S163" s="41">
        <f t="shared" si="6"/>
        <v>5145.3600000000006</v>
      </c>
    </row>
    <row r="164" spans="1:19">
      <c r="A164" s="5">
        <v>163</v>
      </c>
      <c r="B164" s="9">
        <v>2508101396</v>
      </c>
      <c r="C164" s="9" t="s">
        <v>1355</v>
      </c>
      <c r="D164" s="9" t="s">
        <v>528</v>
      </c>
      <c r="E164" s="9" t="s">
        <v>529</v>
      </c>
      <c r="F164" s="9" t="s">
        <v>202</v>
      </c>
      <c r="G164" s="9" t="s">
        <v>52</v>
      </c>
      <c r="H164" s="9" t="s">
        <v>1325</v>
      </c>
      <c r="I164" s="9">
        <v>202500930</v>
      </c>
      <c r="J164" s="9"/>
      <c r="K164" s="10">
        <v>45879</v>
      </c>
      <c r="L164" s="10">
        <v>45883</v>
      </c>
      <c r="M164" s="9" t="s">
        <v>53</v>
      </c>
      <c r="N164" s="9" t="s">
        <v>94</v>
      </c>
      <c r="O164" s="9" t="s">
        <v>1356</v>
      </c>
      <c r="P164" s="32">
        <f t="shared" si="7"/>
        <v>4</v>
      </c>
      <c r="Q164" s="11">
        <v>3354.64</v>
      </c>
      <c r="R164" s="11">
        <v>7500</v>
      </c>
      <c r="S164" s="11">
        <f t="shared" si="6"/>
        <v>4145.3600000000006</v>
      </c>
    </row>
    <row r="165" spans="1:19">
      <c r="A165" s="5">
        <v>164</v>
      </c>
      <c r="B165" s="5">
        <v>2508101401</v>
      </c>
      <c r="C165" s="5" t="s">
        <v>1357</v>
      </c>
      <c r="D165" s="5" t="s">
        <v>528</v>
      </c>
      <c r="E165" s="5" t="s">
        <v>529</v>
      </c>
      <c r="F165" s="5" t="s">
        <v>202</v>
      </c>
      <c r="G165" s="5" t="s">
        <v>52</v>
      </c>
      <c r="H165" s="5" t="s">
        <v>1325</v>
      </c>
      <c r="I165" s="5">
        <v>202500931</v>
      </c>
      <c r="J165" s="5"/>
      <c r="K165" s="6">
        <v>45879</v>
      </c>
      <c r="L165" s="6">
        <v>45883</v>
      </c>
      <c r="M165" s="5" t="s">
        <v>53</v>
      </c>
      <c r="N165" s="5" t="s">
        <v>54</v>
      </c>
      <c r="O165" s="5" t="s">
        <v>41</v>
      </c>
      <c r="P165" s="30">
        <f t="shared" si="7"/>
        <v>4</v>
      </c>
      <c r="Q165" s="41">
        <v>3354.64</v>
      </c>
      <c r="R165" s="41">
        <v>7500</v>
      </c>
      <c r="S165" s="41">
        <f t="shared" si="6"/>
        <v>4145.3600000000006</v>
      </c>
    </row>
    <row r="166" spans="1:19">
      <c r="A166" s="5">
        <v>165</v>
      </c>
      <c r="B166" s="5">
        <v>2508110042</v>
      </c>
      <c r="C166" s="5" t="s">
        <v>1358</v>
      </c>
      <c r="D166" s="5" t="s">
        <v>107</v>
      </c>
      <c r="E166" s="5" t="s">
        <v>205</v>
      </c>
      <c r="F166" s="5" t="s">
        <v>109</v>
      </c>
      <c r="G166" s="5" t="s">
        <v>75</v>
      </c>
      <c r="H166" s="5" t="s">
        <v>1325</v>
      </c>
      <c r="I166" s="5">
        <v>202500932</v>
      </c>
      <c r="J166" s="5"/>
      <c r="K166" s="6">
        <v>45880</v>
      </c>
      <c r="L166" s="6">
        <v>45883</v>
      </c>
      <c r="M166" s="5" t="s">
        <v>53</v>
      </c>
      <c r="N166" s="5" t="s">
        <v>54</v>
      </c>
      <c r="O166" s="5" t="s">
        <v>41</v>
      </c>
      <c r="P166" s="30">
        <f t="shared" si="7"/>
        <v>3</v>
      </c>
      <c r="Q166" s="41">
        <v>3354.64</v>
      </c>
      <c r="R166" s="41">
        <v>4500</v>
      </c>
      <c r="S166" s="41">
        <f t="shared" si="6"/>
        <v>1145.3600000000001</v>
      </c>
    </row>
    <row r="167" spans="1:19">
      <c r="A167" s="5">
        <v>166</v>
      </c>
      <c r="B167" s="5" t="s">
        <v>1239</v>
      </c>
      <c r="C167" s="5"/>
      <c r="D167" s="5"/>
      <c r="E167" s="5"/>
      <c r="F167" s="5"/>
      <c r="G167" s="5" t="s">
        <v>52</v>
      </c>
      <c r="H167" s="5"/>
      <c r="I167" s="5"/>
      <c r="J167" s="5"/>
      <c r="K167" s="5"/>
      <c r="L167" s="5"/>
      <c r="M167" s="5"/>
      <c r="N167" s="5"/>
      <c r="O167" s="5"/>
      <c r="P167" s="5"/>
      <c r="Q167" s="41">
        <v>3354.64</v>
      </c>
      <c r="R167" s="41">
        <v>0</v>
      </c>
      <c r="S167" s="41">
        <f t="shared" si="6"/>
        <v>-3354.64</v>
      </c>
    </row>
    <row r="168" spans="1:19">
      <c r="A168" s="5">
        <v>167</v>
      </c>
      <c r="B168" s="5" t="s">
        <v>1240</v>
      </c>
      <c r="C168" s="5"/>
      <c r="D168" s="5"/>
      <c r="E168" s="5"/>
      <c r="F168" s="5"/>
      <c r="G168" s="5" t="s">
        <v>52</v>
      </c>
      <c r="H168" s="5"/>
      <c r="I168" s="5"/>
      <c r="J168" s="5"/>
      <c r="K168" s="5"/>
      <c r="L168" s="5"/>
      <c r="M168" s="5"/>
      <c r="N168" s="5"/>
      <c r="O168" s="5"/>
      <c r="P168" s="5"/>
      <c r="Q168" s="41">
        <v>3354.64</v>
      </c>
      <c r="R168" s="41">
        <v>0</v>
      </c>
      <c r="S168" s="41">
        <f t="shared" si="6"/>
        <v>-3354.64</v>
      </c>
    </row>
    <row r="169" spans="1:19">
      <c r="A169" s="5">
        <v>168</v>
      </c>
      <c r="B169" s="22">
        <v>2507290157</v>
      </c>
      <c r="C169" s="22" t="s">
        <v>1159</v>
      </c>
      <c r="D169" s="22" t="s">
        <v>40</v>
      </c>
      <c r="E169" s="22" t="s">
        <v>41</v>
      </c>
      <c r="F169" s="22" t="s">
        <v>42</v>
      </c>
      <c r="G169" s="22" t="s">
        <v>190</v>
      </c>
      <c r="H169" s="22" t="s">
        <v>1359</v>
      </c>
      <c r="I169" s="22" t="s">
        <v>1360</v>
      </c>
      <c r="J169" s="22"/>
      <c r="K169" s="23">
        <v>45881</v>
      </c>
      <c r="L169" s="23">
        <v>45885</v>
      </c>
      <c r="M169" s="22" t="s">
        <v>53</v>
      </c>
      <c r="N169" s="22" t="s">
        <v>54</v>
      </c>
      <c r="O169" s="22" t="s">
        <v>41</v>
      </c>
      <c r="P169" s="34">
        <f t="shared" ref="P169:P195" si="8">L169-K169</f>
        <v>4</v>
      </c>
      <c r="Q169" s="24">
        <v>3456.1793103448276</v>
      </c>
      <c r="R169" s="24">
        <v>0</v>
      </c>
      <c r="S169" s="24">
        <f t="shared" si="6"/>
        <v>-3456.1793103448276</v>
      </c>
    </row>
    <row r="170" spans="1:19">
      <c r="A170" s="5">
        <v>169</v>
      </c>
      <c r="B170" s="17">
        <v>2508010022</v>
      </c>
      <c r="C170" s="17" t="s">
        <v>1212</v>
      </c>
      <c r="D170" s="17" t="s">
        <v>257</v>
      </c>
      <c r="E170" s="17" t="s">
        <v>258</v>
      </c>
      <c r="F170" s="17" t="s">
        <v>62</v>
      </c>
      <c r="G170" s="17" t="s">
        <v>52</v>
      </c>
      <c r="H170" s="17" t="s">
        <v>1359</v>
      </c>
      <c r="I170" s="17" t="s">
        <v>1361</v>
      </c>
      <c r="J170" s="17"/>
      <c r="K170" s="18">
        <v>45881</v>
      </c>
      <c r="L170" s="18">
        <v>45885</v>
      </c>
      <c r="M170" s="17" t="s">
        <v>53</v>
      </c>
      <c r="N170" s="17" t="s">
        <v>480</v>
      </c>
      <c r="O170" s="17" t="s">
        <v>1390</v>
      </c>
      <c r="P170" s="31">
        <f t="shared" si="8"/>
        <v>4</v>
      </c>
      <c r="Q170" s="19">
        <v>3456.1793103448276</v>
      </c>
      <c r="R170" s="19">
        <v>0</v>
      </c>
      <c r="S170" s="19">
        <f t="shared" si="6"/>
        <v>-3456.1793103448276</v>
      </c>
    </row>
    <row r="171" spans="1:19">
      <c r="A171" s="5">
        <v>170</v>
      </c>
      <c r="B171" s="9">
        <v>2508013288</v>
      </c>
      <c r="C171" s="9" t="s">
        <v>1227</v>
      </c>
      <c r="D171" s="9" t="s">
        <v>228</v>
      </c>
      <c r="E171" s="9" t="s">
        <v>229</v>
      </c>
      <c r="F171" s="9" t="s">
        <v>169</v>
      </c>
      <c r="G171" s="9" t="s">
        <v>52</v>
      </c>
      <c r="H171" s="9" t="s">
        <v>1359</v>
      </c>
      <c r="I171" s="9" t="s">
        <v>1362</v>
      </c>
      <c r="J171" s="9"/>
      <c r="K171" s="10">
        <v>45881</v>
      </c>
      <c r="L171" s="10">
        <v>45885</v>
      </c>
      <c r="M171" s="9" t="s">
        <v>45</v>
      </c>
      <c r="N171" s="9" t="s">
        <v>94</v>
      </c>
      <c r="O171" s="9" t="s">
        <v>888</v>
      </c>
      <c r="P171" s="32">
        <f t="shared" si="8"/>
        <v>4</v>
      </c>
      <c r="Q171" s="11">
        <v>3456.1793103448276</v>
      </c>
      <c r="R171" s="11">
        <v>0</v>
      </c>
      <c r="S171" s="11">
        <f t="shared" si="6"/>
        <v>-3456.1793103448276</v>
      </c>
    </row>
    <row r="172" spans="1:19">
      <c r="A172" s="5">
        <v>171</v>
      </c>
      <c r="B172" s="13">
        <v>2508082937</v>
      </c>
      <c r="C172" s="13" t="s">
        <v>1327</v>
      </c>
      <c r="D172" s="13" t="s">
        <v>83</v>
      </c>
      <c r="E172" s="13" t="s">
        <v>84</v>
      </c>
      <c r="F172" s="13" t="s">
        <v>62</v>
      </c>
      <c r="G172" s="13" t="s">
        <v>43</v>
      </c>
      <c r="H172" s="13" t="s">
        <v>1359</v>
      </c>
      <c r="I172" s="13" t="s">
        <v>1363</v>
      </c>
      <c r="J172" s="13"/>
      <c r="K172" s="14">
        <v>45877</v>
      </c>
      <c r="L172" s="14">
        <v>45885</v>
      </c>
      <c r="M172" s="13" t="s">
        <v>53</v>
      </c>
      <c r="N172" s="13" t="s">
        <v>46</v>
      </c>
      <c r="O172" s="13" t="s">
        <v>1364</v>
      </c>
      <c r="P172" s="35">
        <f t="shared" si="8"/>
        <v>8</v>
      </c>
      <c r="Q172" s="15">
        <v>3456.1793103448276</v>
      </c>
      <c r="R172" s="15">
        <v>0</v>
      </c>
      <c r="S172" s="15">
        <f t="shared" si="6"/>
        <v>-3456.1793103448276</v>
      </c>
    </row>
    <row r="173" spans="1:19">
      <c r="A173" s="5">
        <v>172</v>
      </c>
      <c r="B173" s="17">
        <v>2508101396</v>
      </c>
      <c r="C173" s="17" t="s">
        <v>1355</v>
      </c>
      <c r="D173" s="17" t="s">
        <v>528</v>
      </c>
      <c r="E173" s="17" t="s">
        <v>529</v>
      </c>
      <c r="F173" s="17" t="s">
        <v>202</v>
      </c>
      <c r="G173" s="17" t="s">
        <v>52</v>
      </c>
      <c r="H173" s="17" t="s">
        <v>1359</v>
      </c>
      <c r="I173" s="17" t="s">
        <v>1365</v>
      </c>
      <c r="J173" s="17"/>
      <c r="K173" s="18">
        <v>45879</v>
      </c>
      <c r="L173" s="18">
        <v>45885</v>
      </c>
      <c r="M173" s="17" t="s">
        <v>53</v>
      </c>
      <c r="N173" s="17" t="s">
        <v>480</v>
      </c>
      <c r="O173" s="17" t="s">
        <v>1391</v>
      </c>
      <c r="P173" s="31">
        <f t="shared" si="8"/>
        <v>6</v>
      </c>
      <c r="Q173" s="19">
        <v>3456.1793103448276</v>
      </c>
      <c r="R173" s="19">
        <v>0</v>
      </c>
      <c r="S173" s="19">
        <f t="shared" si="6"/>
        <v>-3456.1793103448276</v>
      </c>
    </row>
    <row r="174" spans="1:19">
      <c r="A174" s="5">
        <v>173</v>
      </c>
      <c r="B174" s="5">
        <v>2508111396</v>
      </c>
      <c r="C174" s="5" t="s">
        <v>1366</v>
      </c>
      <c r="D174" s="5" t="s">
        <v>103</v>
      </c>
      <c r="E174" s="5" t="s">
        <v>104</v>
      </c>
      <c r="F174" s="5" t="s">
        <v>51</v>
      </c>
      <c r="G174" s="5" t="s">
        <v>52</v>
      </c>
      <c r="H174" s="5" t="s">
        <v>1359</v>
      </c>
      <c r="I174" s="5">
        <v>202500933</v>
      </c>
      <c r="J174" s="5"/>
      <c r="K174" s="6">
        <v>45881</v>
      </c>
      <c r="L174" s="6">
        <v>45885</v>
      </c>
      <c r="M174" s="5" t="s">
        <v>53</v>
      </c>
      <c r="N174" s="5" t="s">
        <v>54</v>
      </c>
      <c r="O174" s="5" t="s">
        <v>41</v>
      </c>
      <c r="P174" s="30">
        <f t="shared" si="8"/>
        <v>4</v>
      </c>
      <c r="Q174" s="41">
        <v>3456.1793103448276</v>
      </c>
      <c r="R174" s="41">
        <v>8000</v>
      </c>
      <c r="S174" s="41">
        <f t="shared" si="6"/>
        <v>4543.8206896551728</v>
      </c>
    </row>
    <row r="175" spans="1:19">
      <c r="A175" s="5">
        <v>174</v>
      </c>
      <c r="B175" s="5">
        <v>2508111408</v>
      </c>
      <c r="C175" s="5" t="s">
        <v>1367</v>
      </c>
      <c r="D175" s="5" t="s">
        <v>393</v>
      </c>
      <c r="E175" s="5" t="s">
        <v>394</v>
      </c>
      <c r="F175" s="5" t="s">
        <v>202</v>
      </c>
      <c r="G175" s="5" t="s">
        <v>43</v>
      </c>
      <c r="H175" s="5" t="s">
        <v>1359</v>
      </c>
      <c r="I175" s="5">
        <v>202500934</v>
      </c>
      <c r="J175" s="5"/>
      <c r="K175" s="6">
        <v>45881</v>
      </c>
      <c r="L175" s="6">
        <v>45885</v>
      </c>
      <c r="M175" s="5" t="s">
        <v>53</v>
      </c>
      <c r="N175" s="5" t="s">
        <v>54</v>
      </c>
      <c r="O175" s="5" t="s">
        <v>41</v>
      </c>
      <c r="P175" s="30">
        <f t="shared" si="8"/>
        <v>4</v>
      </c>
      <c r="Q175" s="41">
        <v>3456.1793103448276</v>
      </c>
      <c r="R175" s="41">
        <v>13500</v>
      </c>
      <c r="S175" s="41">
        <f t="shared" si="6"/>
        <v>10043.820689655173</v>
      </c>
    </row>
    <row r="176" spans="1:19">
      <c r="A176" s="5">
        <v>175</v>
      </c>
      <c r="B176" s="5">
        <v>2508111412</v>
      </c>
      <c r="C176" s="5" t="s">
        <v>1368</v>
      </c>
      <c r="D176" s="5" t="s">
        <v>1261</v>
      </c>
      <c r="E176" s="5" t="s">
        <v>1262</v>
      </c>
      <c r="F176" s="5" t="s">
        <v>71</v>
      </c>
      <c r="G176" s="5" t="s">
        <v>75</v>
      </c>
      <c r="H176" s="5" t="s">
        <v>1359</v>
      </c>
      <c r="I176" s="5">
        <v>202500935</v>
      </c>
      <c r="J176" s="5"/>
      <c r="K176" s="6">
        <v>45881</v>
      </c>
      <c r="L176" s="6">
        <v>45885</v>
      </c>
      <c r="M176" s="5" t="s">
        <v>53</v>
      </c>
      <c r="N176" s="5" t="s">
        <v>54</v>
      </c>
      <c r="O176" s="5" t="s">
        <v>41</v>
      </c>
      <c r="P176" s="30">
        <f t="shared" si="8"/>
        <v>4</v>
      </c>
      <c r="Q176" s="41">
        <v>3456.1793103448276</v>
      </c>
      <c r="R176" s="41">
        <v>4500</v>
      </c>
      <c r="S176" s="41">
        <f t="shared" si="6"/>
        <v>1043.8206896551724</v>
      </c>
    </row>
    <row r="177" spans="1:19">
      <c r="A177" s="5">
        <v>176</v>
      </c>
      <c r="B177" s="5">
        <v>2508120019</v>
      </c>
      <c r="C177" s="5" t="s">
        <v>1369</v>
      </c>
      <c r="D177" s="5" t="s">
        <v>312</v>
      </c>
      <c r="E177" s="5" t="s">
        <v>41</v>
      </c>
      <c r="F177" s="5" t="s">
        <v>141</v>
      </c>
      <c r="G177" s="5" t="s">
        <v>75</v>
      </c>
      <c r="H177" s="5" t="s">
        <v>1359</v>
      </c>
      <c r="I177" s="5">
        <v>202500936</v>
      </c>
      <c r="J177" s="5"/>
      <c r="K177" s="6">
        <v>45881</v>
      </c>
      <c r="L177" s="6">
        <v>45885</v>
      </c>
      <c r="M177" s="5" t="s">
        <v>53</v>
      </c>
      <c r="N177" s="5" t="s">
        <v>54</v>
      </c>
      <c r="O177" s="5" t="s">
        <v>41</v>
      </c>
      <c r="P177" s="30">
        <f t="shared" si="8"/>
        <v>4</v>
      </c>
      <c r="Q177" s="41">
        <v>3456.1793103448276</v>
      </c>
      <c r="R177" s="41">
        <v>4900</v>
      </c>
      <c r="S177" s="41">
        <f t="shared" si="6"/>
        <v>1443.8206896551724</v>
      </c>
    </row>
    <row r="178" spans="1:19">
      <c r="A178" s="5">
        <v>177</v>
      </c>
      <c r="B178" s="5">
        <v>2508120020</v>
      </c>
      <c r="C178" s="5" t="s">
        <v>1370</v>
      </c>
      <c r="D178" s="5" t="s">
        <v>228</v>
      </c>
      <c r="E178" s="5" t="s">
        <v>229</v>
      </c>
      <c r="F178" s="5" t="s">
        <v>87</v>
      </c>
      <c r="G178" s="5" t="s">
        <v>52</v>
      </c>
      <c r="H178" s="5" t="s">
        <v>1359</v>
      </c>
      <c r="I178" s="5">
        <v>202500937</v>
      </c>
      <c r="J178" s="5"/>
      <c r="K178" s="6">
        <v>45881</v>
      </c>
      <c r="L178" s="6">
        <v>45885</v>
      </c>
      <c r="M178" s="5" t="s">
        <v>53</v>
      </c>
      <c r="N178" s="5" t="s">
        <v>54</v>
      </c>
      <c r="O178" s="5" t="s">
        <v>41</v>
      </c>
      <c r="P178" s="30">
        <f t="shared" si="8"/>
        <v>4</v>
      </c>
      <c r="Q178" s="41">
        <v>3456.1793103448276</v>
      </c>
      <c r="R178" s="41">
        <v>6000</v>
      </c>
      <c r="S178" s="41">
        <f t="shared" si="6"/>
        <v>2543.8206896551724</v>
      </c>
    </row>
    <row r="179" spans="1:19">
      <c r="A179" s="5">
        <v>178</v>
      </c>
      <c r="B179" s="5">
        <v>2508120735</v>
      </c>
      <c r="C179" s="5" t="s">
        <v>1371</v>
      </c>
      <c r="D179" s="5" t="s">
        <v>293</v>
      </c>
      <c r="E179" s="5" t="s">
        <v>294</v>
      </c>
      <c r="F179" s="5" t="s">
        <v>51</v>
      </c>
      <c r="G179" s="5" t="s">
        <v>52</v>
      </c>
      <c r="H179" s="5" t="s">
        <v>1359</v>
      </c>
      <c r="I179" s="5">
        <v>202500938</v>
      </c>
      <c r="J179" s="5"/>
      <c r="K179" s="6">
        <v>45881</v>
      </c>
      <c r="L179" s="6">
        <v>45885</v>
      </c>
      <c r="M179" s="5" t="s">
        <v>53</v>
      </c>
      <c r="N179" s="5" t="s">
        <v>54</v>
      </c>
      <c r="O179" s="5" t="s">
        <v>41</v>
      </c>
      <c r="P179" s="30">
        <f t="shared" si="8"/>
        <v>4</v>
      </c>
      <c r="Q179" s="41">
        <v>3456.1793103448276</v>
      </c>
      <c r="R179" s="41">
        <v>6000</v>
      </c>
      <c r="S179" s="41">
        <f t="shared" si="6"/>
        <v>2543.8206896551724</v>
      </c>
    </row>
    <row r="180" spans="1:19">
      <c r="A180" s="5">
        <v>179</v>
      </c>
      <c r="B180" s="5">
        <v>2508120741</v>
      </c>
      <c r="C180" s="5" t="s">
        <v>1372</v>
      </c>
      <c r="D180" s="5" t="s">
        <v>64</v>
      </c>
      <c r="E180" s="5" t="s">
        <v>65</v>
      </c>
      <c r="F180" s="5" t="s">
        <v>66</v>
      </c>
      <c r="G180" s="5" t="s">
        <v>52</v>
      </c>
      <c r="H180" s="5" t="s">
        <v>1359</v>
      </c>
      <c r="I180" s="5">
        <v>202500939</v>
      </c>
      <c r="J180" s="5"/>
      <c r="K180" s="6">
        <v>45881</v>
      </c>
      <c r="L180" s="6">
        <v>45885</v>
      </c>
      <c r="M180" s="5" t="s">
        <v>53</v>
      </c>
      <c r="N180" s="5" t="s">
        <v>54</v>
      </c>
      <c r="O180" s="5" t="s">
        <v>41</v>
      </c>
      <c r="P180" s="30">
        <f t="shared" si="8"/>
        <v>4</v>
      </c>
      <c r="Q180" s="41">
        <v>3456.1793103448276</v>
      </c>
      <c r="R180" s="41">
        <v>5500</v>
      </c>
      <c r="S180" s="41">
        <f t="shared" si="6"/>
        <v>2043.8206896551724</v>
      </c>
    </row>
    <row r="181" spans="1:19">
      <c r="A181" s="5">
        <v>180</v>
      </c>
      <c r="B181" s="5">
        <v>2508120748</v>
      </c>
      <c r="C181" s="5" t="s">
        <v>1373</v>
      </c>
      <c r="D181" s="5" t="s">
        <v>64</v>
      </c>
      <c r="E181" s="5" t="s">
        <v>65</v>
      </c>
      <c r="F181" s="5" t="s">
        <v>66</v>
      </c>
      <c r="G181" s="5" t="s">
        <v>52</v>
      </c>
      <c r="H181" s="5" t="s">
        <v>1359</v>
      </c>
      <c r="I181" s="5">
        <v>202500940</v>
      </c>
      <c r="J181" s="5"/>
      <c r="K181" s="6">
        <v>45881</v>
      </c>
      <c r="L181" s="6">
        <v>45885</v>
      </c>
      <c r="M181" s="5" t="s">
        <v>53</v>
      </c>
      <c r="N181" s="5" t="s">
        <v>54</v>
      </c>
      <c r="O181" s="5" t="s">
        <v>41</v>
      </c>
      <c r="P181" s="30">
        <f t="shared" si="8"/>
        <v>4</v>
      </c>
      <c r="Q181" s="41">
        <v>3456.1793103448276</v>
      </c>
      <c r="R181" s="41">
        <v>5500</v>
      </c>
      <c r="S181" s="41">
        <f t="shared" si="6"/>
        <v>2043.8206896551724</v>
      </c>
    </row>
    <row r="182" spans="1:19">
      <c r="A182" s="5">
        <v>181</v>
      </c>
      <c r="B182" s="5">
        <v>2508120765</v>
      </c>
      <c r="C182" s="5" t="s">
        <v>1374</v>
      </c>
      <c r="D182" s="5" t="s">
        <v>309</v>
      </c>
      <c r="E182" s="5" t="s">
        <v>310</v>
      </c>
      <c r="F182" s="5" t="s">
        <v>51</v>
      </c>
      <c r="G182" s="5" t="s">
        <v>52</v>
      </c>
      <c r="H182" s="5" t="s">
        <v>1359</v>
      </c>
      <c r="I182" s="5">
        <v>202500941</v>
      </c>
      <c r="J182" s="5"/>
      <c r="K182" s="6">
        <v>45881</v>
      </c>
      <c r="L182" s="6">
        <v>45885</v>
      </c>
      <c r="M182" s="5" t="s">
        <v>53</v>
      </c>
      <c r="N182" s="5" t="s">
        <v>54</v>
      </c>
      <c r="O182" s="5" t="s">
        <v>41</v>
      </c>
      <c r="P182" s="30">
        <f t="shared" si="8"/>
        <v>4</v>
      </c>
      <c r="Q182" s="41">
        <v>3456.1793103448276</v>
      </c>
      <c r="R182" s="41">
        <v>5500</v>
      </c>
      <c r="S182" s="41">
        <f t="shared" si="6"/>
        <v>2043.8206896551724</v>
      </c>
    </row>
    <row r="183" spans="1:19">
      <c r="A183" s="5">
        <v>182</v>
      </c>
      <c r="B183" s="5">
        <v>2508120771</v>
      </c>
      <c r="C183" s="5" t="s">
        <v>1375</v>
      </c>
      <c r="D183" s="5" t="s">
        <v>309</v>
      </c>
      <c r="E183" s="5" t="s">
        <v>310</v>
      </c>
      <c r="F183" s="5" t="s">
        <v>51</v>
      </c>
      <c r="G183" s="5" t="s">
        <v>52</v>
      </c>
      <c r="H183" s="5" t="s">
        <v>1359</v>
      </c>
      <c r="I183" s="5">
        <v>202500942</v>
      </c>
      <c r="J183" s="5"/>
      <c r="K183" s="6">
        <v>45881</v>
      </c>
      <c r="L183" s="6">
        <v>45885</v>
      </c>
      <c r="M183" s="5" t="s">
        <v>53</v>
      </c>
      <c r="N183" s="5" t="s">
        <v>54</v>
      </c>
      <c r="O183" s="5" t="s">
        <v>41</v>
      </c>
      <c r="P183" s="30">
        <f t="shared" si="8"/>
        <v>4</v>
      </c>
      <c r="Q183" s="41">
        <v>3456.1793103448276</v>
      </c>
      <c r="R183" s="41">
        <v>5500</v>
      </c>
      <c r="S183" s="41">
        <f t="shared" si="6"/>
        <v>2043.8206896551724</v>
      </c>
    </row>
    <row r="184" spans="1:19">
      <c r="A184" s="5">
        <v>183</v>
      </c>
      <c r="B184" s="5">
        <v>2508120784</v>
      </c>
      <c r="C184" s="5" t="s">
        <v>1376</v>
      </c>
      <c r="D184" s="5" t="s">
        <v>528</v>
      </c>
      <c r="E184" s="5" t="s">
        <v>639</v>
      </c>
      <c r="F184" s="5" t="s">
        <v>202</v>
      </c>
      <c r="G184" s="5" t="s">
        <v>52</v>
      </c>
      <c r="H184" s="5" t="s">
        <v>1359</v>
      </c>
      <c r="I184" s="5">
        <v>202500943</v>
      </c>
      <c r="J184" s="5"/>
      <c r="K184" s="6">
        <v>45881</v>
      </c>
      <c r="L184" s="6">
        <v>45885</v>
      </c>
      <c r="M184" s="5" t="s">
        <v>53</v>
      </c>
      <c r="N184" s="5" t="s">
        <v>54</v>
      </c>
      <c r="O184" s="5" t="s">
        <v>41</v>
      </c>
      <c r="P184" s="30">
        <f t="shared" si="8"/>
        <v>4</v>
      </c>
      <c r="Q184" s="41">
        <v>3456.1793103448276</v>
      </c>
      <c r="R184" s="41">
        <v>7500</v>
      </c>
      <c r="S184" s="41">
        <f t="shared" si="6"/>
        <v>4043.8206896551724</v>
      </c>
    </row>
    <row r="185" spans="1:19">
      <c r="A185" s="5">
        <v>184</v>
      </c>
      <c r="B185" s="5">
        <v>2508120183</v>
      </c>
      <c r="C185" s="5" t="s">
        <v>1377</v>
      </c>
      <c r="D185" s="5" t="s">
        <v>40</v>
      </c>
      <c r="E185" s="5" t="s">
        <v>41</v>
      </c>
      <c r="F185" s="5" t="s">
        <v>42</v>
      </c>
      <c r="G185" s="5" t="s">
        <v>43</v>
      </c>
      <c r="H185" s="5" t="s">
        <v>1359</v>
      </c>
      <c r="I185" s="5">
        <v>202500944</v>
      </c>
      <c r="J185" s="5"/>
      <c r="K185" s="6">
        <v>45881</v>
      </c>
      <c r="L185" s="6">
        <v>45885</v>
      </c>
      <c r="M185" s="5" t="s">
        <v>53</v>
      </c>
      <c r="N185" s="5" t="s">
        <v>54</v>
      </c>
      <c r="O185" s="5" t="s">
        <v>41</v>
      </c>
      <c r="P185" s="30">
        <f t="shared" si="8"/>
        <v>4</v>
      </c>
      <c r="Q185" s="41">
        <v>3456.1793103448276</v>
      </c>
      <c r="R185" s="41">
        <v>12325</v>
      </c>
      <c r="S185" s="41">
        <f t="shared" si="6"/>
        <v>8868.8206896551728</v>
      </c>
    </row>
    <row r="186" spans="1:19">
      <c r="A186" s="5">
        <v>185</v>
      </c>
      <c r="B186" s="5">
        <v>2508120662</v>
      </c>
      <c r="C186" s="5" t="s">
        <v>1378</v>
      </c>
      <c r="D186" s="5" t="s">
        <v>40</v>
      </c>
      <c r="E186" s="5" t="s">
        <v>41</v>
      </c>
      <c r="F186" s="5" t="s">
        <v>42</v>
      </c>
      <c r="G186" s="5" t="s">
        <v>52</v>
      </c>
      <c r="H186" s="5" t="s">
        <v>1359</v>
      </c>
      <c r="I186" s="5">
        <v>202500945</v>
      </c>
      <c r="J186" s="5"/>
      <c r="K186" s="6">
        <v>45881</v>
      </c>
      <c r="L186" s="6">
        <v>45885</v>
      </c>
      <c r="M186" s="5" t="s">
        <v>53</v>
      </c>
      <c r="N186" s="5" t="s">
        <v>54</v>
      </c>
      <c r="O186" s="5" t="s">
        <v>41</v>
      </c>
      <c r="P186" s="30">
        <f t="shared" si="8"/>
        <v>4</v>
      </c>
      <c r="Q186" s="41">
        <v>3456.1793103448276</v>
      </c>
      <c r="R186" s="41">
        <v>9500</v>
      </c>
      <c r="S186" s="41">
        <f t="shared" si="6"/>
        <v>6043.8206896551728</v>
      </c>
    </row>
    <row r="187" spans="1:19">
      <c r="A187" s="5">
        <v>186</v>
      </c>
      <c r="B187" s="5">
        <v>2508130024</v>
      </c>
      <c r="C187" s="5" t="s">
        <v>1379</v>
      </c>
      <c r="D187" s="5" t="s">
        <v>1192</v>
      </c>
      <c r="E187" s="5" t="s">
        <v>1193</v>
      </c>
      <c r="F187" s="5" t="s">
        <v>62</v>
      </c>
      <c r="G187" s="5" t="s">
        <v>52</v>
      </c>
      <c r="H187" s="5" t="s">
        <v>1359</v>
      </c>
      <c r="I187" s="5">
        <v>202500946</v>
      </c>
      <c r="J187" s="5"/>
      <c r="K187" s="6">
        <v>45882</v>
      </c>
      <c r="L187" s="6">
        <v>45885</v>
      </c>
      <c r="M187" s="5" t="s">
        <v>53</v>
      </c>
      <c r="N187" s="5" t="s">
        <v>54</v>
      </c>
      <c r="O187" s="5" t="s">
        <v>41</v>
      </c>
      <c r="P187" s="30">
        <f t="shared" si="8"/>
        <v>3</v>
      </c>
      <c r="Q187" s="41">
        <v>3456.1793103448276</v>
      </c>
      <c r="R187" s="41">
        <v>5500</v>
      </c>
      <c r="S187" s="41">
        <f t="shared" si="6"/>
        <v>2043.8206896551724</v>
      </c>
    </row>
    <row r="188" spans="1:19">
      <c r="A188" s="5">
        <v>187</v>
      </c>
      <c r="B188" s="5">
        <v>2508130536</v>
      </c>
      <c r="C188" s="5" t="s">
        <v>1380</v>
      </c>
      <c r="D188" s="5" t="s">
        <v>804</v>
      </c>
      <c r="E188" s="5" t="s">
        <v>805</v>
      </c>
      <c r="F188" s="5" t="s">
        <v>457</v>
      </c>
      <c r="G188" s="5" t="s">
        <v>52</v>
      </c>
      <c r="H188" s="5" t="s">
        <v>1359</v>
      </c>
      <c r="I188" s="5">
        <v>202500947</v>
      </c>
      <c r="J188" s="5"/>
      <c r="K188" s="6">
        <v>45882</v>
      </c>
      <c r="L188" s="6">
        <v>45885</v>
      </c>
      <c r="M188" s="5" t="s">
        <v>53</v>
      </c>
      <c r="N188" s="5" t="s">
        <v>54</v>
      </c>
      <c r="O188" s="5" t="s">
        <v>41</v>
      </c>
      <c r="P188" s="30">
        <f t="shared" si="8"/>
        <v>3</v>
      </c>
      <c r="Q188" s="41">
        <v>3456.1793103448276</v>
      </c>
      <c r="R188" s="41">
        <v>5000</v>
      </c>
      <c r="S188" s="41">
        <f t="shared" si="6"/>
        <v>1543.8206896551724</v>
      </c>
    </row>
    <row r="189" spans="1:19">
      <c r="A189" s="5">
        <v>188</v>
      </c>
      <c r="B189" s="5">
        <v>2508130552</v>
      </c>
      <c r="C189" s="5" t="s">
        <v>1381</v>
      </c>
      <c r="D189" s="5" t="s">
        <v>804</v>
      </c>
      <c r="E189" s="5" t="s">
        <v>805</v>
      </c>
      <c r="F189" s="5" t="s">
        <v>457</v>
      </c>
      <c r="G189" s="5" t="s">
        <v>52</v>
      </c>
      <c r="H189" s="5" t="s">
        <v>1359</v>
      </c>
      <c r="I189" s="5">
        <v>202500948</v>
      </c>
      <c r="J189" s="5"/>
      <c r="K189" s="6">
        <v>45882</v>
      </c>
      <c r="L189" s="6">
        <v>45885</v>
      </c>
      <c r="M189" s="5" t="s">
        <v>53</v>
      </c>
      <c r="N189" s="5" t="s">
        <v>54</v>
      </c>
      <c r="O189" s="5" t="s">
        <v>41</v>
      </c>
      <c r="P189" s="30">
        <f t="shared" si="8"/>
        <v>3</v>
      </c>
      <c r="Q189" s="41">
        <v>3456.1793103448276</v>
      </c>
      <c r="R189" s="41">
        <v>5000</v>
      </c>
      <c r="S189" s="41">
        <f t="shared" si="6"/>
        <v>1543.8206896551724</v>
      </c>
    </row>
    <row r="190" spans="1:19">
      <c r="A190" s="5">
        <v>189</v>
      </c>
      <c r="B190" s="5">
        <v>2508132233</v>
      </c>
      <c r="C190" s="5" t="s">
        <v>1382</v>
      </c>
      <c r="D190" s="5" t="s">
        <v>631</v>
      </c>
      <c r="E190" s="5" t="s">
        <v>664</v>
      </c>
      <c r="F190" s="5" t="s">
        <v>87</v>
      </c>
      <c r="G190" s="5" t="s">
        <v>52</v>
      </c>
      <c r="H190" s="5" t="s">
        <v>1359</v>
      </c>
      <c r="I190" s="5">
        <v>202500949</v>
      </c>
      <c r="J190" s="5"/>
      <c r="K190" s="6">
        <v>45882</v>
      </c>
      <c r="L190" s="6">
        <v>45885</v>
      </c>
      <c r="M190" s="5" t="s">
        <v>53</v>
      </c>
      <c r="N190" s="5" t="s">
        <v>54</v>
      </c>
      <c r="O190" s="5" t="s">
        <v>41</v>
      </c>
      <c r="P190" s="30">
        <f t="shared" si="8"/>
        <v>3</v>
      </c>
      <c r="Q190" s="41">
        <v>3456.1793103448276</v>
      </c>
      <c r="R190" s="41">
        <v>8000</v>
      </c>
      <c r="S190" s="41">
        <f t="shared" si="6"/>
        <v>4543.8206896551728</v>
      </c>
    </row>
    <row r="191" spans="1:19">
      <c r="A191" s="5">
        <v>190</v>
      </c>
      <c r="B191" s="5">
        <v>2508130901</v>
      </c>
      <c r="C191" s="5" t="s">
        <v>1383</v>
      </c>
      <c r="D191" s="5" t="s">
        <v>40</v>
      </c>
      <c r="E191" s="5" t="s">
        <v>41</v>
      </c>
      <c r="F191" s="5" t="s">
        <v>42</v>
      </c>
      <c r="G191" s="5" t="s">
        <v>75</v>
      </c>
      <c r="H191" s="5" t="s">
        <v>1359</v>
      </c>
      <c r="I191" s="5">
        <v>202500950</v>
      </c>
      <c r="J191" s="5"/>
      <c r="K191" s="6">
        <v>45882</v>
      </c>
      <c r="L191" s="6">
        <v>45885</v>
      </c>
      <c r="M191" s="5" t="s">
        <v>53</v>
      </c>
      <c r="N191" s="5" t="s">
        <v>54</v>
      </c>
      <c r="O191" s="5" t="s">
        <v>41</v>
      </c>
      <c r="P191" s="30">
        <f t="shared" si="8"/>
        <v>3</v>
      </c>
      <c r="Q191" s="41">
        <v>3456.1793103448276</v>
      </c>
      <c r="R191" s="41">
        <v>5525</v>
      </c>
      <c r="S191" s="41">
        <f t="shared" si="6"/>
        <v>2068.8206896551724</v>
      </c>
    </row>
    <row r="192" spans="1:19">
      <c r="A192" s="5">
        <v>191</v>
      </c>
      <c r="B192" s="5">
        <v>2508132242</v>
      </c>
      <c r="C192" s="5" t="s">
        <v>1384</v>
      </c>
      <c r="D192" s="5" t="s">
        <v>1385</v>
      </c>
      <c r="E192" s="5" t="s">
        <v>1386</v>
      </c>
      <c r="F192" s="5" t="s">
        <v>66</v>
      </c>
      <c r="G192" s="5" t="s">
        <v>52</v>
      </c>
      <c r="H192" s="5" t="s">
        <v>1359</v>
      </c>
      <c r="I192" s="5">
        <v>202500951</v>
      </c>
      <c r="J192" s="5"/>
      <c r="K192" s="6">
        <v>45883</v>
      </c>
      <c r="L192" s="6">
        <v>45885</v>
      </c>
      <c r="M192" s="5" t="s">
        <v>53</v>
      </c>
      <c r="N192" s="5" t="s">
        <v>54</v>
      </c>
      <c r="O192" s="5" t="s">
        <v>41</v>
      </c>
      <c r="P192" s="30">
        <f t="shared" si="8"/>
        <v>2</v>
      </c>
      <c r="Q192" s="41">
        <v>3456.1793103448276</v>
      </c>
      <c r="R192" s="41">
        <v>8000</v>
      </c>
      <c r="S192" s="41">
        <f t="shared" si="6"/>
        <v>4543.8206896551728</v>
      </c>
    </row>
    <row r="193" spans="1:19">
      <c r="A193" s="5">
        <v>192</v>
      </c>
      <c r="B193" s="5">
        <v>2508132250</v>
      </c>
      <c r="C193" s="5" t="s">
        <v>1387</v>
      </c>
      <c r="D193" s="5" t="s">
        <v>599</v>
      </c>
      <c r="E193" s="5" t="s">
        <v>837</v>
      </c>
      <c r="F193" s="5" t="s">
        <v>169</v>
      </c>
      <c r="G193" s="5" t="s">
        <v>43</v>
      </c>
      <c r="H193" s="5" t="s">
        <v>1359</v>
      </c>
      <c r="I193" s="5">
        <v>202500952</v>
      </c>
      <c r="J193" s="5"/>
      <c r="K193" s="6">
        <v>45883</v>
      </c>
      <c r="L193" s="6">
        <v>45885</v>
      </c>
      <c r="M193" s="5" t="s">
        <v>53</v>
      </c>
      <c r="N193" s="5" t="s">
        <v>54</v>
      </c>
      <c r="O193" s="5" t="s">
        <v>41</v>
      </c>
      <c r="P193" s="30">
        <f t="shared" si="8"/>
        <v>2</v>
      </c>
      <c r="Q193" s="41">
        <v>3456.1793103448276</v>
      </c>
      <c r="R193" s="41">
        <v>11500</v>
      </c>
      <c r="S193" s="41">
        <f t="shared" si="6"/>
        <v>8043.8206896551728</v>
      </c>
    </row>
    <row r="194" spans="1:19">
      <c r="A194" s="5">
        <v>193</v>
      </c>
      <c r="B194" s="5">
        <v>2508132251</v>
      </c>
      <c r="C194" s="5" t="s">
        <v>1388</v>
      </c>
      <c r="D194" s="5" t="s">
        <v>107</v>
      </c>
      <c r="E194" s="5" t="s">
        <v>205</v>
      </c>
      <c r="F194" s="5" t="s">
        <v>109</v>
      </c>
      <c r="G194" s="5" t="s">
        <v>75</v>
      </c>
      <c r="H194" s="5" t="s">
        <v>1359</v>
      </c>
      <c r="I194" s="5">
        <v>202500953</v>
      </c>
      <c r="J194" s="5"/>
      <c r="K194" s="6">
        <v>45883</v>
      </c>
      <c r="L194" s="6">
        <v>45885</v>
      </c>
      <c r="M194" s="5" t="s">
        <v>53</v>
      </c>
      <c r="N194" s="5" t="s">
        <v>54</v>
      </c>
      <c r="O194" s="5" t="s">
        <v>41</v>
      </c>
      <c r="P194" s="30">
        <f t="shared" si="8"/>
        <v>2</v>
      </c>
      <c r="Q194" s="41">
        <v>3456.1793103448276</v>
      </c>
      <c r="R194" s="41">
        <v>4500</v>
      </c>
      <c r="S194" s="41">
        <f t="shared" ref="S194:S197" si="9">R194-Q194</f>
        <v>1043.8206896551724</v>
      </c>
    </row>
    <row r="195" spans="1:19">
      <c r="A195" s="5">
        <v>194</v>
      </c>
      <c r="B195" s="5">
        <v>2505050703</v>
      </c>
      <c r="C195" s="5" t="s">
        <v>1389</v>
      </c>
      <c r="D195" s="5" t="s">
        <v>40</v>
      </c>
      <c r="E195" s="5" t="s">
        <v>41</v>
      </c>
      <c r="F195" s="5" t="s">
        <v>42</v>
      </c>
      <c r="G195" s="5" t="s">
        <v>52</v>
      </c>
      <c r="H195" s="5" t="s">
        <v>1359</v>
      </c>
      <c r="I195" s="5">
        <v>202500954</v>
      </c>
      <c r="J195" s="5"/>
      <c r="K195" s="6">
        <v>45883</v>
      </c>
      <c r="L195" s="6">
        <v>45885</v>
      </c>
      <c r="M195" s="5" t="s">
        <v>53</v>
      </c>
      <c r="N195" s="5" t="s">
        <v>54</v>
      </c>
      <c r="O195" s="5" t="s">
        <v>41</v>
      </c>
      <c r="P195" s="30">
        <f t="shared" si="8"/>
        <v>2</v>
      </c>
      <c r="Q195" s="41">
        <v>3456.1793103448276</v>
      </c>
      <c r="R195" s="41">
        <v>0</v>
      </c>
      <c r="S195" s="41">
        <f t="shared" si="9"/>
        <v>-3456.1793103448276</v>
      </c>
    </row>
    <row r="196" spans="1:19">
      <c r="A196" s="5">
        <v>195</v>
      </c>
      <c r="B196" s="5" t="s">
        <v>1239</v>
      </c>
      <c r="C196" s="5"/>
      <c r="D196" s="5"/>
      <c r="E196" s="5"/>
      <c r="F196" s="5"/>
      <c r="G196" s="5" t="s">
        <v>52</v>
      </c>
      <c r="H196" s="5"/>
      <c r="I196" s="5"/>
      <c r="J196" s="5"/>
      <c r="K196" s="5"/>
      <c r="L196" s="5"/>
      <c r="M196" s="5"/>
      <c r="N196" s="5"/>
      <c r="O196" s="5"/>
      <c r="P196" s="5"/>
      <c r="Q196" s="41">
        <v>3456.1793103448276</v>
      </c>
      <c r="R196" s="41">
        <v>0</v>
      </c>
      <c r="S196" s="41">
        <f t="shared" si="9"/>
        <v>-3456.1793103448276</v>
      </c>
    </row>
    <row r="197" spans="1:19">
      <c r="A197" s="5">
        <v>196</v>
      </c>
      <c r="B197" s="5" t="s">
        <v>1240</v>
      </c>
      <c r="C197" s="5"/>
      <c r="D197" s="5"/>
      <c r="E197" s="5"/>
      <c r="F197" s="5"/>
      <c r="G197" s="5" t="s">
        <v>52</v>
      </c>
      <c r="H197" s="5"/>
      <c r="I197" s="5"/>
      <c r="J197" s="5"/>
      <c r="K197" s="5"/>
      <c r="L197" s="5"/>
      <c r="M197" s="5"/>
      <c r="N197" s="5"/>
      <c r="O197" s="5"/>
      <c r="P197" s="5"/>
      <c r="Q197" s="41">
        <v>3456.1793103448276</v>
      </c>
      <c r="R197" s="41">
        <v>0</v>
      </c>
      <c r="S197" s="41">
        <f t="shared" si="9"/>
        <v>-3456.1793103448276</v>
      </c>
    </row>
    <row r="198" spans="1:19">
      <c r="A198" s="5">
        <v>197</v>
      </c>
      <c r="B198" s="26">
        <v>2508013288</v>
      </c>
      <c r="C198" s="26" t="s">
        <v>1227</v>
      </c>
      <c r="D198" s="26" t="s">
        <v>228</v>
      </c>
      <c r="E198" s="26" t="s">
        <v>229</v>
      </c>
      <c r="F198" s="26" t="s">
        <v>169</v>
      </c>
      <c r="G198" s="26" t="s">
        <v>52</v>
      </c>
      <c r="H198" s="26" t="s">
        <v>1392</v>
      </c>
      <c r="I198" s="26" t="s">
        <v>1393</v>
      </c>
      <c r="J198" s="26"/>
      <c r="K198" s="27">
        <v>45881</v>
      </c>
      <c r="L198" s="27">
        <v>45889</v>
      </c>
      <c r="M198" s="26" t="s">
        <v>45</v>
      </c>
      <c r="N198" s="26" t="s">
        <v>163</v>
      </c>
      <c r="O198" s="26" t="s">
        <v>888</v>
      </c>
      <c r="P198" s="33">
        <f t="shared" ref="P198:P221" si="10">L198-K198</f>
        <v>8</v>
      </c>
      <c r="Q198" s="28">
        <v>3807.6615384615384</v>
      </c>
      <c r="R198" s="28">
        <v>0</v>
      </c>
      <c r="S198" s="28">
        <f t="shared" ref="S198:S261" si="11">R198-Q198</f>
        <v>-3807.6615384615384</v>
      </c>
    </row>
    <row r="199" spans="1:19">
      <c r="A199" s="5">
        <v>198</v>
      </c>
      <c r="B199" s="5">
        <v>2508132252</v>
      </c>
      <c r="C199" s="5" t="s">
        <v>1394</v>
      </c>
      <c r="D199" s="5" t="s">
        <v>564</v>
      </c>
      <c r="E199" s="5" t="s">
        <v>890</v>
      </c>
      <c r="F199" s="5" t="s">
        <v>71</v>
      </c>
      <c r="G199" s="5" t="s">
        <v>52</v>
      </c>
      <c r="H199" s="5" t="s">
        <v>1392</v>
      </c>
      <c r="I199" s="5">
        <v>202500955</v>
      </c>
      <c r="J199" s="5"/>
      <c r="K199" s="6">
        <v>45882</v>
      </c>
      <c r="L199" s="6">
        <v>45889</v>
      </c>
      <c r="M199" s="5" t="s">
        <v>53</v>
      </c>
      <c r="N199" s="5" t="s">
        <v>54</v>
      </c>
      <c r="O199" s="5" t="s">
        <v>41</v>
      </c>
      <c r="P199" s="30">
        <f t="shared" si="10"/>
        <v>7</v>
      </c>
      <c r="Q199" s="41">
        <v>3807.6615384615384</v>
      </c>
      <c r="R199" s="41">
        <v>8500</v>
      </c>
      <c r="S199" s="41">
        <f t="shared" si="11"/>
        <v>4692.3384615384621</v>
      </c>
    </row>
    <row r="200" spans="1:19">
      <c r="A200" s="5">
        <v>199</v>
      </c>
      <c r="B200" s="5">
        <v>2508132253</v>
      </c>
      <c r="C200" s="5" t="s">
        <v>1395</v>
      </c>
      <c r="D200" s="5" t="s">
        <v>1396</v>
      </c>
      <c r="E200" s="5" t="s">
        <v>1397</v>
      </c>
      <c r="F200" s="5" t="s">
        <v>202</v>
      </c>
      <c r="G200" s="5" t="s">
        <v>43</v>
      </c>
      <c r="H200" s="5" t="s">
        <v>1392</v>
      </c>
      <c r="I200" s="5">
        <v>202500956</v>
      </c>
      <c r="J200" s="5"/>
      <c r="K200" s="6">
        <v>45882</v>
      </c>
      <c r="L200" s="6">
        <v>45889</v>
      </c>
      <c r="M200" s="5" t="s">
        <v>53</v>
      </c>
      <c r="N200" s="5" t="s">
        <v>54</v>
      </c>
      <c r="O200" s="5" t="s">
        <v>41</v>
      </c>
      <c r="P200" s="30">
        <f t="shared" si="10"/>
        <v>7</v>
      </c>
      <c r="Q200" s="41">
        <v>3807.6615384615384</v>
      </c>
      <c r="R200" s="41">
        <v>13500</v>
      </c>
      <c r="S200" s="41">
        <f t="shared" si="11"/>
        <v>9692.3384615384621</v>
      </c>
    </row>
    <row r="201" spans="1:19">
      <c r="A201" s="5">
        <v>200</v>
      </c>
      <c r="B201" s="5">
        <v>2508143361</v>
      </c>
      <c r="C201" s="5" t="s">
        <v>1398</v>
      </c>
      <c r="D201" s="5" t="s">
        <v>1399</v>
      </c>
      <c r="E201" s="5" t="s">
        <v>1400</v>
      </c>
      <c r="F201" s="5" t="s">
        <v>169</v>
      </c>
      <c r="G201" s="5" t="s">
        <v>75</v>
      </c>
      <c r="H201" s="5" t="s">
        <v>1392</v>
      </c>
      <c r="I201" s="5">
        <v>202500957</v>
      </c>
      <c r="J201" s="5"/>
      <c r="K201" s="6">
        <v>45883</v>
      </c>
      <c r="L201" s="6">
        <v>45889</v>
      </c>
      <c r="M201" s="5" t="s">
        <v>53</v>
      </c>
      <c r="N201" s="5" t="s">
        <v>54</v>
      </c>
      <c r="O201" s="5" t="s">
        <v>41</v>
      </c>
      <c r="P201" s="30">
        <f t="shared" si="10"/>
        <v>6</v>
      </c>
      <c r="Q201" s="41">
        <v>3807.6615384615384</v>
      </c>
      <c r="R201" s="41">
        <v>4500</v>
      </c>
      <c r="S201" s="41">
        <f t="shared" si="11"/>
        <v>692.33846153846162</v>
      </c>
    </row>
    <row r="202" spans="1:19">
      <c r="A202" s="5">
        <v>201</v>
      </c>
      <c r="B202" s="5">
        <v>2508143367</v>
      </c>
      <c r="C202" s="5" t="s">
        <v>1401</v>
      </c>
      <c r="D202" s="5" t="s">
        <v>77</v>
      </c>
      <c r="E202" s="5" t="s">
        <v>78</v>
      </c>
      <c r="F202" s="5" t="s">
        <v>79</v>
      </c>
      <c r="G202" s="5" t="s">
        <v>52</v>
      </c>
      <c r="H202" s="5" t="s">
        <v>1392</v>
      </c>
      <c r="I202" s="5">
        <v>202500958</v>
      </c>
      <c r="J202" s="5"/>
      <c r="K202" s="6">
        <v>45883</v>
      </c>
      <c r="L202" s="6">
        <v>45889</v>
      </c>
      <c r="M202" s="5" t="s">
        <v>53</v>
      </c>
      <c r="N202" s="5" t="s">
        <v>54</v>
      </c>
      <c r="O202" s="5" t="s">
        <v>41</v>
      </c>
      <c r="P202" s="30">
        <f t="shared" si="10"/>
        <v>6</v>
      </c>
      <c r="Q202" s="41">
        <v>3807.6615384615384</v>
      </c>
      <c r="R202" s="41">
        <v>5500</v>
      </c>
      <c r="S202" s="41">
        <f t="shared" si="11"/>
        <v>1692.3384615384616</v>
      </c>
    </row>
    <row r="203" spans="1:19">
      <c r="A203" s="5">
        <v>202</v>
      </c>
      <c r="B203" s="5">
        <v>2508143374</v>
      </c>
      <c r="C203" s="5" t="s">
        <v>1402</v>
      </c>
      <c r="D203" s="5" t="s">
        <v>437</v>
      </c>
      <c r="E203" s="5" t="s">
        <v>438</v>
      </c>
      <c r="F203" s="5" t="s">
        <v>71</v>
      </c>
      <c r="G203" s="5" t="s">
        <v>43</v>
      </c>
      <c r="H203" s="5" t="s">
        <v>1392</v>
      </c>
      <c r="I203" s="5">
        <v>202500959</v>
      </c>
      <c r="J203" s="5"/>
      <c r="K203" s="6">
        <v>45883</v>
      </c>
      <c r="L203" s="6">
        <v>45889</v>
      </c>
      <c r="M203" s="5" t="s">
        <v>53</v>
      </c>
      <c r="N203" s="5" t="s">
        <v>54</v>
      </c>
      <c r="O203" s="5" t="s">
        <v>41</v>
      </c>
      <c r="P203" s="30">
        <f t="shared" si="10"/>
        <v>6</v>
      </c>
      <c r="Q203" s="41">
        <v>3807.6615384615384</v>
      </c>
      <c r="R203" s="41">
        <v>13500</v>
      </c>
      <c r="S203" s="41">
        <f t="shared" si="11"/>
        <v>9692.3384615384621</v>
      </c>
    </row>
    <row r="204" spans="1:19">
      <c r="A204" s="5">
        <v>203</v>
      </c>
      <c r="B204" s="5">
        <v>2508143379</v>
      </c>
      <c r="C204" s="5" t="s">
        <v>1403</v>
      </c>
      <c r="D204" s="5" t="s">
        <v>257</v>
      </c>
      <c r="E204" s="5" t="s">
        <v>258</v>
      </c>
      <c r="F204" s="5" t="s">
        <v>62</v>
      </c>
      <c r="G204" s="5" t="s">
        <v>52</v>
      </c>
      <c r="H204" s="5" t="s">
        <v>1392</v>
      </c>
      <c r="I204" s="5">
        <v>202500960</v>
      </c>
      <c r="J204" s="5"/>
      <c r="K204" s="6">
        <v>45883</v>
      </c>
      <c r="L204" s="6">
        <v>45889</v>
      </c>
      <c r="M204" s="5" t="s">
        <v>53</v>
      </c>
      <c r="N204" s="5" t="s">
        <v>54</v>
      </c>
      <c r="O204" s="5" t="s">
        <v>41</v>
      </c>
      <c r="P204" s="30">
        <f t="shared" si="10"/>
        <v>6</v>
      </c>
      <c r="Q204" s="41">
        <v>3807.6615384615384</v>
      </c>
      <c r="R204" s="41">
        <v>5100</v>
      </c>
      <c r="S204" s="41">
        <f t="shared" si="11"/>
        <v>1292.3384615384616</v>
      </c>
    </row>
    <row r="205" spans="1:19">
      <c r="A205" s="5">
        <v>204</v>
      </c>
      <c r="B205" s="5">
        <v>2508143385</v>
      </c>
      <c r="C205" s="5" t="s">
        <v>1404</v>
      </c>
      <c r="D205" s="5" t="s">
        <v>791</v>
      </c>
      <c r="E205" s="5" t="s">
        <v>792</v>
      </c>
      <c r="F205" s="5" t="s">
        <v>141</v>
      </c>
      <c r="G205" s="5" t="s">
        <v>52</v>
      </c>
      <c r="H205" s="5" t="s">
        <v>1392</v>
      </c>
      <c r="I205" s="5">
        <v>202500961</v>
      </c>
      <c r="J205" s="5"/>
      <c r="K205" s="6">
        <v>45883</v>
      </c>
      <c r="L205" s="6">
        <v>45889</v>
      </c>
      <c r="M205" s="5" t="s">
        <v>53</v>
      </c>
      <c r="N205" s="5" t="s">
        <v>54</v>
      </c>
      <c r="O205" s="5" t="s">
        <v>41</v>
      </c>
      <c r="P205" s="30">
        <f t="shared" si="10"/>
        <v>6</v>
      </c>
      <c r="Q205" s="41">
        <v>3807.6615384615384</v>
      </c>
      <c r="R205" s="41">
        <v>6000</v>
      </c>
      <c r="S205" s="41">
        <f t="shared" si="11"/>
        <v>2192.3384615384616</v>
      </c>
    </row>
    <row r="206" spans="1:19">
      <c r="A206" s="5">
        <v>205</v>
      </c>
      <c r="B206" s="5">
        <v>2508143389</v>
      </c>
      <c r="C206" s="5" t="s">
        <v>1405</v>
      </c>
      <c r="D206" s="5" t="s">
        <v>107</v>
      </c>
      <c r="E206" s="5" t="s">
        <v>205</v>
      </c>
      <c r="F206" s="5" t="s">
        <v>109</v>
      </c>
      <c r="G206" s="5" t="s">
        <v>52</v>
      </c>
      <c r="H206" s="5" t="s">
        <v>1392</v>
      </c>
      <c r="I206" s="5">
        <v>202500962</v>
      </c>
      <c r="J206" s="5"/>
      <c r="K206" s="6">
        <v>45883</v>
      </c>
      <c r="L206" s="6">
        <v>45889</v>
      </c>
      <c r="M206" s="5" t="s">
        <v>53</v>
      </c>
      <c r="N206" s="5" t="s">
        <v>54</v>
      </c>
      <c r="O206" s="5" t="s">
        <v>41</v>
      </c>
      <c r="P206" s="30">
        <f t="shared" si="10"/>
        <v>6</v>
      </c>
      <c r="Q206" s="41">
        <v>3807.6615384615384</v>
      </c>
      <c r="R206" s="41">
        <v>5500</v>
      </c>
      <c r="S206" s="41">
        <f t="shared" si="11"/>
        <v>1692.3384615384616</v>
      </c>
    </row>
    <row r="207" spans="1:19">
      <c r="A207" s="5">
        <v>206</v>
      </c>
      <c r="B207" s="9">
        <v>2508143395</v>
      </c>
      <c r="C207" s="9" t="s">
        <v>1406</v>
      </c>
      <c r="D207" s="9" t="s">
        <v>405</v>
      </c>
      <c r="E207" s="9" t="s">
        <v>459</v>
      </c>
      <c r="F207" s="9" t="s">
        <v>202</v>
      </c>
      <c r="G207" s="9" t="s">
        <v>52</v>
      </c>
      <c r="H207" s="9" t="s">
        <v>1392</v>
      </c>
      <c r="I207" s="9">
        <v>202500963</v>
      </c>
      <c r="J207" s="9"/>
      <c r="K207" s="10">
        <v>45883</v>
      </c>
      <c r="L207" s="10">
        <v>45889</v>
      </c>
      <c r="M207" s="9" t="s">
        <v>45</v>
      </c>
      <c r="N207" s="9" t="s">
        <v>94</v>
      </c>
      <c r="O207" s="9" t="s">
        <v>389</v>
      </c>
      <c r="P207" s="32">
        <f t="shared" si="10"/>
        <v>6</v>
      </c>
      <c r="Q207" s="11">
        <v>3807.6615384615384</v>
      </c>
      <c r="R207" s="11">
        <v>6450</v>
      </c>
      <c r="S207" s="11">
        <f t="shared" si="11"/>
        <v>2642.3384615384616</v>
      </c>
    </row>
    <row r="208" spans="1:19">
      <c r="A208" s="5">
        <v>207</v>
      </c>
      <c r="B208" s="5">
        <v>2508143400</v>
      </c>
      <c r="C208" s="5" t="s">
        <v>1407</v>
      </c>
      <c r="D208" s="5" t="s">
        <v>405</v>
      </c>
      <c r="E208" s="5" t="s">
        <v>459</v>
      </c>
      <c r="F208" s="5" t="s">
        <v>202</v>
      </c>
      <c r="G208" s="5" t="s">
        <v>52</v>
      </c>
      <c r="H208" s="5" t="s">
        <v>1392</v>
      </c>
      <c r="I208" s="5">
        <v>202500964</v>
      </c>
      <c r="J208" s="5"/>
      <c r="K208" s="6">
        <v>45883</v>
      </c>
      <c r="L208" s="6">
        <v>45889</v>
      </c>
      <c r="M208" s="5" t="s">
        <v>53</v>
      </c>
      <c r="N208" s="5" t="s">
        <v>54</v>
      </c>
      <c r="O208" s="5" t="s">
        <v>41</v>
      </c>
      <c r="P208" s="30">
        <f t="shared" si="10"/>
        <v>6</v>
      </c>
      <c r="Q208" s="41">
        <v>3807.6615384615384</v>
      </c>
      <c r="R208" s="41">
        <v>6450</v>
      </c>
      <c r="S208" s="41">
        <f t="shared" si="11"/>
        <v>2642.3384615384616</v>
      </c>
    </row>
    <row r="209" spans="1:19">
      <c r="A209" s="5">
        <v>208</v>
      </c>
      <c r="B209" s="5">
        <v>2508152965</v>
      </c>
      <c r="C209" s="5" t="s">
        <v>1408</v>
      </c>
      <c r="D209" s="5" t="s">
        <v>334</v>
      </c>
      <c r="E209" s="5" t="s">
        <v>335</v>
      </c>
      <c r="F209" s="5" t="s">
        <v>71</v>
      </c>
      <c r="G209" s="5" t="s">
        <v>52</v>
      </c>
      <c r="H209" s="5" t="s">
        <v>1392</v>
      </c>
      <c r="I209" s="5">
        <v>202500965</v>
      </c>
      <c r="J209" s="5"/>
      <c r="K209" s="6">
        <v>45884</v>
      </c>
      <c r="L209" s="6">
        <v>45889</v>
      </c>
      <c r="M209" s="5" t="s">
        <v>53</v>
      </c>
      <c r="N209" s="5" t="s">
        <v>54</v>
      </c>
      <c r="O209" s="5" t="s">
        <v>41</v>
      </c>
      <c r="P209" s="30">
        <f t="shared" si="10"/>
        <v>5</v>
      </c>
      <c r="Q209" s="41">
        <v>3807.6615384615384</v>
      </c>
      <c r="R209" s="41">
        <v>5950</v>
      </c>
      <c r="S209" s="41">
        <f t="shared" si="11"/>
        <v>2142.3384615384616</v>
      </c>
    </row>
    <row r="210" spans="1:19">
      <c r="A210" s="5">
        <v>209</v>
      </c>
      <c r="B210" s="5">
        <v>2508152981</v>
      </c>
      <c r="C210" s="5" t="s">
        <v>1409</v>
      </c>
      <c r="D210" s="5" t="s">
        <v>405</v>
      </c>
      <c r="E210" s="5" t="s">
        <v>459</v>
      </c>
      <c r="F210" s="5" t="s">
        <v>202</v>
      </c>
      <c r="G210" s="5" t="s">
        <v>52</v>
      </c>
      <c r="H210" s="5" t="s">
        <v>1392</v>
      </c>
      <c r="I210" s="5">
        <v>202500966</v>
      </c>
      <c r="J210" s="5"/>
      <c r="K210" s="6">
        <v>45884</v>
      </c>
      <c r="L210" s="6">
        <v>45889</v>
      </c>
      <c r="M210" s="5" t="s">
        <v>53</v>
      </c>
      <c r="N210" s="5" t="s">
        <v>54</v>
      </c>
      <c r="O210" s="5" t="s">
        <v>41</v>
      </c>
      <c r="P210" s="30">
        <f t="shared" si="10"/>
        <v>5</v>
      </c>
      <c r="Q210" s="41">
        <v>3807.6615384615384</v>
      </c>
      <c r="R210" s="41">
        <v>6450</v>
      </c>
      <c r="S210" s="41">
        <f t="shared" si="11"/>
        <v>2642.3384615384616</v>
      </c>
    </row>
    <row r="211" spans="1:19">
      <c r="A211" s="5">
        <v>210</v>
      </c>
      <c r="B211" s="5">
        <v>2508153042</v>
      </c>
      <c r="C211" s="5" t="s">
        <v>1410</v>
      </c>
      <c r="D211" s="5" t="s">
        <v>49</v>
      </c>
      <c r="E211" s="5" t="s">
        <v>50</v>
      </c>
      <c r="F211" s="5" t="s">
        <v>51</v>
      </c>
      <c r="G211" s="5" t="s">
        <v>52</v>
      </c>
      <c r="H211" s="5" t="s">
        <v>1392</v>
      </c>
      <c r="I211" s="5">
        <v>202500967</v>
      </c>
      <c r="J211" s="5"/>
      <c r="K211" s="6">
        <v>45884</v>
      </c>
      <c r="L211" s="6">
        <v>45889</v>
      </c>
      <c r="M211" s="5" t="s">
        <v>53</v>
      </c>
      <c r="N211" s="5" t="s">
        <v>54</v>
      </c>
      <c r="O211" s="5" t="s">
        <v>41</v>
      </c>
      <c r="P211" s="30">
        <f t="shared" si="10"/>
        <v>5</v>
      </c>
      <c r="Q211" s="41">
        <v>3807.6615384615384</v>
      </c>
      <c r="R211" s="41">
        <v>5500</v>
      </c>
      <c r="S211" s="41">
        <f t="shared" si="11"/>
        <v>1692.3384615384616</v>
      </c>
    </row>
    <row r="212" spans="1:19">
      <c r="A212" s="5">
        <v>211</v>
      </c>
      <c r="B212" s="5">
        <v>2508153053</v>
      </c>
      <c r="C212" s="5" t="s">
        <v>1411</v>
      </c>
      <c r="D212" s="5" t="s">
        <v>73</v>
      </c>
      <c r="E212" s="5" t="s">
        <v>1412</v>
      </c>
      <c r="F212" s="5" t="s">
        <v>71</v>
      </c>
      <c r="G212" s="5" t="s">
        <v>52</v>
      </c>
      <c r="H212" s="5" t="s">
        <v>1392</v>
      </c>
      <c r="I212" s="5">
        <v>202500968</v>
      </c>
      <c r="J212" s="5"/>
      <c r="K212" s="6">
        <v>45884</v>
      </c>
      <c r="L212" s="6">
        <v>45889</v>
      </c>
      <c r="M212" s="5" t="s">
        <v>53</v>
      </c>
      <c r="N212" s="5" t="s">
        <v>54</v>
      </c>
      <c r="O212" s="5" t="s">
        <v>41</v>
      </c>
      <c r="P212" s="30">
        <f t="shared" si="10"/>
        <v>5</v>
      </c>
      <c r="Q212" s="41">
        <v>3807.6615384615384</v>
      </c>
      <c r="R212" s="41">
        <v>8000</v>
      </c>
      <c r="S212" s="41">
        <f t="shared" si="11"/>
        <v>4192.3384615384621</v>
      </c>
    </row>
    <row r="213" spans="1:19">
      <c r="A213" s="5">
        <v>212</v>
      </c>
      <c r="B213" s="5">
        <v>2508161739</v>
      </c>
      <c r="C213" s="5" t="s">
        <v>1413</v>
      </c>
      <c r="D213" s="5" t="s">
        <v>810</v>
      </c>
      <c r="E213" s="5" t="s">
        <v>1414</v>
      </c>
      <c r="F213" s="5" t="s">
        <v>457</v>
      </c>
      <c r="G213" s="5" t="s">
        <v>43</v>
      </c>
      <c r="H213" s="5" t="s">
        <v>1392</v>
      </c>
      <c r="I213" s="5">
        <v>202500969</v>
      </c>
      <c r="J213" s="5"/>
      <c r="K213" s="6">
        <v>45885</v>
      </c>
      <c r="L213" s="6">
        <v>45889</v>
      </c>
      <c r="M213" s="5" t="s">
        <v>53</v>
      </c>
      <c r="N213" s="5" t="s">
        <v>54</v>
      </c>
      <c r="O213" s="5" t="s">
        <v>41</v>
      </c>
      <c r="P213" s="30">
        <f t="shared" si="10"/>
        <v>4</v>
      </c>
      <c r="Q213" s="41">
        <v>3807.6615384615384</v>
      </c>
      <c r="R213" s="41">
        <v>12500</v>
      </c>
      <c r="S213" s="41">
        <f t="shared" si="11"/>
        <v>8692.3384615384621</v>
      </c>
    </row>
    <row r="214" spans="1:19">
      <c r="A214" s="5">
        <v>213</v>
      </c>
      <c r="B214" s="5">
        <v>2508161733</v>
      </c>
      <c r="C214" s="5" t="s">
        <v>1415</v>
      </c>
      <c r="D214" s="5" t="s">
        <v>733</v>
      </c>
      <c r="E214" s="5" t="s">
        <v>1000</v>
      </c>
      <c r="F214" s="5" t="s">
        <v>51</v>
      </c>
      <c r="G214" s="5" t="s">
        <v>52</v>
      </c>
      <c r="H214" s="5" t="s">
        <v>1392</v>
      </c>
      <c r="I214" s="5">
        <v>202500970</v>
      </c>
      <c r="J214" s="5"/>
      <c r="K214" s="6">
        <v>45885</v>
      </c>
      <c r="L214" s="6">
        <v>45889</v>
      </c>
      <c r="M214" s="5" t="s">
        <v>53</v>
      </c>
      <c r="N214" s="5" t="s">
        <v>54</v>
      </c>
      <c r="O214" s="5" t="s">
        <v>41</v>
      </c>
      <c r="P214" s="30">
        <f t="shared" si="10"/>
        <v>4</v>
      </c>
      <c r="Q214" s="41">
        <v>3807.6615384615384</v>
      </c>
      <c r="R214" s="41">
        <v>5300</v>
      </c>
      <c r="S214" s="41">
        <f t="shared" si="11"/>
        <v>1492.3384615384616</v>
      </c>
    </row>
    <row r="215" spans="1:19">
      <c r="A215" s="5">
        <v>214</v>
      </c>
      <c r="B215" s="5">
        <v>2508161789</v>
      </c>
      <c r="C215" s="5" t="s">
        <v>1416</v>
      </c>
      <c r="D215" s="5" t="s">
        <v>40</v>
      </c>
      <c r="E215" s="5" t="s">
        <v>41</v>
      </c>
      <c r="F215" s="5" t="s">
        <v>42</v>
      </c>
      <c r="G215" s="5" t="s">
        <v>52</v>
      </c>
      <c r="H215" s="5" t="s">
        <v>1392</v>
      </c>
      <c r="I215" s="5">
        <v>202500971</v>
      </c>
      <c r="J215" s="5"/>
      <c r="K215" s="6">
        <v>45885</v>
      </c>
      <c r="L215" s="6">
        <v>45889</v>
      </c>
      <c r="M215" s="5" t="s">
        <v>53</v>
      </c>
      <c r="N215" s="5" t="s">
        <v>54</v>
      </c>
      <c r="O215" s="5" t="s">
        <v>41</v>
      </c>
      <c r="P215" s="30">
        <f t="shared" si="10"/>
        <v>4</v>
      </c>
      <c r="Q215" s="41">
        <v>3807.6615384615384</v>
      </c>
      <c r="R215" s="41">
        <v>7600</v>
      </c>
      <c r="S215" s="41">
        <f t="shared" si="11"/>
        <v>3792.3384615384616</v>
      </c>
    </row>
    <row r="216" spans="1:19">
      <c r="A216" s="5">
        <v>215</v>
      </c>
      <c r="B216" s="5">
        <v>2508162748</v>
      </c>
      <c r="C216" s="5" t="s">
        <v>1417</v>
      </c>
      <c r="D216" s="5" t="s">
        <v>153</v>
      </c>
      <c r="E216" s="5" t="s">
        <v>154</v>
      </c>
      <c r="F216" s="5" t="s">
        <v>141</v>
      </c>
      <c r="G216" s="5" t="s">
        <v>43</v>
      </c>
      <c r="H216" s="5" t="s">
        <v>1392</v>
      </c>
      <c r="I216" s="5">
        <v>202500972</v>
      </c>
      <c r="J216" s="5"/>
      <c r="K216" s="43">
        <v>45885</v>
      </c>
      <c r="L216" s="6">
        <v>45889</v>
      </c>
      <c r="M216" s="5" t="s">
        <v>53</v>
      </c>
      <c r="N216" s="5" t="s">
        <v>54</v>
      </c>
      <c r="O216" s="5" t="s">
        <v>41</v>
      </c>
      <c r="P216" s="30">
        <f t="shared" si="10"/>
        <v>4</v>
      </c>
      <c r="Q216" s="41">
        <v>3807.6615384615384</v>
      </c>
      <c r="R216" s="41">
        <v>10000</v>
      </c>
      <c r="S216" s="41">
        <f t="shared" si="11"/>
        <v>6192.3384615384621</v>
      </c>
    </row>
    <row r="217" spans="1:19">
      <c r="A217" s="5">
        <v>216</v>
      </c>
      <c r="B217" s="5">
        <v>2508171229</v>
      </c>
      <c r="C217" s="5" t="s">
        <v>1418</v>
      </c>
      <c r="D217" s="5" t="s">
        <v>666</v>
      </c>
      <c r="E217" s="5" t="s">
        <v>667</v>
      </c>
      <c r="F217" s="5" t="s">
        <v>87</v>
      </c>
      <c r="G217" s="5" t="s">
        <v>75</v>
      </c>
      <c r="H217" s="5" t="s">
        <v>1392</v>
      </c>
      <c r="I217" s="5">
        <v>202500973</v>
      </c>
      <c r="J217" s="5"/>
      <c r="K217" s="6">
        <v>45886</v>
      </c>
      <c r="L217" s="6">
        <v>45889</v>
      </c>
      <c r="M217" s="5" t="s">
        <v>53</v>
      </c>
      <c r="N217" s="5" t="s">
        <v>54</v>
      </c>
      <c r="O217" s="5" t="s">
        <v>41</v>
      </c>
      <c r="P217" s="30">
        <f t="shared" si="10"/>
        <v>3</v>
      </c>
      <c r="Q217" s="41">
        <v>3807.6615384615384</v>
      </c>
      <c r="R217" s="41">
        <v>5500</v>
      </c>
      <c r="S217" s="41">
        <f t="shared" si="11"/>
        <v>1692.3384615384616</v>
      </c>
    </row>
    <row r="218" spans="1:19">
      <c r="A218" s="5">
        <v>217</v>
      </c>
      <c r="B218" s="5">
        <v>2508171243</v>
      </c>
      <c r="C218" s="5" t="s">
        <v>1419</v>
      </c>
      <c r="D218" s="5" t="s">
        <v>550</v>
      </c>
      <c r="E218" s="5" t="s">
        <v>551</v>
      </c>
      <c r="F218" s="5" t="s">
        <v>51</v>
      </c>
      <c r="G218" s="5" t="s">
        <v>75</v>
      </c>
      <c r="H218" s="5" t="s">
        <v>1392</v>
      </c>
      <c r="I218" s="5">
        <v>202500974</v>
      </c>
      <c r="J218" s="5"/>
      <c r="K218" s="6">
        <v>45886</v>
      </c>
      <c r="L218" s="6">
        <v>45889</v>
      </c>
      <c r="M218" s="5" t="s">
        <v>53</v>
      </c>
      <c r="N218" s="5" t="s">
        <v>54</v>
      </c>
      <c r="O218" s="5" t="s">
        <v>41</v>
      </c>
      <c r="P218" s="30">
        <f t="shared" si="10"/>
        <v>3</v>
      </c>
      <c r="Q218" s="41">
        <v>3807.6615384615384</v>
      </c>
      <c r="R218" s="41">
        <v>7000</v>
      </c>
      <c r="S218" s="41">
        <f t="shared" si="11"/>
        <v>3192.3384615384616</v>
      </c>
    </row>
    <row r="219" spans="1:19">
      <c r="A219" s="5">
        <v>218</v>
      </c>
      <c r="B219" s="9">
        <v>2508171227</v>
      </c>
      <c r="C219" s="9" t="s">
        <v>1420</v>
      </c>
      <c r="D219" s="9" t="s">
        <v>804</v>
      </c>
      <c r="E219" s="9" t="s">
        <v>805</v>
      </c>
      <c r="F219" s="9" t="s">
        <v>457</v>
      </c>
      <c r="G219" s="9" t="s">
        <v>43</v>
      </c>
      <c r="H219" s="9" t="s">
        <v>1392</v>
      </c>
      <c r="I219" s="9">
        <v>202500975</v>
      </c>
      <c r="J219" s="9"/>
      <c r="K219" s="10">
        <v>45886</v>
      </c>
      <c r="L219" s="10">
        <v>45889</v>
      </c>
      <c r="M219" s="9" t="s">
        <v>53</v>
      </c>
      <c r="N219" s="9" t="s">
        <v>94</v>
      </c>
      <c r="O219" s="9" t="s">
        <v>1421</v>
      </c>
      <c r="P219" s="32">
        <f t="shared" si="10"/>
        <v>3</v>
      </c>
      <c r="Q219" s="11">
        <v>3807.6615384615384</v>
      </c>
      <c r="R219" s="11">
        <v>11000</v>
      </c>
      <c r="S219" s="11">
        <f t="shared" si="11"/>
        <v>7192.3384615384621</v>
      </c>
    </row>
    <row r="220" spans="1:19">
      <c r="A220" s="5">
        <v>219</v>
      </c>
      <c r="B220" s="5">
        <v>2508171232</v>
      </c>
      <c r="C220" s="5" t="s">
        <v>1422</v>
      </c>
      <c r="D220" s="5" t="s">
        <v>804</v>
      </c>
      <c r="E220" s="5" t="s">
        <v>805</v>
      </c>
      <c r="F220" s="5" t="s">
        <v>457</v>
      </c>
      <c r="G220" s="5" t="s">
        <v>75</v>
      </c>
      <c r="H220" s="5" t="s">
        <v>1392</v>
      </c>
      <c r="I220" s="5">
        <v>202500976</v>
      </c>
      <c r="J220" s="5"/>
      <c r="K220" s="6">
        <v>45886</v>
      </c>
      <c r="L220" s="6">
        <v>45889</v>
      </c>
      <c r="M220" s="5" t="s">
        <v>53</v>
      </c>
      <c r="N220" s="5" t="s">
        <v>54</v>
      </c>
      <c r="O220" s="5" t="s">
        <v>41</v>
      </c>
      <c r="P220" s="30">
        <f t="shared" si="10"/>
        <v>3</v>
      </c>
      <c r="Q220" s="41">
        <v>3807.6615384615384</v>
      </c>
      <c r="R220" s="41">
        <v>5000</v>
      </c>
      <c r="S220" s="41">
        <f t="shared" si="11"/>
        <v>1192.3384615384616</v>
      </c>
    </row>
    <row r="221" spans="1:19">
      <c r="A221" s="5">
        <v>220</v>
      </c>
      <c r="B221" s="5">
        <v>2508171246</v>
      </c>
      <c r="C221" s="5" t="s">
        <v>1423</v>
      </c>
      <c r="D221" s="5" t="s">
        <v>528</v>
      </c>
      <c r="E221" s="5" t="s">
        <v>529</v>
      </c>
      <c r="F221" s="5" t="s">
        <v>202</v>
      </c>
      <c r="G221" s="5" t="s">
        <v>52</v>
      </c>
      <c r="H221" s="5" t="s">
        <v>1392</v>
      </c>
      <c r="I221" s="5">
        <v>202500977</v>
      </c>
      <c r="J221" s="5"/>
      <c r="K221" s="6">
        <v>45886</v>
      </c>
      <c r="L221" s="6">
        <v>45889</v>
      </c>
      <c r="M221" s="5" t="s">
        <v>53</v>
      </c>
      <c r="N221" s="5" t="s">
        <v>54</v>
      </c>
      <c r="O221" s="5" t="s">
        <v>41</v>
      </c>
      <c r="P221" s="30">
        <f t="shared" si="10"/>
        <v>3</v>
      </c>
      <c r="Q221" s="41">
        <v>3807.6615384615384</v>
      </c>
      <c r="R221" s="41">
        <v>7500</v>
      </c>
      <c r="S221" s="41">
        <f t="shared" si="11"/>
        <v>3692.3384615384616</v>
      </c>
    </row>
    <row r="222" spans="1:19">
      <c r="A222" s="5">
        <v>221</v>
      </c>
      <c r="B222" s="5" t="s">
        <v>1239</v>
      </c>
      <c r="C222" s="5"/>
      <c r="D222" s="5"/>
      <c r="E222" s="5"/>
      <c r="F222" s="5"/>
      <c r="G222" s="5" t="s">
        <v>52</v>
      </c>
      <c r="H222" s="5"/>
      <c r="I222" s="5"/>
      <c r="J222" s="5"/>
      <c r="K222" s="5"/>
      <c r="L222" s="5"/>
      <c r="M222" s="5"/>
      <c r="N222" s="5"/>
      <c r="O222" s="5"/>
      <c r="P222" s="5"/>
      <c r="Q222" s="41">
        <v>3807.6615384615384</v>
      </c>
      <c r="R222" s="41">
        <v>0</v>
      </c>
      <c r="S222" s="41">
        <f t="shared" si="11"/>
        <v>-3807.6615384615384</v>
      </c>
    </row>
    <row r="223" spans="1:19">
      <c r="A223" s="5">
        <v>222</v>
      </c>
      <c r="B223" s="5" t="s">
        <v>1240</v>
      </c>
      <c r="C223" s="5"/>
      <c r="D223" s="5"/>
      <c r="E223" s="5"/>
      <c r="F223" s="5"/>
      <c r="G223" s="5" t="s">
        <v>52</v>
      </c>
      <c r="H223" s="5"/>
      <c r="I223" s="5"/>
      <c r="J223" s="5"/>
      <c r="K223" s="5"/>
      <c r="L223" s="5"/>
      <c r="M223" s="5"/>
      <c r="N223" s="5"/>
      <c r="O223" s="5"/>
      <c r="P223" s="5"/>
      <c r="Q223" s="41">
        <v>3807.6615384615384</v>
      </c>
      <c r="R223" s="41">
        <v>0</v>
      </c>
      <c r="S223" s="41">
        <f t="shared" si="11"/>
        <v>-3807.6615384615384</v>
      </c>
    </row>
    <row r="224" spans="1:19">
      <c r="A224" s="5">
        <v>223</v>
      </c>
      <c r="B224" s="17">
        <v>2508082937</v>
      </c>
      <c r="C224" s="17" t="s">
        <v>1327</v>
      </c>
      <c r="D224" s="17" t="s">
        <v>83</v>
      </c>
      <c r="E224" s="17" t="s">
        <v>84</v>
      </c>
      <c r="F224" s="17" t="s">
        <v>62</v>
      </c>
      <c r="G224" s="17" t="s">
        <v>43</v>
      </c>
      <c r="H224" s="17" t="s">
        <v>1424</v>
      </c>
      <c r="I224" s="17" t="s">
        <v>1425</v>
      </c>
      <c r="J224" s="17"/>
      <c r="K224" s="18">
        <v>45886</v>
      </c>
      <c r="L224" s="18">
        <v>45891</v>
      </c>
      <c r="M224" s="17" t="s">
        <v>53</v>
      </c>
      <c r="N224" s="17" t="s">
        <v>480</v>
      </c>
      <c r="O224" s="17" t="s">
        <v>1457</v>
      </c>
      <c r="P224" s="31">
        <f t="shared" ref="P224:P245" si="12">L224-K224</f>
        <v>5</v>
      </c>
      <c r="Q224" s="19">
        <v>4090.7999999999997</v>
      </c>
      <c r="R224" s="19">
        <v>0</v>
      </c>
      <c r="S224" s="19">
        <f t="shared" si="11"/>
        <v>-4090.7999999999997</v>
      </c>
    </row>
    <row r="225" spans="1:19">
      <c r="A225" s="5">
        <v>224</v>
      </c>
      <c r="B225" s="13">
        <v>2508143395</v>
      </c>
      <c r="C225" s="13" t="s">
        <v>1406</v>
      </c>
      <c r="D225" s="13" t="s">
        <v>405</v>
      </c>
      <c r="E225" s="13" t="s">
        <v>459</v>
      </c>
      <c r="F225" s="13" t="s">
        <v>202</v>
      </c>
      <c r="G225" s="13" t="s">
        <v>52</v>
      </c>
      <c r="H225" s="13" t="s">
        <v>1424</v>
      </c>
      <c r="I225" s="13" t="s">
        <v>1426</v>
      </c>
      <c r="J225" s="13"/>
      <c r="K225" s="14">
        <v>45883</v>
      </c>
      <c r="L225" s="14">
        <v>45891</v>
      </c>
      <c r="M225" s="13" t="s">
        <v>45</v>
      </c>
      <c r="N225" s="13" t="s">
        <v>46</v>
      </c>
      <c r="O225" s="13" t="s">
        <v>1427</v>
      </c>
      <c r="P225" s="35">
        <f t="shared" si="12"/>
        <v>8</v>
      </c>
      <c r="Q225" s="15">
        <v>4090.7999999999997</v>
      </c>
      <c r="R225" s="15">
        <v>0</v>
      </c>
      <c r="S225" s="15">
        <f t="shared" si="11"/>
        <v>-4090.7999999999997</v>
      </c>
    </row>
    <row r="226" spans="1:19">
      <c r="A226" s="5">
        <v>225</v>
      </c>
      <c r="B226" s="13">
        <v>2508171227</v>
      </c>
      <c r="C226" s="13" t="s">
        <v>1420</v>
      </c>
      <c r="D226" s="13" t="s">
        <v>804</v>
      </c>
      <c r="E226" s="13" t="s">
        <v>805</v>
      </c>
      <c r="F226" s="13" t="s">
        <v>457</v>
      </c>
      <c r="G226" s="13" t="s">
        <v>43</v>
      </c>
      <c r="H226" s="13" t="s">
        <v>1424</v>
      </c>
      <c r="I226" s="13" t="s">
        <v>1428</v>
      </c>
      <c r="J226" s="13"/>
      <c r="K226" s="14">
        <v>45886</v>
      </c>
      <c r="L226" s="14">
        <v>45891</v>
      </c>
      <c r="M226" s="13" t="s">
        <v>53</v>
      </c>
      <c r="N226" s="13" t="s">
        <v>46</v>
      </c>
      <c r="O226" s="13" t="s">
        <v>1118</v>
      </c>
      <c r="P226" s="35">
        <f t="shared" si="12"/>
        <v>5</v>
      </c>
      <c r="Q226" s="15">
        <v>4090.7999999999997</v>
      </c>
      <c r="R226" s="15">
        <v>0</v>
      </c>
      <c r="S226" s="15">
        <f t="shared" si="11"/>
        <v>-4090.7999999999997</v>
      </c>
    </row>
    <row r="227" spans="1:19">
      <c r="A227" s="5">
        <v>226</v>
      </c>
      <c r="B227" s="5">
        <v>2508171236</v>
      </c>
      <c r="C227" s="5" t="s">
        <v>1429</v>
      </c>
      <c r="D227" s="5" t="s">
        <v>405</v>
      </c>
      <c r="E227" s="5" t="s">
        <v>485</v>
      </c>
      <c r="F227" s="5" t="s">
        <v>202</v>
      </c>
      <c r="G227" s="5" t="s">
        <v>43</v>
      </c>
      <c r="H227" s="5" t="s">
        <v>1424</v>
      </c>
      <c r="I227" s="5">
        <v>202500978</v>
      </c>
      <c r="J227" s="5"/>
      <c r="K227" s="6">
        <v>45886</v>
      </c>
      <c r="L227" s="6">
        <v>45891</v>
      </c>
      <c r="M227" s="5" t="s">
        <v>53</v>
      </c>
      <c r="N227" s="5" t="s">
        <v>54</v>
      </c>
      <c r="O227" s="5" t="s">
        <v>41</v>
      </c>
      <c r="P227" s="30">
        <f t="shared" si="12"/>
        <v>5</v>
      </c>
      <c r="Q227" s="41">
        <v>4090.7999999999997</v>
      </c>
      <c r="R227" s="41">
        <v>13500</v>
      </c>
      <c r="S227" s="41">
        <f t="shared" si="11"/>
        <v>9409.2000000000007</v>
      </c>
    </row>
    <row r="228" spans="1:19">
      <c r="A228" s="5">
        <v>227</v>
      </c>
      <c r="B228" s="5">
        <v>2508171240</v>
      </c>
      <c r="C228" s="5" t="s">
        <v>1430</v>
      </c>
      <c r="D228" s="5" t="s">
        <v>405</v>
      </c>
      <c r="E228" s="5" t="s">
        <v>1313</v>
      </c>
      <c r="F228" s="5" t="s">
        <v>202</v>
      </c>
      <c r="G228" s="5" t="s">
        <v>75</v>
      </c>
      <c r="H228" s="5" t="s">
        <v>1424</v>
      </c>
      <c r="I228" s="5">
        <v>202500979</v>
      </c>
      <c r="J228" s="5"/>
      <c r="K228" s="6">
        <v>45886</v>
      </c>
      <c r="L228" s="6">
        <v>45891</v>
      </c>
      <c r="M228" s="5" t="s">
        <v>53</v>
      </c>
      <c r="N228" s="5" t="s">
        <v>54</v>
      </c>
      <c r="O228" s="5" t="s">
        <v>41</v>
      </c>
      <c r="P228" s="30">
        <f t="shared" si="12"/>
        <v>5</v>
      </c>
      <c r="Q228" s="41">
        <v>4090.7999999999997</v>
      </c>
      <c r="R228" s="41">
        <v>6450</v>
      </c>
      <c r="S228" s="41">
        <f t="shared" si="11"/>
        <v>2359.2000000000003</v>
      </c>
    </row>
    <row r="229" spans="1:19">
      <c r="A229" s="5">
        <v>228</v>
      </c>
      <c r="B229" s="5">
        <v>2508171247</v>
      </c>
      <c r="C229" s="5" t="s">
        <v>1431</v>
      </c>
      <c r="D229" s="5" t="s">
        <v>249</v>
      </c>
      <c r="E229" s="5" t="s">
        <v>250</v>
      </c>
      <c r="F229" s="5" t="s">
        <v>141</v>
      </c>
      <c r="G229" s="5" t="s">
        <v>75</v>
      </c>
      <c r="H229" s="5" t="s">
        <v>1424</v>
      </c>
      <c r="I229" s="5">
        <v>202500980</v>
      </c>
      <c r="J229" s="5"/>
      <c r="K229" s="6">
        <v>45886</v>
      </c>
      <c r="L229" s="6">
        <v>45891</v>
      </c>
      <c r="M229" s="5" t="s">
        <v>53</v>
      </c>
      <c r="N229" s="5" t="s">
        <v>54</v>
      </c>
      <c r="O229" s="5" t="s">
        <v>41</v>
      </c>
      <c r="P229" s="30">
        <f t="shared" si="12"/>
        <v>5</v>
      </c>
      <c r="Q229" s="41">
        <v>4090.7999999999997</v>
      </c>
      <c r="R229" s="41">
        <v>5500</v>
      </c>
      <c r="S229" s="41">
        <f t="shared" si="11"/>
        <v>1409.2000000000003</v>
      </c>
    </row>
    <row r="230" spans="1:19">
      <c r="A230" s="5">
        <v>229</v>
      </c>
      <c r="B230" s="5">
        <v>2508182110</v>
      </c>
      <c r="C230" s="5" t="s">
        <v>1432</v>
      </c>
      <c r="D230" s="5" t="s">
        <v>64</v>
      </c>
      <c r="E230" s="5" t="s">
        <v>65</v>
      </c>
      <c r="F230" s="5" t="s">
        <v>66</v>
      </c>
      <c r="G230" s="5" t="s">
        <v>52</v>
      </c>
      <c r="H230" s="5" t="s">
        <v>1424</v>
      </c>
      <c r="I230" s="5">
        <v>202500981</v>
      </c>
      <c r="J230" s="5"/>
      <c r="K230" s="6">
        <v>45887</v>
      </c>
      <c r="L230" s="6">
        <v>45891</v>
      </c>
      <c r="M230" s="5" t="s">
        <v>53</v>
      </c>
      <c r="N230" s="5" t="s">
        <v>54</v>
      </c>
      <c r="O230" s="5" t="s">
        <v>41</v>
      </c>
      <c r="P230" s="30">
        <f t="shared" si="12"/>
        <v>4</v>
      </c>
      <c r="Q230" s="41">
        <v>4090.7999999999997</v>
      </c>
      <c r="R230" s="41">
        <v>5500</v>
      </c>
      <c r="S230" s="41">
        <f t="shared" si="11"/>
        <v>1409.2000000000003</v>
      </c>
    </row>
    <row r="231" spans="1:19">
      <c r="A231" s="5">
        <v>230</v>
      </c>
      <c r="B231" s="5">
        <v>2508182119</v>
      </c>
      <c r="C231" s="5" t="s">
        <v>1433</v>
      </c>
      <c r="D231" s="5" t="s">
        <v>64</v>
      </c>
      <c r="E231" s="5" t="s">
        <v>65</v>
      </c>
      <c r="F231" s="5" t="s">
        <v>66</v>
      </c>
      <c r="G231" s="5" t="s">
        <v>52</v>
      </c>
      <c r="H231" s="5" t="s">
        <v>1424</v>
      </c>
      <c r="I231" s="5">
        <v>202500982</v>
      </c>
      <c r="J231" s="5"/>
      <c r="K231" s="6">
        <v>45887</v>
      </c>
      <c r="L231" s="6">
        <v>45891</v>
      </c>
      <c r="M231" s="5" t="s">
        <v>53</v>
      </c>
      <c r="N231" s="5" t="s">
        <v>54</v>
      </c>
      <c r="O231" s="5" t="s">
        <v>41</v>
      </c>
      <c r="P231" s="30">
        <f t="shared" si="12"/>
        <v>4</v>
      </c>
      <c r="Q231" s="41">
        <v>4090.7999999999997</v>
      </c>
      <c r="R231" s="41">
        <v>5500</v>
      </c>
      <c r="S231" s="41">
        <f t="shared" si="11"/>
        <v>1409.2000000000003</v>
      </c>
    </row>
    <row r="232" spans="1:19">
      <c r="A232" s="5">
        <v>231</v>
      </c>
      <c r="B232" s="5">
        <v>2508182149</v>
      </c>
      <c r="C232" s="5" t="s">
        <v>1434</v>
      </c>
      <c r="D232" s="5" t="s">
        <v>64</v>
      </c>
      <c r="E232" s="5" t="s">
        <v>65</v>
      </c>
      <c r="F232" s="5" t="s">
        <v>66</v>
      </c>
      <c r="G232" s="5" t="s">
        <v>52</v>
      </c>
      <c r="H232" s="5" t="s">
        <v>1424</v>
      </c>
      <c r="I232" s="5">
        <v>202500983</v>
      </c>
      <c r="J232" s="5"/>
      <c r="K232" s="6">
        <v>45887</v>
      </c>
      <c r="L232" s="6">
        <v>45891</v>
      </c>
      <c r="M232" s="5" t="s">
        <v>53</v>
      </c>
      <c r="N232" s="5" t="s">
        <v>54</v>
      </c>
      <c r="O232" s="5" t="s">
        <v>41</v>
      </c>
      <c r="P232" s="30">
        <f t="shared" si="12"/>
        <v>4</v>
      </c>
      <c r="Q232" s="41">
        <v>4090.7999999999997</v>
      </c>
      <c r="R232" s="41">
        <v>5500</v>
      </c>
      <c r="S232" s="41">
        <f t="shared" si="11"/>
        <v>1409.2000000000003</v>
      </c>
    </row>
    <row r="233" spans="1:19">
      <c r="A233" s="5">
        <v>232</v>
      </c>
      <c r="B233" s="5">
        <v>2508182159</v>
      </c>
      <c r="C233" s="5" t="s">
        <v>1435</v>
      </c>
      <c r="D233" s="5" t="s">
        <v>49</v>
      </c>
      <c r="E233" s="5" t="s">
        <v>50</v>
      </c>
      <c r="F233" s="5" t="s">
        <v>51</v>
      </c>
      <c r="G233" s="5" t="s">
        <v>75</v>
      </c>
      <c r="H233" s="5" t="s">
        <v>1424</v>
      </c>
      <c r="I233" s="5">
        <v>202500984</v>
      </c>
      <c r="J233" s="5"/>
      <c r="K233" s="6">
        <v>45887</v>
      </c>
      <c r="L233" s="6">
        <v>45891</v>
      </c>
      <c r="M233" s="5" t="s">
        <v>53</v>
      </c>
      <c r="N233" s="5" t="s">
        <v>54</v>
      </c>
      <c r="O233" s="5" t="s">
        <v>41</v>
      </c>
      <c r="P233" s="30">
        <f t="shared" si="12"/>
        <v>4</v>
      </c>
      <c r="Q233" s="41">
        <v>4090.7999999999997</v>
      </c>
      <c r="R233" s="41">
        <v>4500</v>
      </c>
      <c r="S233" s="41">
        <f t="shared" si="11"/>
        <v>409.20000000000027</v>
      </c>
    </row>
    <row r="234" spans="1:19">
      <c r="A234" s="5">
        <v>233</v>
      </c>
      <c r="B234" s="5">
        <v>2508182167</v>
      </c>
      <c r="C234" s="5" t="s">
        <v>1436</v>
      </c>
      <c r="D234" s="5" t="s">
        <v>437</v>
      </c>
      <c r="E234" s="5" t="s">
        <v>438</v>
      </c>
      <c r="F234" s="5" t="s">
        <v>71</v>
      </c>
      <c r="G234" s="5" t="s">
        <v>52</v>
      </c>
      <c r="H234" s="5" t="s">
        <v>1424</v>
      </c>
      <c r="I234" s="5">
        <v>202500985</v>
      </c>
      <c r="J234" s="5"/>
      <c r="K234" s="6">
        <v>45887</v>
      </c>
      <c r="L234" s="6">
        <v>45891</v>
      </c>
      <c r="M234" s="5" t="s">
        <v>53</v>
      </c>
      <c r="N234" s="5" t="s">
        <v>54</v>
      </c>
      <c r="O234" s="5" t="s">
        <v>41</v>
      </c>
      <c r="P234" s="30">
        <f t="shared" si="12"/>
        <v>4</v>
      </c>
      <c r="Q234" s="41">
        <v>4090.7999999999997</v>
      </c>
      <c r="R234" s="41">
        <v>8500</v>
      </c>
      <c r="S234" s="41">
        <f t="shared" si="11"/>
        <v>4409.2000000000007</v>
      </c>
    </row>
    <row r="235" spans="1:19">
      <c r="A235" s="5">
        <v>234</v>
      </c>
      <c r="B235" s="5">
        <v>2508182213</v>
      </c>
      <c r="C235" s="5" t="s">
        <v>1437</v>
      </c>
      <c r="D235" s="5" t="s">
        <v>1438</v>
      </c>
      <c r="E235" s="5" t="s">
        <v>1439</v>
      </c>
      <c r="F235" s="5" t="s">
        <v>202</v>
      </c>
      <c r="G235" s="5" t="s">
        <v>52</v>
      </c>
      <c r="H235" s="5" t="s">
        <v>1424</v>
      </c>
      <c r="I235" s="5">
        <v>202500986</v>
      </c>
      <c r="J235" s="5"/>
      <c r="K235" s="6">
        <v>45887</v>
      </c>
      <c r="L235" s="6">
        <v>45891</v>
      </c>
      <c r="M235" s="5" t="s">
        <v>53</v>
      </c>
      <c r="N235" s="5" t="s">
        <v>54</v>
      </c>
      <c r="O235" s="5" t="s">
        <v>41</v>
      </c>
      <c r="P235" s="30">
        <f t="shared" si="12"/>
        <v>4</v>
      </c>
      <c r="Q235" s="41">
        <v>4090.7999999999997</v>
      </c>
      <c r="R235" s="41">
        <v>8000</v>
      </c>
      <c r="S235" s="41">
        <f t="shared" si="11"/>
        <v>3909.2000000000003</v>
      </c>
    </row>
    <row r="236" spans="1:19">
      <c r="A236" s="5">
        <v>235</v>
      </c>
      <c r="B236" s="5">
        <v>2508182226</v>
      </c>
      <c r="C236" s="5" t="s">
        <v>1440</v>
      </c>
      <c r="D236" s="5" t="s">
        <v>1438</v>
      </c>
      <c r="E236" s="5" t="s">
        <v>1439</v>
      </c>
      <c r="F236" s="5" t="s">
        <v>202</v>
      </c>
      <c r="G236" s="5" t="s">
        <v>52</v>
      </c>
      <c r="H236" s="5" t="s">
        <v>1424</v>
      </c>
      <c r="I236" s="5">
        <v>202500987</v>
      </c>
      <c r="J236" s="5"/>
      <c r="K236" s="6">
        <v>45887</v>
      </c>
      <c r="L236" s="6">
        <v>45891</v>
      </c>
      <c r="M236" s="5" t="s">
        <v>53</v>
      </c>
      <c r="N236" s="5" t="s">
        <v>54</v>
      </c>
      <c r="O236" s="5" t="s">
        <v>41</v>
      </c>
      <c r="P236" s="30">
        <f t="shared" si="12"/>
        <v>4</v>
      </c>
      <c r="Q236" s="41">
        <v>4090.7999999999997</v>
      </c>
      <c r="R236" s="41">
        <v>8000</v>
      </c>
      <c r="S236" s="41">
        <f t="shared" si="11"/>
        <v>3909.2000000000003</v>
      </c>
    </row>
    <row r="237" spans="1:19">
      <c r="A237" s="5">
        <v>236</v>
      </c>
      <c r="B237" s="5">
        <v>2508182229</v>
      </c>
      <c r="C237" s="5" t="s">
        <v>1441</v>
      </c>
      <c r="D237" s="5" t="s">
        <v>309</v>
      </c>
      <c r="E237" s="5" t="s">
        <v>310</v>
      </c>
      <c r="F237" s="5" t="s">
        <v>51</v>
      </c>
      <c r="G237" s="5" t="s">
        <v>52</v>
      </c>
      <c r="H237" s="5" t="s">
        <v>1424</v>
      </c>
      <c r="I237" s="5">
        <v>202500988</v>
      </c>
      <c r="J237" s="5"/>
      <c r="K237" s="6">
        <v>45887</v>
      </c>
      <c r="L237" s="6">
        <v>45891</v>
      </c>
      <c r="M237" s="5" t="s">
        <v>53</v>
      </c>
      <c r="N237" s="5" t="s">
        <v>54</v>
      </c>
      <c r="O237" s="5" t="s">
        <v>41</v>
      </c>
      <c r="P237" s="30">
        <f t="shared" si="12"/>
        <v>4</v>
      </c>
      <c r="Q237" s="41">
        <v>4090.7999999999997</v>
      </c>
      <c r="R237" s="41">
        <v>5500</v>
      </c>
      <c r="S237" s="41">
        <f t="shared" si="11"/>
        <v>1409.2000000000003</v>
      </c>
    </row>
    <row r="238" spans="1:19">
      <c r="A238" s="5">
        <v>237</v>
      </c>
      <c r="B238" s="5">
        <v>2508182232</v>
      </c>
      <c r="C238" s="5" t="s">
        <v>1442</v>
      </c>
      <c r="D238" s="5" t="s">
        <v>564</v>
      </c>
      <c r="E238" s="5" t="s">
        <v>1443</v>
      </c>
      <c r="F238" s="5" t="s">
        <v>71</v>
      </c>
      <c r="G238" s="5" t="s">
        <v>52</v>
      </c>
      <c r="H238" s="5" t="s">
        <v>1424</v>
      </c>
      <c r="I238" s="5">
        <v>202500989</v>
      </c>
      <c r="J238" s="5"/>
      <c r="K238" s="6">
        <v>45887</v>
      </c>
      <c r="L238" s="6">
        <v>45891</v>
      </c>
      <c r="M238" s="5" t="s">
        <v>53</v>
      </c>
      <c r="N238" s="5" t="s">
        <v>54</v>
      </c>
      <c r="O238" s="5" t="s">
        <v>41</v>
      </c>
      <c r="P238" s="30">
        <f t="shared" si="12"/>
        <v>4</v>
      </c>
      <c r="Q238" s="41">
        <v>4090.7999999999997</v>
      </c>
      <c r="R238" s="41">
        <v>8500</v>
      </c>
      <c r="S238" s="41">
        <f t="shared" si="11"/>
        <v>4409.2000000000007</v>
      </c>
    </row>
    <row r="239" spans="1:19">
      <c r="A239" s="5">
        <v>238</v>
      </c>
      <c r="B239" s="5">
        <v>2508182235</v>
      </c>
      <c r="C239" s="5" t="s">
        <v>1444</v>
      </c>
      <c r="D239" s="5" t="s">
        <v>437</v>
      </c>
      <c r="E239" s="5" t="s">
        <v>1445</v>
      </c>
      <c r="F239" s="5" t="s">
        <v>71</v>
      </c>
      <c r="G239" s="5" t="s">
        <v>43</v>
      </c>
      <c r="H239" s="5" t="s">
        <v>1424</v>
      </c>
      <c r="I239" s="5">
        <v>202500990</v>
      </c>
      <c r="J239" s="5"/>
      <c r="K239" s="6">
        <v>45887</v>
      </c>
      <c r="L239" s="6">
        <v>45891</v>
      </c>
      <c r="M239" s="5" t="s">
        <v>53</v>
      </c>
      <c r="N239" s="5" t="s">
        <v>54</v>
      </c>
      <c r="O239" s="5" t="s">
        <v>41</v>
      </c>
      <c r="P239" s="30">
        <f t="shared" si="12"/>
        <v>4</v>
      </c>
      <c r="Q239" s="41">
        <v>4090.7999999999997</v>
      </c>
      <c r="R239" s="41">
        <v>13500</v>
      </c>
      <c r="S239" s="41">
        <f t="shared" si="11"/>
        <v>9409.2000000000007</v>
      </c>
    </row>
    <row r="240" spans="1:19">
      <c r="A240" s="5">
        <v>239</v>
      </c>
      <c r="B240" s="9">
        <v>2508182240</v>
      </c>
      <c r="C240" s="9" t="s">
        <v>1446</v>
      </c>
      <c r="D240" s="9" t="s">
        <v>103</v>
      </c>
      <c r="E240" s="9" t="s">
        <v>1447</v>
      </c>
      <c r="F240" s="9" t="s">
        <v>51</v>
      </c>
      <c r="G240" s="9" t="s">
        <v>52</v>
      </c>
      <c r="H240" s="9" t="s">
        <v>1424</v>
      </c>
      <c r="I240" s="9">
        <v>202500991</v>
      </c>
      <c r="J240" s="9"/>
      <c r="K240" s="10">
        <v>45887</v>
      </c>
      <c r="L240" s="10">
        <v>45891</v>
      </c>
      <c r="M240" s="9" t="s">
        <v>53</v>
      </c>
      <c r="N240" s="9" t="s">
        <v>94</v>
      </c>
      <c r="O240" s="9" t="s">
        <v>883</v>
      </c>
      <c r="P240" s="32">
        <f t="shared" si="12"/>
        <v>4</v>
      </c>
      <c r="Q240" s="11">
        <v>4090.7999999999997</v>
      </c>
      <c r="R240" s="11">
        <v>8000</v>
      </c>
      <c r="S240" s="11">
        <f t="shared" si="11"/>
        <v>3909.2000000000003</v>
      </c>
    </row>
    <row r="241" spans="1:19">
      <c r="A241" s="5">
        <v>240</v>
      </c>
      <c r="B241" s="5">
        <v>2508182247</v>
      </c>
      <c r="C241" s="5" t="s">
        <v>1448</v>
      </c>
      <c r="D241" s="5" t="s">
        <v>775</v>
      </c>
      <c r="E241" s="5" t="s">
        <v>1449</v>
      </c>
      <c r="F241" s="5" t="s">
        <v>202</v>
      </c>
      <c r="G241" s="5" t="s">
        <v>43</v>
      </c>
      <c r="H241" s="5" t="s">
        <v>1424</v>
      </c>
      <c r="I241" s="5">
        <v>202500992</v>
      </c>
      <c r="J241" s="5"/>
      <c r="K241" s="6">
        <v>45887</v>
      </c>
      <c r="L241" s="6">
        <v>45891</v>
      </c>
      <c r="M241" s="5" t="s">
        <v>53</v>
      </c>
      <c r="N241" s="5" t="s">
        <v>54</v>
      </c>
      <c r="O241" s="5" t="s">
        <v>41</v>
      </c>
      <c r="P241" s="30">
        <f t="shared" si="12"/>
        <v>4</v>
      </c>
      <c r="Q241" s="41">
        <v>4090.7999999999997</v>
      </c>
      <c r="R241" s="41">
        <v>14000</v>
      </c>
      <c r="S241" s="41">
        <f t="shared" si="11"/>
        <v>9909.2000000000007</v>
      </c>
    </row>
    <row r="242" spans="1:19">
      <c r="A242" s="5">
        <v>241</v>
      </c>
      <c r="B242" s="5">
        <v>2508182253</v>
      </c>
      <c r="C242" s="5" t="s">
        <v>1450</v>
      </c>
      <c r="D242" s="5" t="s">
        <v>775</v>
      </c>
      <c r="E242" s="5" t="s">
        <v>1451</v>
      </c>
      <c r="F242" s="5" t="s">
        <v>202</v>
      </c>
      <c r="G242" s="5" t="s">
        <v>52</v>
      </c>
      <c r="H242" s="5" t="s">
        <v>1424</v>
      </c>
      <c r="I242" s="5">
        <v>202500993</v>
      </c>
      <c r="J242" s="5"/>
      <c r="K242" s="6">
        <v>45887</v>
      </c>
      <c r="L242" s="6">
        <v>45891</v>
      </c>
      <c r="M242" s="5" t="s">
        <v>53</v>
      </c>
      <c r="N242" s="5" t="s">
        <v>54</v>
      </c>
      <c r="O242" s="5" t="s">
        <v>41</v>
      </c>
      <c r="P242" s="30">
        <f t="shared" si="12"/>
        <v>4</v>
      </c>
      <c r="Q242" s="41">
        <v>4090.7999999999997</v>
      </c>
      <c r="R242" s="41">
        <v>8500</v>
      </c>
      <c r="S242" s="41">
        <f t="shared" si="11"/>
        <v>4409.2000000000007</v>
      </c>
    </row>
    <row r="243" spans="1:19">
      <c r="A243" s="5">
        <v>242</v>
      </c>
      <c r="B243" s="5">
        <v>2508193168</v>
      </c>
      <c r="C243" s="5" t="s">
        <v>1452</v>
      </c>
      <c r="D243" s="5" t="s">
        <v>810</v>
      </c>
      <c r="E243" s="5" t="s">
        <v>1453</v>
      </c>
      <c r="F243" s="5" t="s">
        <v>457</v>
      </c>
      <c r="G243" s="5" t="s">
        <v>52</v>
      </c>
      <c r="H243" s="5" t="s">
        <v>1424</v>
      </c>
      <c r="I243" s="5">
        <v>202500994</v>
      </c>
      <c r="J243" s="5"/>
      <c r="K243" s="6">
        <v>45888</v>
      </c>
      <c r="L243" s="6">
        <v>45891</v>
      </c>
      <c r="M243" s="5" t="s">
        <v>53</v>
      </c>
      <c r="N243" s="5" t="s">
        <v>54</v>
      </c>
      <c r="O243" s="5" t="s">
        <v>41</v>
      </c>
      <c r="P243" s="30">
        <f t="shared" si="12"/>
        <v>3</v>
      </c>
      <c r="Q243" s="41">
        <v>4090.7999999999997</v>
      </c>
      <c r="R243" s="41">
        <v>5200</v>
      </c>
      <c r="S243" s="41">
        <f t="shared" si="11"/>
        <v>1109.2000000000003</v>
      </c>
    </row>
    <row r="244" spans="1:19">
      <c r="A244" s="5">
        <v>243</v>
      </c>
      <c r="B244" s="9">
        <v>2508193170</v>
      </c>
      <c r="C244" s="9" t="s">
        <v>1454</v>
      </c>
      <c r="D244" s="9" t="s">
        <v>810</v>
      </c>
      <c r="E244" s="9" t="s">
        <v>1024</v>
      </c>
      <c r="F244" s="9" t="s">
        <v>457</v>
      </c>
      <c r="G244" s="9" t="s">
        <v>75</v>
      </c>
      <c r="H244" s="9" t="s">
        <v>1424</v>
      </c>
      <c r="I244" s="9">
        <v>202500995</v>
      </c>
      <c r="J244" s="9"/>
      <c r="K244" s="10">
        <v>45888</v>
      </c>
      <c r="L244" s="10">
        <v>45891</v>
      </c>
      <c r="M244" s="9" t="s">
        <v>45</v>
      </c>
      <c r="N244" s="9" t="s">
        <v>94</v>
      </c>
      <c r="O244" s="9" t="s">
        <v>888</v>
      </c>
      <c r="P244" s="32">
        <f t="shared" si="12"/>
        <v>3</v>
      </c>
      <c r="Q244" s="11">
        <v>4090.7999999999997</v>
      </c>
      <c r="R244" s="11">
        <v>4600</v>
      </c>
      <c r="S244" s="11">
        <f t="shared" si="11"/>
        <v>509.20000000000027</v>
      </c>
    </row>
    <row r="245" spans="1:19">
      <c r="A245" s="5">
        <v>244</v>
      </c>
      <c r="B245" s="5">
        <v>2508193178</v>
      </c>
      <c r="C245" s="5" t="s">
        <v>1455</v>
      </c>
      <c r="D245" s="5" t="s">
        <v>345</v>
      </c>
      <c r="E245" s="5" t="s">
        <v>1456</v>
      </c>
      <c r="F245" s="5" t="s">
        <v>66</v>
      </c>
      <c r="G245" s="5" t="s">
        <v>43</v>
      </c>
      <c r="H245" s="5" t="s">
        <v>1424</v>
      </c>
      <c r="I245" s="5">
        <v>202500996</v>
      </c>
      <c r="J245" s="5"/>
      <c r="K245" s="6">
        <v>45888</v>
      </c>
      <c r="L245" s="6">
        <v>45891</v>
      </c>
      <c r="M245" s="5" t="s">
        <v>53</v>
      </c>
      <c r="N245" s="5" t="s">
        <v>54</v>
      </c>
      <c r="O245" s="5" t="s">
        <v>41</v>
      </c>
      <c r="P245" s="30">
        <f t="shared" si="12"/>
        <v>3</v>
      </c>
      <c r="Q245" s="41">
        <v>4090.7999999999997</v>
      </c>
      <c r="R245" s="41">
        <v>11000</v>
      </c>
      <c r="S245" s="41">
        <f t="shared" si="11"/>
        <v>6909.2000000000007</v>
      </c>
    </row>
    <row r="246" spans="1:19">
      <c r="A246" s="5">
        <v>245</v>
      </c>
      <c r="B246" s="5" t="s">
        <v>1239</v>
      </c>
      <c r="C246" s="5"/>
      <c r="D246" s="5"/>
      <c r="E246" s="5"/>
      <c r="F246" s="5"/>
      <c r="G246" s="5" t="s">
        <v>52</v>
      </c>
      <c r="H246" s="5"/>
      <c r="I246" s="5"/>
      <c r="J246" s="5"/>
      <c r="K246" s="5"/>
      <c r="L246" s="5"/>
      <c r="M246" s="5"/>
      <c r="N246" s="5"/>
      <c r="O246" s="5"/>
      <c r="P246" s="5"/>
      <c r="Q246" s="41">
        <v>4090.7999999999997</v>
      </c>
      <c r="R246" s="41">
        <v>0</v>
      </c>
      <c r="S246" s="41">
        <f t="shared" si="11"/>
        <v>-4090.7999999999997</v>
      </c>
    </row>
    <row r="247" spans="1:19">
      <c r="A247" s="5">
        <v>246</v>
      </c>
      <c r="B247" s="5" t="s">
        <v>1240</v>
      </c>
      <c r="C247" s="5"/>
      <c r="D247" s="5"/>
      <c r="E247" s="5"/>
      <c r="F247" s="5"/>
      <c r="G247" s="5" t="s">
        <v>52</v>
      </c>
      <c r="H247" s="5"/>
      <c r="I247" s="5"/>
      <c r="J247" s="5"/>
      <c r="K247" s="5"/>
      <c r="L247" s="5"/>
      <c r="M247" s="5"/>
      <c r="N247" s="5"/>
      <c r="O247" s="5"/>
      <c r="P247" s="5"/>
      <c r="Q247" s="41">
        <v>4090.7999999999997</v>
      </c>
      <c r="R247" s="41">
        <v>0</v>
      </c>
      <c r="S247" s="41">
        <f t="shared" si="11"/>
        <v>-4090.7999999999997</v>
      </c>
    </row>
    <row r="248" spans="1:19">
      <c r="A248" s="5">
        <v>247</v>
      </c>
      <c r="B248" s="5">
        <v>2508171236</v>
      </c>
      <c r="C248" s="5" t="s">
        <v>1429</v>
      </c>
      <c r="D248" s="5" t="s">
        <v>405</v>
      </c>
      <c r="E248" s="5" t="s">
        <v>485</v>
      </c>
      <c r="F248" s="5" t="s">
        <v>202</v>
      </c>
      <c r="G248" s="5" t="s">
        <v>43</v>
      </c>
      <c r="H248" s="5" t="s">
        <v>1458</v>
      </c>
      <c r="I248" s="5" t="s">
        <v>1459</v>
      </c>
      <c r="J248" s="5"/>
      <c r="K248" s="6">
        <v>45886</v>
      </c>
      <c r="L248" s="6">
        <v>45895</v>
      </c>
      <c r="M248" s="5" t="s">
        <v>53</v>
      </c>
      <c r="N248" s="5" t="s">
        <v>54</v>
      </c>
      <c r="O248" s="5" t="s">
        <v>41</v>
      </c>
      <c r="P248" s="30">
        <f t="shared" ref="P248:P269" si="13">L248-K248</f>
        <v>9</v>
      </c>
      <c r="Q248" s="41">
        <v>4090.7999999999997</v>
      </c>
      <c r="R248" s="41">
        <v>0</v>
      </c>
      <c r="S248" s="41">
        <f t="shared" si="11"/>
        <v>-4090.7999999999997</v>
      </c>
    </row>
    <row r="249" spans="1:19">
      <c r="A249" s="5">
        <v>248</v>
      </c>
      <c r="B249" s="13">
        <v>2508182240</v>
      </c>
      <c r="C249" s="13" t="s">
        <v>1446</v>
      </c>
      <c r="D249" s="13" t="s">
        <v>103</v>
      </c>
      <c r="E249" s="13" t="s">
        <v>1447</v>
      </c>
      <c r="F249" s="13" t="s">
        <v>51</v>
      </c>
      <c r="G249" s="13" t="s">
        <v>52</v>
      </c>
      <c r="H249" s="13" t="s">
        <v>1458</v>
      </c>
      <c r="I249" s="13" t="s">
        <v>1460</v>
      </c>
      <c r="J249" s="13"/>
      <c r="K249" s="14">
        <v>45887</v>
      </c>
      <c r="L249" s="14">
        <v>45895</v>
      </c>
      <c r="M249" s="13" t="s">
        <v>53</v>
      </c>
      <c r="N249" s="13" t="s">
        <v>46</v>
      </c>
      <c r="O249" s="13" t="s">
        <v>1461</v>
      </c>
      <c r="P249" s="35">
        <f t="shared" si="13"/>
        <v>8</v>
      </c>
      <c r="Q249" s="15">
        <v>4090.7999999999997</v>
      </c>
      <c r="R249" s="15">
        <v>0</v>
      </c>
      <c r="S249" s="15">
        <f t="shared" si="11"/>
        <v>-4090.7999999999997</v>
      </c>
    </row>
    <row r="250" spans="1:19">
      <c r="A250" s="5">
        <v>249</v>
      </c>
      <c r="B250" s="5">
        <v>2508193170</v>
      </c>
      <c r="C250" s="5" t="s">
        <v>1454</v>
      </c>
      <c r="D250" s="5" t="s">
        <v>810</v>
      </c>
      <c r="E250" s="5" t="s">
        <v>1024</v>
      </c>
      <c r="F250" s="5" t="s">
        <v>457</v>
      </c>
      <c r="G250" s="5" t="s">
        <v>75</v>
      </c>
      <c r="H250" s="5" t="s">
        <v>1458</v>
      </c>
      <c r="I250" s="5" t="s">
        <v>1462</v>
      </c>
      <c r="J250" s="5"/>
      <c r="K250" s="6">
        <v>45888</v>
      </c>
      <c r="L250" s="6">
        <v>45895</v>
      </c>
      <c r="M250" s="5" t="s">
        <v>53</v>
      </c>
      <c r="N250" s="5" t="s">
        <v>54</v>
      </c>
      <c r="O250" s="5" t="s">
        <v>41</v>
      </c>
      <c r="P250" s="30">
        <f t="shared" si="13"/>
        <v>7</v>
      </c>
      <c r="Q250" s="41">
        <v>4090.7999999999997</v>
      </c>
      <c r="R250" s="41">
        <v>0</v>
      </c>
      <c r="S250" s="41">
        <f t="shared" si="11"/>
        <v>-4090.7999999999997</v>
      </c>
    </row>
    <row r="251" spans="1:19">
      <c r="A251" s="5">
        <v>250</v>
      </c>
      <c r="B251" s="5">
        <v>2508193175</v>
      </c>
      <c r="C251" s="5" t="s">
        <v>1463</v>
      </c>
      <c r="D251" s="5" t="s">
        <v>821</v>
      </c>
      <c r="E251" s="5" t="s">
        <v>822</v>
      </c>
      <c r="F251" s="5" t="s">
        <v>678</v>
      </c>
      <c r="G251" s="5" t="s">
        <v>75</v>
      </c>
      <c r="H251" s="5" t="s">
        <v>1458</v>
      </c>
      <c r="I251" s="5">
        <v>202500997</v>
      </c>
      <c r="J251" s="5"/>
      <c r="K251" s="6">
        <v>45888</v>
      </c>
      <c r="L251" s="6">
        <v>45895</v>
      </c>
      <c r="M251" s="5" t="s">
        <v>53</v>
      </c>
      <c r="N251" s="5" t="s">
        <v>54</v>
      </c>
      <c r="O251" s="5" t="s">
        <v>41</v>
      </c>
      <c r="P251" s="30">
        <f t="shared" si="13"/>
        <v>7</v>
      </c>
      <c r="Q251" s="41">
        <v>4090.7999999999997</v>
      </c>
      <c r="R251" s="41">
        <v>14500</v>
      </c>
      <c r="S251" s="41">
        <f t="shared" si="11"/>
        <v>10409.200000000001</v>
      </c>
    </row>
    <row r="252" spans="1:19">
      <c r="A252" s="5">
        <v>251</v>
      </c>
      <c r="B252" s="9">
        <v>2508191562</v>
      </c>
      <c r="C252" s="9" t="s">
        <v>1464</v>
      </c>
      <c r="D252" s="9" t="s">
        <v>40</v>
      </c>
      <c r="E252" s="9" t="s">
        <v>41</v>
      </c>
      <c r="F252" s="9" t="s">
        <v>42</v>
      </c>
      <c r="G252" s="9" t="s">
        <v>43</v>
      </c>
      <c r="H252" s="9" t="s">
        <v>1458</v>
      </c>
      <c r="I252" s="9">
        <v>202500998</v>
      </c>
      <c r="J252" s="9"/>
      <c r="K252" s="10">
        <v>45888</v>
      </c>
      <c r="L252" s="10">
        <v>45895</v>
      </c>
      <c r="M252" s="9" t="s">
        <v>53</v>
      </c>
      <c r="N252" s="9" t="s">
        <v>94</v>
      </c>
      <c r="O252" s="9" t="s">
        <v>1465</v>
      </c>
      <c r="P252" s="32">
        <f t="shared" si="13"/>
        <v>7</v>
      </c>
      <c r="Q252" s="11">
        <v>4090.7999999999997</v>
      </c>
      <c r="R252" s="11">
        <v>4900</v>
      </c>
      <c r="S252" s="11">
        <f t="shared" si="11"/>
        <v>809.20000000000027</v>
      </c>
    </row>
    <row r="253" spans="1:19">
      <c r="A253" s="5">
        <v>252</v>
      </c>
      <c r="B253" s="5">
        <v>2508193186</v>
      </c>
      <c r="C253" s="5" t="s">
        <v>1466</v>
      </c>
      <c r="D253" s="5" t="s">
        <v>572</v>
      </c>
      <c r="E253" s="5" t="s">
        <v>1165</v>
      </c>
      <c r="F253" s="5" t="s">
        <v>87</v>
      </c>
      <c r="G253" s="5" t="s">
        <v>52</v>
      </c>
      <c r="H253" s="5" t="s">
        <v>1458</v>
      </c>
      <c r="I253" s="5">
        <v>202500999</v>
      </c>
      <c r="J253" s="5"/>
      <c r="K253" s="6">
        <v>45888</v>
      </c>
      <c r="L253" s="6">
        <v>45895</v>
      </c>
      <c r="M253" s="5" t="s">
        <v>53</v>
      </c>
      <c r="N253" s="5" t="s">
        <v>54</v>
      </c>
      <c r="O253" s="5" t="s">
        <v>41</v>
      </c>
      <c r="P253" s="30">
        <f t="shared" si="13"/>
        <v>7</v>
      </c>
      <c r="Q253" s="41">
        <v>4090.7999999999997</v>
      </c>
      <c r="R253" s="41">
        <v>6000</v>
      </c>
      <c r="S253" s="41">
        <f t="shared" si="11"/>
        <v>1909.2000000000003</v>
      </c>
    </row>
    <row r="254" spans="1:19">
      <c r="A254" s="5">
        <v>253</v>
      </c>
      <c r="B254" s="5">
        <v>2508193181</v>
      </c>
      <c r="C254" s="5" t="s">
        <v>1467</v>
      </c>
      <c r="D254" s="5" t="s">
        <v>775</v>
      </c>
      <c r="E254" s="5" t="s">
        <v>776</v>
      </c>
      <c r="F254" s="5" t="s">
        <v>202</v>
      </c>
      <c r="G254" s="5" t="s">
        <v>52</v>
      </c>
      <c r="H254" s="5" t="s">
        <v>1458</v>
      </c>
      <c r="I254" s="5">
        <v>202501000</v>
      </c>
      <c r="J254" s="5"/>
      <c r="K254" s="6">
        <v>45888</v>
      </c>
      <c r="L254" s="6">
        <v>45895</v>
      </c>
      <c r="M254" s="5" t="s">
        <v>53</v>
      </c>
      <c r="N254" s="5" t="s">
        <v>54</v>
      </c>
      <c r="O254" s="5" t="s">
        <v>41</v>
      </c>
      <c r="P254" s="30">
        <f t="shared" si="13"/>
        <v>7</v>
      </c>
      <c r="Q254" s="41">
        <v>4090.7999999999997</v>
      </c>
      <c r="R254" s="41">
        <v>8500</v>
      </c>
      <c r="S254" s="41">
        <f t="shared" si="11"/>
        <v>4409.2000000000007</v>
      </c>
    </row>
    <row r="255" spans="1:19">
      <c r="A255" s="5">
        <v>254</v>
      </c>
      <c r="B255" s="5">
        <v>2508193189</v>
      </c>
      <c r="C255" s="5" t="s">
        <v>1468</v>
      </c>
      <c r="D255" s="5" t="s">
        <v>444</v>
      </c>
      <c r="E255" s="5" t="s">
        <v>670</v>
      </c>
      <c r="F255" s="5" t="s">
        <v>109</v>
      </c>
      <c r="G255" s="5" t="s">
        <v>52</v>
      </c>
      <c r="H255" s="5" t="s">
        <v>1458</v>
      </c>
      <c r="I255" s="5">
        <v>202501001</v>
      </c>
      <c r="J255" s="5"/>
      <c r="K255" s="6">
        <v>45888</v>
      </c>
      <c r="L255" s="6">
        <v>45895</v>
      </c>
      <c r="M255" s="5" t="s">
        <v>53</v>
      </c>
      <c r="N255" s="5" t="s">
        <v>54</v>
      </c>
      <c r="O255" s="5" t="s">
        <v>41</v>
      </c>
      <c r="P255" s="30">
        <f t="shared" si="13"/>
        <v>7</v>
      </c>
      <c r="Q255" s="41">
        <v>4090.7999999999997</v>
      </c>
      <c r="R255" s="41">
        <v>5950</v>
      </c>
      <c r="S255" s="41">
        <f t="shared" si="11"/>
        <v>1859.2000000000003</v>
      </c>
    </row>
    <row r="256" spans="1:19">
      <c r="A256" s="5">
        <v>255</v>
      </c>
      <c r="B256" s="5">
        <v>2508202971</v>
      </c>
      <c r="C256" s="5" t="s">
        <v>1469</v>
      </c>
      <c r="D256" s="5" t="s">
        <v>64</v>
      </c>
      <c r="E256" s="5" t="s">
        <v>65</v>
      </c>
      <c r="F256" s="5" t="s">
        <v>66</v>
      </c>
      <c r="G256" s="5" t="s">
        <v>52</v>
      </c>
      <c r="H256" s="5" t="s">
        <v>1458</v>
      </c>
      <c r="I256" s="5">
        <v>202501002</v>
      </c>
      <c r="J256" s="5"/>
      <c r="K256" s="6">
        <v>45889</v>
      </c>
      <c r="L256" s="6">
        <v>45895</v>
      </c>
      <c r="M256" s="5" t="s">
        <v>53</v>
      </c>
      <c r="N256" s="5" t="s">
        <v>54</v>
      </c>
      <c r="O256" s="5" t="s">
        <v>41</v>
      </c>
      <c r="P256" s="30">
        <f t="shared" si="13"/>
        <v>6</v>
      </c>
      <c r="Q256" s="41">
        <v>4090.7999999999997</v>
      </c>
      <c r="R256" s="41">
        <v>5500</v>
      </c>
      <c r="S256" s="41">
        <f t="shared" si="11"/>
        <v>1409.2000000000003</v>
      </c>
    </row>
    <row r="257" spans="1:19">
      <c r="A257" s="5">
        <v>256</v>
      </c>
      <c r="B257" s="5">
        <v>2508202979</v>
      </c>
      <c r="C257" s="5" t="s">
        <v>1470</v>
      </c>
      <c r="D257" s="5" t="s">
        <v>64</v>
      </c>
      <c r="E257" s="5" t="s">
        <v>65</v>
      </c>
      <c r="F257" s="5" t="s">
        <v>66</v>
      </c>
      <c r="G257" s="5" t="s">
        <v>52</v>
      </c>
      <c r="H257" s="5" t="s">
        <v>1458</v>
      </c>
      <c r="I257" s="5">
        <v>202501003</v>
      </c>
      <c r="J257" s="5"/>
      <c r="K257" s="6">
        <v>45889</v>
      </c>
      <c r="L257" s="6">
        <v>45895</v>
      </c>
      <c r="M257" s="5" t="s">
        <v>53</v>
      </c>
      <c r="N257" s="5" t="s">
        <v>54</v>
      </c>
      <c r="O257" s="5" t="s">
        <v>41</v>
      </c>
      <c r="P257" s="30">
        <f t="shared" si="13"/>
        <v>6</v>
      </c>
      <c r="Q257" s="41">
        <v>4090.7999999999997</v>
      </c>
      <c r="R257" s="41">
        <v>5500</v>
      </c>
      <c r="S257" s="41">
        <f t="shared" si="11"/>
        <v>1409.2000000000003</v>
      </c>
    </row>
    <row r="258" spans="1:19">
      <c r="A258" s="5">
        <v>257</v>
      </c>
      <c r="B258" s="5">
        <v>2508202990</v>
      </c>
      <c r="C258" s="5" t="s">
        <v>1471</v>
      </c>
      <c r="D258" s="5" t="s">
        <v>1472</v>
      </c>
      <c r="E258" s="5" t="s">
        <v>1473</v>
      </c>
      <c r="F258" s="5" t="s">
        <v>51</v>
      </c>
      <c r="G258" s="5" t="s">
        <v>52</v>
      </c>
      <c r="H258" s="5" t="s">
        <v>1458</v>
      </c>
      <c r="I258" s="5">
        <v>202501004</v>
      </c>
      <c r="J258" s="5"/>
      <c r="K258" s="6">
        <v>45889</v>
      </c>
      <c r="L258" s="6">
        <v>45895</v>
      </c>
      <c r="M258" s="5" t="s">
        <v>53</v>
      </c>
      <c r="N258" s="5" t="s">
        <v>54</v>
      </c>
      <c r="O258" s="5" t="s">
        <v>41</v>
      </c>
      <c r="P258" s="30">
        <f t="shared" si="13"/>
        <v>6</v>
      </c>
      <c r="Q258" s="41">
        <v>4090.7999999999997</v>
      </c>
      <c r="R258" s="41">
        <v>6500</v>
      </c>
      <c r="S258" s="41">
        <f t="shared" si="11"/>
        <v>2409.2000000000003</v>
      </c>
    </row>
    <row r="259" spans="1:19">
      <c r="A259" s="5">
        <v>258</v>
      </c>
      <c r="B259" s="5">
        <v>2508202998</v>
      </c>
      <c r="C259" s="5" t="s">
        <v>1474</v>
      </c>
      <c r="D259" s="5" t="s">
        <v>1475</v>
      </c>
      <c r="E259" s="5" t="s">
        <v>1476</v>
      </c>
      <c r="F259" s="5" t="s">
        <v>362</v>
      </c>
      <c r="G259" s="5" t="s">
        <v>43</v>
      </c>
      <c r="H259" s="5" t="s">
        <v>1458</v>
      </c>
      <c r="I259" s="5">
        <v>202501005</v>
      </c>
      <c r="J259" s="5"/>
      <c r="K259" s="6">
        <v>45889</v>
      </c>
      <c r="L259" s="6">
        <v>45895</v>
      </c>
      <c r="M259" s="5" t="s">
        <v>53</v>
      </c>
      <c r="N259" s="5" t="s">
        <v>54</v>
      </c>
      <c r="O259" s="5" t="s">
        <v>41</v>
      </c>
      <c r="P259" s="30">
        <f t="shared" si="13"/>
        <v>6</v>
      </c>
      <c r="Q259" s="41">
        <v>4090.7999999999997</v>
      </c>
      <c r="R259" s="41">
        <v>10500</v>
      </c>
      <c r="S259" s="41">
        <f t="shared" si="11"/>
        <v>6409.2000000000007</v>
      </c>
    </row>
    <row r="260" spans="1:19">
      <c r="A260" s="5">
        <v>259</v>
      </c>
      <c r="B260" s="5">
        <v>2508203006</v>
      </c>
      <c r="C260" s="5" t="s">
        <v>1477</v>
      </c>
      <c r="D260" s="5" t="s">
        <v>908</v>
      </c>
      <c r="E260" s="5" t="s">
        <v>1478</v>
      </c>
      <c r="F260" s="5" t="s">
        <v>362</v>
      </c>
      <c r="G260" s="5" t="s">
        <v>52</v>
      </c>
      <c r="H260" s="5" t="s">
        <v>1458</v>
      </c>
      <c r="I260" s="5">
        <v>202501006</v>
      </c>
      <c r="J260" s="5"/>
      <c r="K260" s="6">
        <v>45889</v>
      </c>
      <c r="L260" s="6">
        <v>45895</v>
      </c>
      <c r="M260" s="5" t="s">
        <v>53</v>
      </c>
      <c r="N260" s="5" t="s">
        <v>54</v>
      </c>
      <c r="O260" s="5" t="s">
        <v>41</v>
      </c>
      <c r="P260" s="30">
        <f t="shared" si="13"/>
        <v>6</v>
      </c>
      <c r="Q260" s="41">
        <v>4090.7999999999997</v>
      </c>
      <c r="R260" s="41">
        <v>5500</v>
      </c>
      <c r="S260" s="41">
        <f t="shared" si="11"/>
        <v>1409.2000000000003</v>
      </c>
    </row>
    <row r="261" spans="1:19">
      <c r="A261" s="5">
        <v>260</v>
      </c>
      <c r="B261" s="5">
        <v>2508203030</v>
      </c>
      <c r="C261" s="5" t="s">
        <v>1479</v>
      </c>
      <c r="D261" s="5" t="s">
        <v>715</v>
      </c>
      <c r="E261" s="5" t="s">
        <v>1480</v>
      </c>
      <c r="F261" s="5" t="s">
        <v>71</v>
      </c>
      <c r="G261" s="5" t="s">
        <v>43</v>
      </c>
      <c r="H261" s="5" t="s">
        <v>1458</v>
      </c>
      <c r="I261" s="5">
        <v>202501007</v>
      </c>
      <c r="J261" s="5"/>
      <c r="K261" s="6">
        <v>45889</v>
      </c>
      <c r="L261" s="6">
        <v>45895</v>
      </c>
      <c r="M261" s="5" t="s">
        <v>53</v>
      </c>
      <c r="N261" s="5" t="s">
        <v>54</v>
      </c>
      <c r="O261" s="5" t="s">
        <v>41</v>
      </c>
      <c r="P261" s="30">
        <f t="shared" si="13"/>
        <v>6</v>
      </c>
      <c r="Q261" s="41">
        <v>4090.7999999999997</v>
      </c>
      <c r="R261" s="41">
        <v>9000</v>
      </c>
      <c r="S261" s="41">
        <f t="shared" si="11"/>
        <v>4909.2000000000007</v>
      </c>
    </row>
    <row r="262" spans="1:19">
      <c r="A262" s="5">
        <v>261</v>
      </c>
      <c r="B262" s="5">
        <v>2508203048</v>
      </c>
      <c r="C262" s="5" t="s">
        <v>1481</v>
      </c>
      <c r="D262" s="5" t="s">
        <v>745</v>
      </c>
      <c r="E262" s="5" t="s">
        <v>1482</v>
      </c>
      <c r="F262" s="5" t="s">
        <v>202</v>
      </c>
      <c r="G262" s="5" t="s">
        <v>75</v>
      </c>
      <c r="H262" s="5" t="s">
        <v>1458</v>
      </c>
      <c r="I262" s="5">
        <v>202501008</v>
      </c>
      <c r="J262" s="5"/>
      <c r="K262" s="6">
        <v>45889</v>
      </c>
      <c r="L262" s="6">
        <v>45895</v>
      </c>
      <c r="M262" s="5" t="s">
        <v>53</v>
      </c>
      <c r="N262" s="5" t="s">
        <v>54</v>
      </c>
      <c r="O262" s="5" t="s">
        <v>41</v>
      </c>
      <c r="P262" s="30">
        <f t="shared" si="13"/>
        <v>6</v>
      </c>
      <c r="Q262" s="41">
        <v>4090.7999999999997</v>
      </c>
      <c r="R262" s="41">
        <v>4900</v>
      </c>
      <c r="S262" s="41">
        <f t="shared" ref="S262:S323" si="14">R262-Q262</f>
        <v>809.20000000000027</v>
      </c>
    </row>
    <row r="263" spans="1:19">
      <c r="A263" s="5">
        <v>262</v>
      </c>
      <c r="B263" s="5">
        <v>2508201592</v>
      </c>
      <c r="C263" s="5" t="s">
        <v>1483</v>
      </c>
      <c r="D263" s="5" t="s">
        <v>40</v>
      </c>
      <c r="E263" s="5" t="s">
        <v>41</v>
      </c>
      <c r="F263" s="5" t="s">
        <v>42</v>
      </c>
      <c r="G263" s="5" t="s">
        <v>52</v>
      </c>
      <c r="H263" s="5" t="s">
        <v>1458</v>
      </c>
      <c r="I263" s="5">
        <v>202501009</v>
      </c>
      <c r="J263" s="5"/>
      <c r="K263" s="6">
        <v>45889</v>
      </c>
      <c r="L263" s="6">
        <v>45895</v>
      </c>
      <c r="M263" s="5" t="s">
        <v>53</v>
      </c>
      <c r="N263" s="5" t="s">
        <v>54</v>
      </c>
      <c r="O263" s="5" t="s">
        <v>41</v>
      </c>
      <c r="P263" s="30">
        <f t="shared" si="13"/>
        <v>6</v>
      </c>
      <c r="Q263" s="41">
        <v>4090.7999999999997</v>
      </c>
      <c r="R263" s="41">
        <v>9500</v>
      </c>
      <c r="S263" s="41">
        <f t="shared" si="14"/>
        <v>5409.2000000000007</v>
      </c>
    </row>
    <row r="264" spans="1:19">
      <c r="A264" s="5">
        <v>263</v>
      </c>
      <c r="B264" s="5">
        <v>2508203059</v>
      </c>
      <c r="C264" s="5" t="s">
        <v>1484</v>
      </c>
      <c r="D264" s="5" t="s">
        <v>564</v>
      </c>
      <c r="E264" s="5" t="s">
        <v>1485</v>
      </c>
      <c r="F264" s="5" t="s">
        <v>71</v>
      </c>
      <c r="G264" s="5" t="s">
        <v>52</v>
      </c>
      <c r="H264" s="5" t="s">
        <v>1458</v>
      </c>
      <c r="I264" s="5">
        <v>202501010</v>
      </c>
      <c r="J264" s="5"/>
      <c r="K264" s="6">
        <v>45889</v>
      </c>
      <c r="L264" s="6">
        <v>45895</v>
      </c>
      <c r="M264" s="5" t="s">
        <v>53</v>
      </c>
      <c r="N264" s="5" t="s">
        <v>54</v>
      </c>
      <c r="O264" s="5" t="s">
        <v>41</v>
      </c>
      <c r="P264" s="30">
        <f t="shared" si="13"/>
        <v>6</v>
      </c>
      <c r="Q264" s="41">
        <v>4090.7999999999997</v>
      </c>
      <c r="R264" s="41">
        <v>8500</v>
      </c>
      <c r="S264" s="41">
        <f t="shared" si="14"/>
        <v>4409.2000000000007</v>
      </c>
    </row>
    <row r="265" spans="1:19">
      <c r="A265" s="5">
        <v>264</v>
      </c>
      <c r="B265" s="5">
        <v>2508210551</v>
      </c>
      <c r="C265" s="5" t="s">
        <v>1486</v>
      </c>
      <c r="D265" s="5" t="s">
        <v>908</v>
      </c>
      <c r="E265" s="5" t="s">
        <v>1478</v>
      </c>
      <c r="F265" s="5" t="s">
        <v>362</v>
      </c>
      <c r="G265" s="5" t="s">
        <v>52</v>
      </c>
      <c r="H265" s="5" t="s">
        <v>1458</v>
      </c>
      <c r="I265" s="5">
        <v>202501011</v>
      </c>
      <c r="J265" s="5"/>
      <c r="K265" s="6">
        <v>45890</v>
      </c>
      <c r="L265" s="6">
        <v>45895</v>
      </c>
      <c r="M265" s="5" t="s">
        <v>53</v>
      </c>
      <c r="N265" s="5" t="s">
        <v>54</v>
      </c>
      <c r="O265" s="5" t="s">
        <v>41</v>
      </c>
      <c r="P265" s="30">
        <f t="shared" si="13"/>
        <v>5</v>
      </c>
      <c r="Q265" s="41">
        <v>4090.7999999999997</v>
      </c>
      <c r="R265" s="41">
        <v>5500</v>
      </c>
      <c r="S265" s="41">
        <f t="shared" si="14"/>
        <v>1409.2000000000003</v>
      </c>
    </row>
    <row r="266" spans="1:19">
      <c r="A266" s="5">
        <v>265</v>
      </c>
      <c r="B266" s="5">
        <v>2508213081</v>
      </c>
      <c r="C266" s="5" t="s">
        <v>1487</v>
      </c>
      <c r="D266" s="5" t="s">
        <v>257</v>
      </c>
      <c r="E266" s="5" t="s">
        <v>258</v>
      </c>
      <c r="F266" s="5" t="s">
        <v>62</v>
      </c>
      <c r="G266" s="5" t="s">
        <v>52</v>
      </c>
      <c r="H266" s="5" t="s">
        <v>1458</v>
      </c>
      <c r="I266" s="5">
        <v>202501012</v>
      </c>
      <c r="J266" s="5"/>
      <c r="K266" s="6">
        <v>45890</v>
      </c>
      <c r="L266" s="6">
        <v>45895</v>
      </c>
      <c r="M266" s="5" t="s">
        <v>53</v>
      </c>
      <c r="N266" s="5" t="s">
        <v>54</v>
      </c>
      <c r="O266" s="5" t="s">
        <v>41</v>
      </c>
      <c r="P266" s="30">
        <f t="shared" si="13"/>
        <v>5</v>
      </c>
      <c r="Q266" s="41">
        <v>4090.7999999999997</v>
      </c>
      <c r="R266" s="41">
        <v>5100</v>
      </c>
      <c r="S266" s="41">
        <f t="shared" si="14"/>
        <v>1009.2000000000003</v>
      </c>
    </row>
    <row r="267" spans="1:19">
      <c r="A267" s="5">
        <v>266</v>
      </c>
      <c r="B267" s="5">
        <v>2508213083</v>
      </c>
      <c r="C267" s="5" t="s">
        <v>1488</v>
      </c>
      <c r="D267" s="5" t="s">
        <v>1489</v>
      </c>
      <c r="E267" s="5" t="s">
        <v>1490</v>
      </c>
      <c r="F267" s="5" t="s">
        <v>169</v>
      </c>
      <c r="G267" s="5" t="s">
        <v>43</v>
      </c>
      <c r="H267" s="5" t="s">
        <v>1458</v>
      </c>
      <c r="I267" s="5">
        <v>202501013</v>
      </c>
      <c r="J267" s="5"/>
      <c r="K267" s="6">
        <v>45890</v>
      </c>
      <c r="L267" s="6">
        <v>45895</v>
      </c>
      <c r="M267" s="5" t="s">
        <v>53</v>
      </c>
      <c r="N267" s="5" t="s">
        <v>54</v>
      </c>
      <c r="O267" s="5" t="s">
        <v>41</v>
      </c>
      <c r="P267" s="30">
        <f t="shared" si="13"/>
        <v>5</v>
      </c>
      <c r="Q267" s="41">
        <v>4090.7999999999997</v>
      </c>
      <c r="R267" s="41">
        <v>12000</v>
      </c>
      <c r="S267" s="41">
        <f t="shared" si="14"/>
        <v>7909.2000000000007</v>
      </c>
    </row>
    <row r="268" spans="1:19">
      <c r="A268" s="5">
        <v>267</v>
      </c>
      <c r="B268" s="5">
        <v>2508213086</v>
      </c>
      <c r="C268" s="5" t="s">
        <v>1491</v>
      </c>
      <c r="D268" s="5" t="s">
        <v>1155</v>
      </c>
      <c r="E268" s="5" t="s">
        <v>1492</v>
      </c>
      <c r="F268" s="5" t="s">
        <v>169</v>
      </c>
      <c r="G268" s="5" t="s">
        <v>52</v>
      </c>
      <c r="H268" s="5" t="s">
        <v>1458</v>
      </c>
      <c r="I268" s="5">
        <v>202501014</v>
      </c>
      <c r="J268" s="5"/>
      <c r="K268" s="6">
        <v>45890</v>
      </c>
      <c r="L268" s="6">
        <v>45895</v>
      </c>
      <c r="M268" s="5" t="s">
        <v>53</v>
      </c>
      <c r="N268" s="5" t="s">
        <v>54</v>
      </c>
      <c r="O268" s="5" t="s">
        <v>41</v>
      </c>
      <c r="P268" s="30">
        <f t="shared" si="13"/>
        <v>5</v>
      </c>
      <c r="Q268" s="41">
        <v>4090.7999999999997</v>
      </c>
      <c r="R268" s="41">
        <v>6000</v>
      </c>
      <c r="S268" s="41">
        <f t="shared" si="14"/>
        <v>1909.2000000000003</v>
      </c>
    </row>
    <row r="269" spans="1:19">
      <c r="A269" s="5">
        <v>268</v>
      </c>
      <c r="B269" s="5">
        <v>2508223100</v>
      </c>
      <c r="C269" s="5" t="s">
        <v>1493</v>
      </c>
      <c r="D269" s="5" t="s">
        <v>1475</v>
      </c>
      <c r="E269" s="5" t="s">
        <v>1476</v>
      </c>
      <c r="F269" s="5" t="s">
        <v>362</v>
      </c>
      <c r="G269" s="5" t="s">
        <v>43</v>
      </c>
      <c r="H269" s="5" t="s">
        <v>1458</v>
      </c>
      <c r="I269" s="5">
        <v>202501015</v>
      </c>
      <c r="J269" s="5"/>
      <c r="K269" s="6">
        <v>45891</v>
      </c>
      <c r="L269" s="6">
        <v>45895</v>
      </c>
      <c r="M269" s="5" t="s">
        <v>53</v>
      </c>
      <c r="N269" s="5" t="s">
        <v>54</v>
      </c>
      <c r="O269" s="5" t="s">
        <v>41</v>
      </c>
      <c r="P269" s="30">
        <f t="shared" si="13"/>
        <v>4</v>
      </c>
      <c r="Q269" s="41">
        <v>4090.7999999999997</v>
      </c>
      <c r="R269" s="41">
        <v>10500</v>
      </c>
      <c r="S269" s="41">
        <f t="shared" si="14"/>
        <v>6409.2000000000007</v>
      </c>
    </row>
    <row r="270" spans="1:19">
      <c r="A270" s="5">
        <v>269</v>
      </c>
      <c r="B270" s="5" t="s">
        <v>1239</v>
      </c>
      <c r="C270" s="5"/>
      <c r="D270" s="5"/>
      <c r="E270" s="5"/>
      <c r="F270" s="5"/>
      <c r="G270" s="5" t="s">
        <v>52</v>
      </c>
      <c r="H270" s="5"/>
      <c r="I270" s="5"/>
      <c r="J270" s="5"/>
      <c r="K270" s="5"/>
      <c r="L270" s="5"/>
      <c r="M270" s="5"/>
      <c r="N270" s="5"/>
      <c r="O270" s="5"/>
      <c r="P270" s="5"/>
      <c r="Q270" s="41">
        <v>4090.7999999999997</v>
      </c>
      <c r="R270" s="41">
        <v>0</v>
      </c>
      <c r="S270" s="41">
        <f t="shared" si="14"/>
        <v>-4090.7999999999997</v>
      </c>
    </row>
    <row r="271" spans="1:19">
      <c r="A271" s="5">
        <v>270</v>
      </c>
      <c r="B271" s="5" t="s">
        <v>1240</v>
      </c>
      <c r="C271" s="5"/>
      <c r="D271" s="5"/>
      <c r="E271" s="5"/>
      <c r="F271" s="5"/>
      <c r="G271" s="5" t="s">
        <v>52</v>
      </c>
      <c r="H271" s="5"/>
      <c r="I271" s="5"/>
      <c r="J271" s="5"/>
      <c r="K271" s="5"/>
      <c r="L271" s="5"/>
      <c r="M271" s="5"/>
      <c r="N271" s="5"/>
      <c r="O271" s="5"/>
      <c r="P271" s="5"/>
      <c r="Q271" s="41">
        <v>4090.7999999999997</v>
      </c>
      <c r="R271" s="41">
        <v>0</v>
      </c>
      <c r="S271" s="41">
        <f t="shared" si="14"/>
        <v>-4090.7999999999997</v>
      </c>
    </row>
    <row r="272" spans="1:19">
      <c r="A272" s="5">
        <v>271</v>
      </c>
      <c r="B272" s="17">
        <v>2508171227</v>
      </c>
      <c r="C272" s="17" t="s">
        <v>1420</v>
      </c>
      <c r="D272" s="17" t="s">
        <v>804</v>
      </c>
      <c r="E272" s="17" t="s">
        <v>805</v>
      </c>
      <c r="F272" s="17" t="s">
        <v>457</v>
      </c>
      <c r="G272" s="17" t="s">
        <v>43</v>
      </c>
      <c r="H272" s="17" t="s">
        <v>1494</v>
      </c>
      <c r="I272" s="17" t="s">
        <v>1495</v>
      </c>
      <c r="J272" s="17"/>
      <c r="K272" s="18">
        <v>45893</v>
      </c>
      <c r="L272" s="18">
        <v>45897</v>
      </c>
      <c r="M272" s="17" t="s">
        <v>53</v>
      </c>
      <c r="N272" s="17" t="s">
        <v>480</v>
      </c>
      <c r="O272" s="17" t="s">
        <v>1534</v>
      </c>
      <c r="P272" s="31">
        <f t="shared" ref="P272:P295" si="15">L272-K272</f>
        <v>4</v>
      </c>
      <c r="Q272" s="19">
        <v>3807.6615384615384</v>
      </c>
      <c r="R272" s="19">
        <v>0</v>
      </c>
      <c r="S272" s="19">
        <f t="shared" si="14"/>
        <v>-3807.6615384615384</v>
      </c>
    </row>
    <row r="273" spans="1:19">
      <c r="A273" s="5">
        <v>272</v>
      </c>
      <c r="B273" s="5">
        <v>2508191562</v>
      </c>
      <c r="C273" s="5" t="s">
        <v>1464</v>
      </c>
      <c r="D273" s="5" t="s">
        <v>40</v>
      </c>
      <c r="E273" s="5" t="s">
        <v>41</v>
      </c>
      <c r="F273" s="5" t="s">
        <v>42</v>
      </c>
      <c r="G273" s="5" t="s">
        <v>43</v>
      </c>
      <c r="H273" s="5" t="s">
        <v>1494</v>
      </c>
      <c r="I273" s="5" t="s">
        <v>1496</v>
      </c>
      <c r="J273" s="5"/>
      <c r="K273" s="6">
        <v>45888</v>
      </c>
      <c r="L273" s="6">
        <v>45897</v>
      </c>
      <c r="M273" s="5" t="s">
        <v>53</v>
      </c>
      <c r="N273" s="5" t="s">
        <v>54</v>
      </c>
      <c r="O273" s="5" t="s">
        <v>41</v>
      </c>
      <c r="P273" s="30">
        <f t="shared" si="15"/>
        <v>9</v>
      </c>
      <c r="Q273" s="41">
        <v>3807.6615384615384</v>
      </c>
      <c r="R273" s="41">
        <v>0</v>
      </c>
      <c r="S273" s="41">
        <f t="shared" si="14"/>
        <v>-3807.6615384615384</v>
      </c>
    </row>
    <row r="274" spans="1:19">
      <c r="A274" s="5">
        <v>273</v>
      </c>
      <c r="B274" s="5">
        <v>2508223101</v>
      </c>
      <c r="C274" s="5" t="s">
        <v>1497</v>
      </c>
      <c r="D274" s="5" t="s">
        <v>64</v>
      </c>
      <c r="E274" s="5" t="s">
        <v>1498</v>
      </c>
      <c r="F274" s="5" t="s">
        <v>66</v>
      </c>
      <c r="G274" s="5" t="s">
        <v>52</v>
      </c>
      <c r="H274" s="5" t="s">
        <v>1494</v>
      </c>
      <c r="I274" s="5">
        <v>202501016</v>
      </c>
      <c r="J274" s="5"/>
      <c r="K274" s="6">
        <v>45891</v>
      </c>
      <c r="L274" s="6">
        <v>45897</v>
      </c>
      <c r="M274" s="5" t="s">
        <v>53</v>
      </c>
      <c r="N274" s="5" t="s">
        <v>54</v>
      </c>
      <c r="O274" s="5" t="s">
        <v>41</v>
      </c>
      <c r="P274" s="30">
        <f t="shared" si="15"/>
        <v>6</v>
      </c>
      <c r="Q274" s="41">
        <v>3807.6615384615384</v>
      </c>
      <c r="R274" s="41">
        <v>5500</v>
      </c>
      <c r="S274" s="41">
        <f t="shared" si="14"/>
        <v>1692.3384615384616</v>
      </c>
    </row>
    <row r="275" spans="1:19">
      <c r="A275" s="5">
        <v>274</v>
      </c>
      <c r="B275" s="5">
        <v>2508223103</v>
      </c>
      <c r="C275" s="5" t="s">
        <v>1499</v>
      </c>
      <c r="D275" s="5" t="s">
        <v>599</v>
      </c>
      <c r="E275" s="5" t="s">
        <v>1500</v>
      </c>
      <c r="F275" s="5" t="s">
        <v>169</v>
      </c>
      <c r="G275" s="5" t="s">
        <v>52</v>
      </c>
      <c r="H275" s="5" t="s">
        <v>1494</v>
      </c>
      <c r="I275" s="5">
        <v>202501017</v>
      </c>
      <c r="J275" s="5"/>
      <c r="K275" s="6">
        <v>45891</v>
      </c>
      <c r="L275" s="6">
        <v>45897</v>
      </c>
      <c r="M275" s="5" t="s">
        <v>53</v>
      </c>
      <c r="N275" s="5" t="s">
        <v>54</v>
      </c>
      <c r="O275" s="5" t="s">
        <v>41</v>
      </c>
      <c r="P275" s="30">
        <f t="shared" si="15"/>
        <v>6</v>
      </c>
      <c r="Q275" s="41">
        <v>3807.6615384615384</v>
      </c>
      <c r="R275" s="41">
        <v>7500</v>
      </c>
      <c r="S275" s="41">
        <f t="shared" si="14"/>
        <v>3692.3384615384616</v>
      </c>
    </row>
    <row r="276" spans="1:19">
      <c r="A276" s="5">
        <v>275</v>
      </c>
      <c r="B276" s="5">
        <v>2508230408</v>
      </c>
      <c r="C276" s="5" t="s">
        <v>1501</v>
      </c>
      <c r="D276" s="5" t="s">
        <v>810</v>
      </c>
      <c r="E276" s="5" t="s">
        <v>1502</v>
      </c>
      <c r="F276" s="5" t="s">
        <v>457</v>
      </c>
      <c r="G276" s="5" t="s">
        <v>52</v>
      </c>
      <c r="H276" s="5" t="s">
        <v>1494</v>
      </c>
      <c r="I276" s="5">
        <v>202501018</v>
      </c>
      <c r="J276" s="5"/>
      <c r="K276" s="6">
        <v>45892</v>
      </c>
      <c r="L276" s="6">
        <v>45897</v>
      </c>
      <c r="M276" s="5" t="s">
        <v>53</v>
      </c>
      <c r="N276" s="5" t="s">
        <v>54</v>
      </c>
      <c r="O276" s="5" t="s">
        <v>41</v>
      </c>
      <c r="P276" s="30">
        <f t="shared" si="15"/>
        <v>5</v>
      </c>
      <c r="Q276" s="41">
        <v>3807.6615384615384</v>
      </c>
      <c r="R276" s="41">
        <v>5200</v>
      </c>
      <c r="S276" s="41">
        <f t="shared" si="14"/>
        <v>1392.3384615384616</v>
      </c>
    </row>
    <row r="277" spans="1:19">
      <c r="A277" s="5">
        <v>276</v>
      </c>
      <c r="B277" s="5">
        <v>2508230418</v>
      </c>
      <c r="C277" s="5" t="s">
        <v>1503</v>
      </c>
      <c r="D277" s="5" t="s">
        <v>397</v>
      </c>
      <c r="E277" s="5" t="s">
        <v>1504</v>
      </c>
      <c r="F277" s="5" t="s">
        <v>79</v>
      </c>
      <c r="G277" s="5" t="s">
        <v>75</v>
      </c>
      <c r="H277" s="5" t="s">
        <v>1494</v>
      </c>
      <c r="I277" s="5">
        <v>202501019</v>
      </c>
      <c r="J277" s="5"/>
      <c r="K277" s="6">
        <v>45892</v>
      </c>
      <c r="L277" s="6">
        <v>45897</v>
      </c>
      <c r="M277" s="5" t="s">
        <v>53</v>
      </c>
      <c r="N277" s="5" t="s">
        <v>54</v>
      </c>
      <c r="O277" s="5" t="s">
        <v>41</v>
      </c>
      <c r="P277" s="30">
        <f t="shared" si="15"/>
        <v>5</v>
      </c>
      <c r="Q277" s="41">
        <v>3807.6615384615384</v>
      </c>
      <c r="R277" s="41">
        <v>4900</v>
      </c>
      <c r="S277" s="41">
        <f t="shared" si="14"/>
        <v>1092.3384615384616</v>
      </c>
    </row>
    <row r="278" spans="1:19">
      <c r="A278" s="5">
        <v>277</v>
      </c>
      <c r="B278" s="5">
        <v>2508231322</v>
      </c>
      <c r="C278" s="5" t="s">
        <v>1505</v>
      </c>
      <c r="D278" s="5" t="s">
        <v>1209</v>
      </c>
      <c r="E278" s="5" t="s">
        <v>1506</v>
      </c>
      <c r="F278" s="5" t="s">
        <v>51</v>
      </c>
      <c r="G278" s="5" t="s">
        <v>52</v>
      </c>
      <c r="H278" s="5" t="s">
        <v>1494</v>
      </c>
      <c r="I278" s="5">
        <v>202501020</v>
      </c>
      <c r="J278" s="5"/>
      <c r="K278" s="6">
        <v>45892</v>
      </c>
      <c r="L278" s="6">
        <v>45897</v>
      </c>
      <c r="M278" s="5" t="s">
        <v>53</v>
      </c>
      <c r="N278" s="5" t="s">
        <v>54</v>
      </c>
      <c r="O278" s="5" t="s">
        <v>41</v>
      </c>
      <c r="P278" s="30">
        <f t="shared" si="15"/>
        <v>5</v>
      </c>
      <c r="Q278" s="41">
        <v>3807.6615384615384</v>
      </c>
      <c r="R278" s="41">
        <v>5500</v>
      </c>
      <c r="S278" s="41">
        <f t="shared" si="14"/>
        <v>1692.3384615384616</v>
      </c>
    </row>
    <row r="279" spans="1:19">
      <c r="A279" s="5">
        <v>278</v>
      </c>
      <c r="B279" s="5">
        <v>2508231327</v>
      </c>
      <c r="C279" s="5" t="s">
        <v>1507</v>
      </c>
      <c r="D279" s="5" t="s">
        <v>77</v>
      </c>
      <c r="E279" s="5" t="s">
        <v>78</v>
      </c>
      <c r="F279" s="5" t="s">
        <v>79</v>
      </c>
      <c r="G279" s="5" t="s">
        <v>75</v>
      </c>
      <c r="H279" s="5" t="s">
        <v>1494</v>
      </c>
      <c r="I279" s="5">
        <v>202501021</v>
      </c>
      <c r="J279" s="5"/>
      <c r="K279" s="6">
        <v>45892</v>
      </c>
      <c r="L279" s="6">
        <v>45897</v>
      </c>
      <c r="M279" s="5" t="s">
        <v>53</v>
      </c>
      <c r="N279" s="5" t="s">
        <v>54</v>
      </c>
      <c r="O279" s="5" t="s">
        <v>41</v>
      </c>
      <c r="P279" s="30">
        <f t="shared" si="15"/>
        <v>5</v>
      </c>
      <c r="Q279" s="41">
        <v>3807.6615384615384</v>
      </c>
      <c r="R279" s="41">
        <v>4500</v>
      </c>
      <c r="S279" s="41">
        <f t="shared" si="14"/>
        <v>692.33846153846162</v>
      </c>
    </row>
    <row r="280" spans="1:19">
      <c r="A280" s="5">
        <v>279</v>
      </c>
      <c r="B280" s="5">
        <v>2508231334</v>
      </c>
      <c r="C280" s="5" t="s">
        <v>1508</v>
      </c>
      <c r="D280" s="5" t="s">
        <v>631</v>
      </c>
      <c r="E280" s="5" t="s">
        <v>664</v>
      </c>
      <c r="F280" s="5" t="s">
        <v>87</v>
      </c>
      <c r="G280" s="5" t="s">
        <v>52</v>
      </c>
      <c r="H280" s="5" t="s">
        <v>1494</v>
      </c>
      <c r="I280" s="5">
        <v>202501022</v>
      </c>
      <c r="J280" s="5"/>
      <c r="K280" s="6">
        <v>45892</v>
      </c>
      <c r="L280" s="6">
        <v>45897</v>
      </c>
      <c r="M280" s="5" t="s">
        <v>53</v>
      </c>
      <c r="N280" s="5" t="s">
        <v>54</v>
      </c>
      <c r="O280" s="5" t="s">
        <v>41</v>
      </c>
      <c r="P280" s="30">
        <f t="shared" si="15"/>
        <v>5</v>
      </c>
      <c r="Q280" s="41">
        <v>3807.6615384615384</v>
      </c>
      <c r="R280" s="41">
        <v>8000</v>
      </c>
      <c r="S280" s="41">
        <f t="shared" si="14"/>
        <v>4192.3384615384621</v>
      </c>
    </row>
    <row r="281" spans="1:19">
      <c r="A281" s="5">
        <v>280</v>
      </c>
      <c r="B281" s="5">
        <v>2508231338</v>
      </c>
      <c r="C281" s="5" t="s">
        <v>1509</v>
      </c>
      <c r="D281" s="5" t="s">
        <v>908</v>
      </c>
      <c r="E281" s="5" t="s">
        <v>909</v>
      </c>
      <c r="F281" s="5" t="s">
        <v>362</v>
      </c>
      <c r="G281" s="5" t="s">
        <v>43</v>
      </c>
      <c r="H281" s="5" t="s">
        <v>1494</v>
      </c>
      <c r="I281" s="5">
        <v>202501023</v>
      </c>
      <c r="J281" s="5"/>
      <c r="K281" s="6">
        <v>45892</v>
      </c>
      <c r="L281" s="6">
        <v>45897</v>
      </c>
      <c r="M281" s="5" t="s">
        <v>53</v>
      </c>
      <c r="N281" s="5" t="s">
        <v>54</v>
      </c>
      <c r="O281" s="5" t="s">
        <v>41</v>
      </c>
      <c r="P281" s="30">
        <f t="shared" si="15"/>
        <v>5</v>
      </c>
      <c r="Q281" s="41">
        <v>3807.6615384615384</v>
      </c>
      <c r="R281" s="41">
        <v>10500</v>
      </c>
      <c r="S281" s="41">
        <f t="shared" si="14"/>
        <v>6692.3384615384621</v>
      </c>
    </row>
    <row r="282" spans="1:19">
      <c r="A282" s="5">
        <v>281</v>
      </c>
      <c r="B282" s="5">
        <v>2508232374</v>
      </c>
      <c r="C282" s="5" t="s">
        <v>1510</v>
      </c>
      <c r="D282" s="5" t="s">
        <v>103</v>
      </c>
      <c r="E282" s="5" t="s">
        <v>1123</v>
      </c>
      <c r="F282" s="5" t="s">
        <v>51</v>
      </c>
      <c r="G282" s="5" t="s">
        <v>52</v>
      </c>
      <c r="H282" s="5" t="s">
        <v>1494</v>
      </c>
      <c r="I282" s="5">
        <v>202501024</v>
      </c>
      <c r="J282" s="5"/>
      <c r="K282" s="6">
        <v>45892</v>
      </c>
      <c r="L282" s="6">
        <v>45897</v>
      </c>
      <c r="M282" s="5" t="s">
        <v>53</v>
      </c>
      <c r="N282" s="5" t="s">
        <v>54</v>
      </c>
      <c r="O282" s="5" t="s">
        <v>41</v>
      </c>
      <c r="P282" s="30">
        <f t="shared" si="15"/>
        <v>5</v>
      </c>
      <c r="Q282" s="41">
        <v>3807.6615384615384</v>
      </c>
      <c r="R282" s="41">
        <v>8000</v>
      </c>
      <c r="S282" s="41">
        <f t="shared" si="14"/>
        <v>4192.3384615384621</v>
      </c>
    </row>
    <row r="283" spans="1:19">
      <c r="A283" s="5">
        <v>282</v>
      </c>
      <c r="B283" s="5">
        <v>2508232379</v>
      </c>
      <c r="C283" s="5" t="s">
        <v>1511</v>
      </c>
      <c r="D283" s="5" t="s">
        <v>745</v>
      </c>
      <c r="E283" s="5" t="s">
        <v>1512</v>
      </c>
      <c r="F283" s="5" t="s">
        <v>202</v>
      </c>
      <c r="G283" s="5" t="s">
        <v>75</v>
      </c>
      <c r="H283" s="5" t="s">
        <v>1494</v>
      </c>
      <c r="I283" s="5">
        <v>202501025</v>
      </c>
      <c r="J283" s="5"/>
      <c r="K283" s="6">
        <v>45892</v>
      </c>
      <c r="L283" s="6">
        <v>45897</v>
      </c>
      <c r="M283" s="5" t="s">
        <v>53</v>
      </c>
      <c r="N283" s="5" t="s">
        <v>54</v>
      </c>
      <c r="O283" s="5" t="s">
        <v>41</v>
      </c>
      <c r="P283" s="30">
        <f t="shared" si="15"/>
        <v>5</v>
      </c>
      <c r="Q283" s="41">
        <v>3807.6615384615384</v>
      </c>
      <c r="R283" s="41">
        <v>4900</v>
      </c>
      <c r="S283" s="41">
        <f t="shared" si="14"/>
        <v>1092.3384615384616</v>
      </c>
    </row>
    <row r="284" spans="1:19">
      <c r="A284" s="5">
        <v>283</v>
      </c>
      <c r="B284" s="5">
        <v>2508232390</v>
      </c>
      <c r="C284" s="5" t="s">
        <v>1513</v>
      </c>
      <c r="D284" s="5" t="s">
        <v>1514</v>
      </c>
      <c r="E284" s="5" t="s">
        <v>1515</v>
      </c>
      <c r="F284" s="5" t="s">
        <v>71</v>
      </c>
      <c r="G284" s="5" t="s">
        <v>52</v>
      </c>
      <c r="H284" s="5" t="s">
        <v>1494</v>
      </c>
      <c r="I284" s="5">
        <v>202501026</v>
      </c>
      <c r="J284" s="5"/>
      <c r="K284" s="6">
        <v>45892</v>
      </c>
      <c r="L284" s="6">
        <v>45897</v>
      </c>
      <c r="M284" s="5" t="s">
        <v>53</v>
      </c>
      <c r="N284" s="5" t="s">
        <v>54</v>
      </c>
      <c r="O284" s="5" t="s">
        <v>41</v>
      </c>
      <c r="P284" s="30">
        <f t="shared" si="15"/>
        <v>5</v>
      </c>
      <c r="Q284" s="41">
        <v>3807.6615384615384</v>
      </c>
      <c r="R284" s="41">
        <v>8500</v>
      </c>
      <c r="S284" s="41">
        <f t="shared" si="14"/>
        <v>4692.3384615384621</v>
      </c>
    </row>
    <row r="285" spans="1:19">
      <c r="A285" s="5">
        <v>284</v>
      </c>
      <c r="B285" s="5">
        <v>2508240020</v>
      </c>
      <c r="C285" s="5" t="s">
        <v>1516</v>
      </c>
      <c r="D285" s="5" t="s">
        <v>40</v>
      </c>
      <c r="E285" s="5" t="s">
        <v>41</v>
      </c>
      <c r="F285" s="5" t="s">
        <v>42</v>
      </c>
      <c r="G285" s="5" t="s">
        <v>75</v>
      </c>
      <c r="H285" s="5" t="s">
        <v>1494</v>
      </c>
      <c r="I285" s="5">
        <v>202501027</v>
      </c>
      <c r="J285" s="5"/>
      <c r="K285" s="6">
        <v>45893</v>
      </c>
      <c r="L285" s="6">
        <v>45897</v>
      </c>
      <c r="M285" s="5" t="s">
        <v>53</v>
      </c>
      <c r="N285" s="5" t="s">
        <v>54</v>
      </c>
      <c r="O285" s="5" t="s">
        <v>41</v>
      </c>
      <c r="P285" s="30">
        <f t="shared" si="15"/>
        <v>4</v>
      </c>
      <c r="Q285" s="41">
        <v>3807.6615384615384</v>
      </c>
      <c r="R285" s="41">
        <v>6500</v>
      </c>
      <c r="S285" s="41">
        <f t="shared" si="14"/>
        <v>2692.3384615384616</v>
      </c>
    </row>
    <row r="286" spans="1:19">
      <c r="A286" s="5">
        <v>285</v>
      </c>
      <c r="B286" s="5">
        <v>2508240209</v>
      </c>
      <c r="C286" s="5" t="s">
        <v>1517</v>
      </c>
      <c r="D286" s="5" t="s">
        <v>908</v>
      </c>
      <c r="E286" s="5" t="s">
        <v>1478</v>
      </c>
      <c r="F286" s="5" t="s">
        <v>362</v>
      </c>
      <c r="G286" s="5" t="s">
        <v>52</v>
      </c>
      <c r="H286" s="5" t="s">
        <v>1494</v>
      </c>
      <c r="I286" s="5">
        <v>202501029</v>
      </c>
      <c r="J286" s="5"/>
      <c r="K286" s="6">
        <v>45893</v>
      </c>
      <c r="L286" s="6">
        <v>45897</v>
      </c>
      <c r="M286" s="5" t="s">
        <v>53</v>
      </c>
      <c r="N286" s="5" t="s">
        <v>54</v>
      </c>
      <c r="O286" s="5" t="s">
        <v>41</v>
      </c>
      <c r="P286" s="30">
        <f t="shared" si="15"/>
        <v>4</v>
      </c>
      <c r="Q286" s="41">
        <v>3807.6615384615384</v>
      </c>
      <c r="R286" s="41">
        <v>5500</v>
      </c>
      <c r="S286" s="41">
        <f t="shared" si="14"/>
        <v>1692.3384615384616</v>
      </c>
    </row>
    <row r="287" spans="1:19">
      <c r="A287" s="5">
        <v>286</v>
      </c>
      <c r="B287" s="5">
        <v>2508240299</v>
      </c>
      <c r="C287" s="5" t="s">
        <v>1518</v>
      </c>
      <c r="D287" s="5" t="s">
        <v>405</v>
      </c>
      <c r="E287" s="5" t="s">
        <v>1519</v>
      </c>
      <c r="F287" s="5" t="s">
        <v>202</v>
      </c>
      <c r="G287" s="5" t="s">
        <v>52</v>
      </c>
      <c r="H287" s="5" t="s">
        <v>1494</v>
      </c>
      <c r="I287" s="5">
        <v>202501030</v>
      </c>
      <c r="J287" s="5"/>
      <c r="K287" s="6">
        <v>45893</v>
      </c>
      <c r="L287" s="6">
        <v>45897</v>
      </c>
      <c r="M287" s="5" t="s">
        <v>53</v>
      </c>
      <c r="N287" s="5" t="s">
        <v>54</v>
      </c>
      <c r="O287" s="5" t="s">
        <v>41</v>
      </c>
      <c r="P287" s="30">
        <f t="shared" si="15"/>
        <v>4</v>
      </c>
      <c r="Q287" s="41">
        <v>3807.6615384615384</v>
      </c>
      <c r="R287" s="41">
        <v>6450</v>
      </c>
      <c r="S287" s="41">
        <f t="shared" si="14"/>
        <v>2642.3384615384616</v>
      </c>
    </row>
    <row r="288" spans="1:19">
      <c r="A288" s="5">
        <v>287</v>
      </c>
      <c r="B288" s="9">
        <v>2508241159</v>
      </c>
      <c r="C288" s="9" t="s">
        <v>1520</v>
      </c>
      <c r="D288" s="9" t="s">
        <v>309</v>
      </c>
      <c r="E288" s="9" t="s">
        <v>310</v>
      </c>
      <c r="F288" s="9" t="s">
        <v>51</v>
      </c>
      <c r="G288" s="9" t="s">
        <v>52</v>
      </c>
      <c r="H288" s="9" t="s">
        <v>1494</v>
      </c>
      <c r="I288" s="9">
        <v>202501031</v>
      </c>
      <c r="J288" s="9"/>
      <c r="K288" s="10">
        <v>45893</v>
      </c>
      <c r="L288" s="10">
        <v>45897</v>
      </c>
      <c r="M288" s="9" t="s">
        <v>53</v>
      </c>
      <c r="N288" s="9" t="s">
        <v>94</v>
      </c>
      <c r="O288" s="9" t="s">
        <v>1521</v>
      </c>
      <c r="P288" s="32">
        <f t="shared" si="15"/>
        <v>4</v>
      </c>
      <c r="Q288" s="11">
        <v>3807.6615384615384</v>
      </c>
      <c r="R288" s="11">
        <v>5500</v>
      </c>
      <c r="S288" s="11">
        <f t="shared" si="14"/>
        <v>1692.3384615384616</v>
      </c>
    </row>
    <row r="289" spans="1:19">
      <c r="A289" s="5">
        <v>288</v>
      </c>
      <c r="B289" s="13">
        <v>2508241165</v>
      </c>
      <c r="C289" s="13" t="s">
        <v>1522</v>
      </c>
      <c r="D289" s="13" t="s">
        <v>309</v>
      </c>
      <c r="E289" s="13" t="s">
        <v>310</v>
      </c>
      <c r="F289" s="13" t="s">
        <v>51</v>
      </c>
      <c r="G289" s="13" t="s">
        <v>52</v>
      </c>
      <c r="H289" s="13" t="s">
        <v>1494</v>
      </c>
      <c r="I289" s="13">
        <v>202501032</v>
      </c>
      <c r="J289" s="13"/>
      <c r="K289" s="14">
        <v>45893</v>
      </c>
      <c r="L289" s="14">
        <v>45897</v>
      </c>
      <c r="M289" s="13" t="s">
        <v>45</v>
      </c>
      <c r="N289" s="13" t="s">
        <v>46</v>
      </c>
      <c r="O289" s="13" t="s">
        <v>1523</v>
      </c>
      <c r="P289" s="35">
        <f t="shared" si="15"/>
        <v>4</v>
      </c>
      <c r="Q289" s="15">
        <v>3807.6615384615384</v>
      </c>
      <c r="R289" s="15">
        <v>5500</v>
      </c>
      <c r="S289" s="15">
        <f t="shared" si="14"/>
        <v>1692.3384615384616</v>
      </c>
    </row>
    <row r="290" spans="1:19">
      <c r="A290" s="5">
        <v>289</v>
      </c>
      <c r="B290" s="9">
        <v>2508241171</v>
      </c>
      <c r="C290" s="9" t="s">
        <v>1524</v>
      </c>
      <c r="D290" s="9" t="s">
        <v>309</v>
      </c>
      <c r="E290" s="9" t="s">
        <v>310</v>
      </c>
      <c r="F290" s="9" t="s">
        <v>51</v>
      </c>
      <c r="G290" s="9" t="s">
        <v>52</v>
      </c>
      <c r="H290" s="9" t="s">
        <v>1494</v>
      </c>
      <c r="I290" s="9">
        <v>202501033</v>
      </c>
      <c r="J290" s="9"/>
      <c r="K290" s="10">
        <v>45893</v>
      </c>
      <c r="L290" s="10">
        <v>45897</v>
      </c>
      <c r="M290" s="9" t="s">
        <v>53</v>
      </c>
      <c r="N290" s="9" t="s">
        <v>627</v>
      </c>
      <c r="O290" s="9" t="s">
        <v>627</v>
      </c>
      <c r="P290" s="32">
        <f t="shared" si="15"/>
        <v>4</v>
      </c>
      <c r="Q290" s="11">
        <v>3807.6615384615384</v>
      </c>
      <c r="R290" s="11">
        <v>5500</v>
      </c>
      <c r="S290" s="11">
        <f t="shared" si="14"/>
        <v>1692.3384615384616</v>
      </c>
    </row>
    <row r="291" spans="1:19">
      <c r="A291" s="5">
        <v>290</v>
      </c>
      <c r="B291" s="5">
        <v>2508241177</v>
      </c>
      <c r="C291" s="5" t="s">
        <v>1525</v>
      </c>
      <c r="D291" s="5" t="s">
        <v>103</v>
      </c>
      <c r="E291" s="5" t="s">
        <v>1526</v>
      </c>
      <c r="F291" s="5" t="s">
        <v>51</v>
      </c>
      <c r="G291" s="5" t="s">
        <v>190</v>
      </c>
      <c r="H291" s="5" t="s">
        <v>1494</v>
      </c>
      <c r="I291" s="5">
        <v>202501034</v>
      </c>
      <c r="J291" s="5"/>
      <c r="K291" s="6">
        <v>45893</v>
      </c>
      <c r="L291" s="6">
        <v>45897</v>
      </c>
      <c r="M291" s="5" t="s">
        <v>53</v>
      </c>
      <c r="N291" s="5" t="s">
        <v>54</v>
      </c>
      <c r="O291" s="5" t="s">
        <v>41</v>
      </c>
      <c r="P291" s="30">
        <f t="shared" si="15"/>
        <v>4</v>
      </c>
      <c r="Q291" s="41">
        <v>3807.6615384615384</v>
      </c>
      <c r="R291" s="41">
        <v>12000</v>
      </c>
      <c r="S291" s="41">
        <f t="shared" si="14"/>
        <v>8192.3384615384621</v>
      </c>
    </row>
    <row r="292" spans="1:19">
      <c r="A292" s="5">
        <v>291</v>
      </c>
      <c r="B292" s="9">
        <v>2508241183</v>
      </c>
      <c r="C292" s="9" t="s">
        <v>1527</v>
      </c>
      <c r="D292" s="9" t="s">
        <v>393</v>
      </c>
      <c r="E292" s="9" t="s">
        <v>1528</v>
      </c>
      <c r="F292" s="9" t="s">
        <v>202</v>
      </c>
      <c r="G292" s="9" t="s">
        <v>43</v>
      </c>
      <c r="H292" s="9" t="s">
        <v>1494</v>
      </c>
      <c r="I292" s="9">
        <v>202501035</v>
      </c>
      <c r="J292" s="9"/>
      <c r="K292" s="10">
        <v>45893</v>
      </c>
      <c r="L292" s="10">
        <v>45897</v>
      </c>
      <c r="M292" s="9" t="s">
        <v>53</v>
      </c>
      <c r="N292" s="9" t="s">
        <v>94</v>
      </c>
      <c r="O292" s="9" t="s">
        <v>1529</v>
      </c>
      <c r="P292" s="32">
        <f t="shared" si="15"/>
        <v>4</v>
      </c>
      <c r="Q292" s="11">
        <v>3807.6615384615384</v>
      </c>
      <c r="R292" s="11">
        <v>13500</v>
      </c>
      <c r="S292" s="11">
        <f t="shared" si="14"/>
        <v>9692.3384615384621</v>
      </c>
    </row>
    <row r="293" spans="1:19">
      <c r="A293" s="5">
        <v>292</v>
      </c>
      <c r="B293" s="5">
        <v>2508241191</v>
      </c>
      <c r="C293" s="5" t="s">
        <v>1530</v>
      </c>
      <c r="D293" s="5" t="s">
        <v>263</v>
      </c>
      <c r="E293" s="5" t="s">
        <v>1531</v>
      </c>
      <c r="F293" s="5" t="s">
        <v>71</v>
      </c>
      <c r="G293" s="5" t="s">
        <v>52</v>
      </c>
      <c r="H293" s="5" t="s">
        <v>1494</v>
      </c>
      <c r="I293" s="5">
        <v>202501036</v>
      </c>
      <c r="J293" s="5"/>
      <c r="K293" s="6">
        <v>45893</v>
      </c>
      <c r="L293" s="6">
        <v>45897</v>
      </c>
      <c r="M293" s="5" t="s">
        <v>53</v>
      </c>
      <c r="N293" s="5" t="s">
        <v>54</v>
      </c>
      <c r="O293" s="5" t="s">
        <v>41</v>
      </c>
      <c r="P293" s="30">
        <f t="shared" si="15"/>
        <v>4</v>
      </c>
      <c r="Q293" s="41">
        <v>3807.6615384615384</v>
      </c>
      <c r="R293" s="41">
        <v>8000</v>
      </c>
      <c r="S293" s="41">
        <f t="shared" si="14"/>
        <v>4192.3384615384621</v>
      </c>
    </row>
    <row r="294" spans="1:19">
      <c r="A294" s="5">
        <v>293</v>
      </c>
      <c r="B294" s="5">
        <v>2508252135</v>
      </c>
      <c r="C294" s="5" t="s">
        <v>1532</v>
      </c>
      <c r="D294" s="5" t="s">
        <v>177</v>
      </c>
      <c r="E294" s="5" t="s">
        <v>98</v>
      </c>
      <c r="F294" s="5" t="s">
        <v>71</v>
      </c>
      <c r="G294" s="5" t="s">
        <v>52</v>
      </c>
      <c r="H294" s="5" t="s">
        <v>1494</v>
      </c>
      <c r="I294" s="5">
        <v>202501037</v>
      </c>
      <c r="J294" s="5"/>
      <c r="K294" s="6">
        <v>45894</v>
      </c>
      <c r="L294" s="6">
        <v>45897</v>
      </c>
      <c r="M294" s="5" t="s">
        <v>53</v>
      </c>
      <c r="N294" s="5" t="s">
        <v>54</v>
      </c>
      <c r="O294" s="5" t="s">
        <v>41</v>
      </c>
      <c r="P294" s="30">
        <f t="shared" si="15"/>
        <v>3</v>
      </c>
      <c r="Q294" s="41">
        <v>3807.6615384615384</v>
      </c>
      <c r="R294" s="41">
        <v>8500</v>
      </c>
      <c r="S294" s="41">
        <f t="shared" si="14"/>
        <v>4692.3384615384621</v>
      </c>
    </row>
    <row r="295" spans="1:19">
      <c r="A295" s="5">
        <v>294</v>
      </c>
      <c r="B295" s="5">
        <v>2508252154</v>
      </c>
      <c r="C295" s="5" t="s">
        <v>1533</v>
      </c>
      <c r="D295" s="5" t="s">
        <v>711</v>
      </c>
      <c r="E295" s="5" t="s">
        <v>237</v>
      </c>
      <c r="F295" s="5" t="s">
        <v>71</v>
      </c>
      <c r="G295" s="5" t="s">
        <v>43</v>
      </c>
      <c r="H295" s="5" t="s">
        <v>1494</v>
      </c>
      <c r="I295" s="5">
        <v>202501038</v>
      </c>
      <c r="J295" s="5"/>
      <c r="K295" s="6">
        <v>45894</v>
      </c>
      <c r="L295" s="6">
        <v>45897</v>
      </c>
      <c r="M295" s="5" t="s">
        <v>53</v>
      </c>
      <c r="N295" s="5" t="s">
        <v>54</v>
      </c>
      <c r="O295" s="5" t="s">
        <v>41</v>
      </c>
      <c r="P295" s="30">
        <f t="shared" si="15"/>
        <v>3</v>
      </c>
      <c r="Q295" s="41">
        <v>3807.6615384615384</v>
      </c>
      <c r="R295" s="41">
        <v>12000</v>
      </c>
      <c r="S295" s="41">
        <f t="shared" si="14"/>
        <v>8192.3384615384621</v>
      </c>
    </row>
    <row r="296" spans="1:19">
      <c r="A296" s="5">
        <v>295</v>
      </c>
      <c r="B296" s="5" t="s">
        <v>1239</v>
      </c>
      <c r="C296" s="5"/>
      <c r="D296" s="5"/>
      <c r="E296" s="5"/>
      <c r="F296" s="5"/>
      <c r="G296" s="5" t="s">
        <v>52</v>
      </c>
      <c r="H296" s="5"/>
      <c r="I296" s="5"/>
      <c r="J296" s="5"/>
      <c r="K296" s="5"/>
      <c r="L296" s="5"/>
      <c r="M296" s="5"/>
      <c r="N296" s="5"/>
      <c r="O296" s="5"/>
      <c r="P296" s="5"/>
      <c r="Q296" s="41">
        <v>3807.6615384615384</v>
      </c>
      <c r="R296" s="41">
        <v>0</v>
      </c>
      <c r="S296" s="41">
        <f t="shared" si="14"/>
        <v>-3807.6615384615384</v>
      </c>
    </row>
    <row r="297" spans="1:19">
      <c r="A297" s="5">
        <v>296</v>
      </c>
      <c r="B297" s="5" t="s">
        <v>1240</v>
      </c>
      <c r="C297" s="5"/>
      <c r="D297" s="5"/>
      <c r="E297" s="5"/>
      <c r="F297" s="5"/>
      <c r="G297" s="5" t="s">
        <v>52</v>
      </c>
      <c r="H297" s="5"/>
      <c r="I297" s="5"/>
      <c r="J297" s="5"/>
      <c r="K297" s="5"/>
      <c r="L297" s="5"/>
      <c r="M297" s="5"/>
      <c r="N297" s="5"/>
      <c r="O297" s="5"/>
      <c r="P297" s="5"/>
      <c r="Q297" s="41">
        <v>3807.6615384615384</v>
      </c>
      <c r="R297" s="41">
        <v>0</v>
      </c>
      <c r="S297" s="41">
        <f t="shared" si="14"/>
        <v>-3807.6615384615384</v>
      </c>
    </row>
    <row r="298" spans="1:19">
      <c r="A298" s="5">
        <v>297</v>
      </c>
      <c r="B298" s="22">
        <v>2506261800</v>
      </c>
      <c r="C298" s="22" t="s">
        <v>675</v>
      </c>
      <c r="D298" s="22" t="s">
        <v>676</v>
      </c>
      <c r="E298" s="22" t="s">
        <v>677</v>
      </c>
      <c r="F298" s="22" t="s">
        <v>678</v>
      </c>
      <c r="G298" s="22" t="s">
        <v>52</v>
      </c>
      <c r="H298" s="22" t="s">
        <v>1537</v>
      </c>
      <c r="I298" s="22" t="s">
        <v>1538</v>
      </c>
      <c r="J298" s="22"/>
      <c r="K298" s="23">
        <v>45894</v>
      </c>
      <c r="L298" s="23">
        <v>45899</v>
      </c>
      <c r="M298" s="22" t="s">
        <v>53</v>
      </c>
      <c r="N298" s="22" t="s">
        <v>54</v>
      </c>
      <c r="O298" s="22" t="s">
        <v>41</v>
      </c>
      <c r="P298" s="34">
        <f t="shared" ref="P298:P321" si="16">L298-K298</f>
        <v>5</v>
      </c>
      <c r="Q298" s="24">
        <v>3642.4475524475524</v>
      </c>
      <c r="R298" s="24">
        <v>0</v>
      </c>
      <c r="S298" s="24">
        <f t="shared" si="14"/>
        <v>-3642.4475524475524</v>
      </c>
    </row>
    <row r="299" spans="1:19">
      <c r="A299" s="5">
        <v>298</v>
      </c>
      <c r="B299" s="13">
        <v>2508241159</v>
      </c>
      <c r="C299" s="13" t="s">
        <v>1520</v>
      </c>
      <c r="D299" s="13" t="s">
        <v>309</v>
      </c>
      <c r="E299" s="13" t="s">
        <v>310</v>
      </c>
      <c r="F299" s="13" t="s">
        <v>51</v>
      </c>
      <c r="G299" s="13" t="s">
        <v>52</v>
      </c>
      <c r="H299" s="13" t="s">
        <v>1537</v>
      </c>
      <c r="I299" s="13" t="s">
        <v>1539</v>
      </c>
      <c r="J299" s="13"/>
      <c r="K299" s="14">
        <v>45893</v>
      </c>
      <c r="L299" s="14">
        <v>45899</v>
      </c>
      <c r="M299" s="13" t="s">
        <v>45</v>
      </c>
      <c r="N299" s="13" t="s">
        <v>46</v>
      </c>
      <c r="O299" s="13" t="s">
        <v>1540</v>
      </c>
      <c r="P299" s="35">
        <f t="shared" si="16"/>
        <v>6</v>
      </c>
      <c r="Q299" s="15">
        <v>3642.4475524475524</v>
      </c>
      <c r="R299" s="15">
        <v>0</v>
      </c>
      <c r="S299" s="15">
        <f t="shared" si="14"/>
        <v>-3642.4475524475524</v>
      </c>
    </row>
    <row r="300" spans="1:19">
      <c r="A300" s="5">
        <v>299</v>
      </c>
      <c r="B300" s="9">
        <v>2508241183</v>
      </c>
      <c r="C300" s="9" t="s">
        <v>1527</v>
      </c>
      <c r="D300" s="9" t="s">
        <v>393</v>
      </c>
      <c r="E300" s="9" t="s">
        <v>1528</v>
      </c>
      <c r="F300" s="9" t="s">
        <v>202</v>
      </c>
      <c r="G300" s="9" t="s">
        <v>43</v>
      </c>
      <c r="H300" s="9" t="s">
        <v>1537</v>
      </c>
      <c r="I300" s="9" t="s">
        <v>1541</v>
      </c>
      <c r="J300" s="9"/>
      <c r="K300" s="10">
        <v>45893</v>
      </c>
      <c r="L300" s="10">
        <v>45899</v>
      </c>
      <c r="M300" s="9" t="s">
        <v>45</v>
      </c>
      <c r="N300" s="9" t="s">
        <v>94</v>
      </c>
      <c r="O300" s="9" t="s">
        <v>1542</v>
      </c>
      <c r="P300" s="32">
        <f t="shared" si="16"/>
        <v>6</v>
      </c>
      <c r="Q300" s="11">
        <v>3642.4475524475524</v>
      </c>
      <c r="R300" s="11">
        <v>0</v>
      </c>
      <c r="S300" s="11">
        <f t="shared" si="14"/>
        <v>-3642.4475524475524</v>
      </c>
    </row>
    <row r="301" spans="1:19">
      <c r="A301" s="5">
        <v>300</v>
      </c>
      <c r="B301" s="5">
        <v>2508252143</v>
      </c>
      <c r="C301" s="5" t="s">
        <v>1543</v>
      </c>
      <c r="D301" s="5" t="s">
        <v>97</v>
      </c>
      <c r="E301" s="5" t="s">
        <v>98</v>
      </c>
      <c r="F301" s="5" t="s">
        <v>71</v>
      </c>
      <c r="G301" s="5" t="s">
        <v>75</v>
      </c>
      <c r="H301" s="5" t="s">
        <v>1537</v>
      </c>
      <c r="I301" s="5">
        <v>202501039</v>
      </c>
      <c r="J301" s="5"/>
      <c r="K301" s="6">
        <v>45894</v>
      </c>
      <c r="L301" s="6">
        <v>45899</v>
      </c>
      <c r="M301" s="5" t="s">
        <v>53</v>
      </c>
      <c r="N301" s="5" t="s">
        <v>54</v>
      </c>
      <c r="O301" s="5" t="s">
        <v>41</v>
      </c>
      <c r="P301" s="30">
        <f t="shared" si="16"/>
        <v>5</v>
      </c>
      <c r="Q301" s="41">
        <v>3642.4475524475524</v>
      </c>
      <c r="R301" s="41">
        <v>4900</v>
      </c>
      <c r="S301" s="41">
        <f t="shared" si="14"/>
        <v>1257.5524475524476</v>
      </c>
    </row>
    <row r="302" spans="1:19">
      <c r="A302" s="5">
        <v>301</v>
      </c>
      <c r="B302" s="5">
        <v>2508252160</v>
      </c>
      <c r="C302" s="5" t="s">
        <v>1544</v>
      </c>
      <c r="D302" s="5" t="s">
        <v>60</v>
      </c>
      <c r="E302" s="5" t="s">
        <v>61</v>
      </c>
      <c r="F302" s="5" t="s">
        <v>62</v>
      </c>
      <c r="G302" s="5" t="s">
        <v>52</v>
      </c>
      <c r="H302" s="5" t="s">
        <v>1537</v>
      </c>
      <c r="I302" s="5">
        <v>202501040</v>
      </c>
      <c r="J302" s="5"/>
      <c r="K302" s="6">
        <v>45894</v>
      </c>
      <c r="L302" s="6">
        <v>45899</v>
      </c>
      <c r="M302" s="5" t="s">
        <v>53</v>
      </c>
      <c r="N302" s="5" t="s">
        <v>54</v>
      </c>
      <c r="O302" s="5" t="s">
        <v>41</v>
      </c>
      <c r="P302" s="30">
        <f t="shared" si="16"/>
        <v>5</v>
      </c>
      <c r="Q302" s="41">
        <v>3642.4475524475524</v>
      </c>
      <c r="R302" s="41">
        <v>6000</v>
      </c>
      <c r="S302" s="41">
        <f t="shared" si="14"/>
        <v>2357.5524475524476</v>
      </c>
    </row>
    <row r="303" spans="1:19">
      <c r="A303" s="5">
        <v>302</v>
      </c>
      <c r="B303" s="5">
        <v>2508252174</v>
      </c>
      <c r="C303" s="5" t="s">
        <v>1545</v>
      </c>
      <c r="D303" s="5" t="s">
        <v>83</v>
      </c>
      <c r="E303" s="5" t="s">
        <v>84</v>
      </c>
      <c r="F303" s="5" t="s">
        <v>62</v>
      </c>
      <c r="G303" s="5" t="s">
        <v>52</v>
      </c>
      <c r="H303" s="5" t="s">
        <v>1537</v>
      </c>
      <c r="I303" s="5">
        <v>202501041</v>
      </c>
      <c r="J303" s="5"/>
      <c r="K303" s="6">
        <v>45894</v>
      </c>
      <c r="L303" s="6">
        <v>45899</v>
      </c>
      <c r="M303" s="5" t="s">
        <v>53</v>
      </c>
      <c r="N303" s="5" t="s">
        <v>54</v>
      </c>
      <c r="O303" s="5" t="s">
        <v>41</v>
      </c>
      <c r="P303" s="30">
        <f t="shared" si="16"/>
        <v>5</v>
      </c>
      <c r="Q303" s="41">
        <v>3642.4475524475524</v>
      </c>
      <c r="R303" s="41">
        <v>6000</v>
      </c>
      <c r="S303" s="41">
        <f t="shared" si="14"/>
        <v>2357.5524475524476</v>
      </c>
    </row>
    <row r="304" spans="1:19">
      <c r="A304" s="5">
        <v>303</v>
      </c>
      <c r="B304" s="5">
        <v>2508252185</v>
      </c>
      <c r="C304" s="5" t="s">
        <v>1546</v>
      </c>
      <c r="D304" s="5" t="s">
        <v>257</v>
      </c>
      <c r="E304" s="5" t="s">
        <v>258</v>
      </c>
      <c r="F304" s="5" t="s">
        <v>62</v>
      </c>
      <c r="G304" s="5" t="s">
        <v>52</v>
      </c>
      <c r="H304" s="5" t="s">
        <v>1537</v>
      </c>
      <c r="I304" s="5">
        <v>202501042</v>
      </c>
      <c r="J304" s="5"/>
      <c r="K304" s="6">
        <v>45894</v>
      </c>
      <c r="L304" s="6">
        <v>45899</v>
      </c>
      <c r="M304" s="5" t="s">
        <v>53</v>
      </c>
      <c r="N304" s="5" t="s">
        <v>54</v>
      </c>
      <c r="O304" s="5" t="s">
        <v>41</v>
      </c>
      <c r="P304" s="30">
        <f t="shared" si="16"/>
        <v>5</v>
      </c>
      <c r="Q304" s="41">
        <v>3642.4475524475524</v>
      </c>
      <c r="R304" s="41">
        <v>5100</v>
      </c>
      <c r="S304" s="41">
        <f t="shared" si="14"/>
        <v>1457.5524475524476</v>
      </c>
    </row>
    <row r="305" spans="1:19">
      <c r="A305" s="5">
        <v>304</v>
      </c>
      <c r="B305" s="5">
        <v>2508252191</v>
      </c>
      <c r="C305" s="5" t="s">
        <v>1547</v>
      </c>
      <c r="D305" s="5" t="s">
        <v>257</v>
      </c>
      <c r="E305" s="5" t="s">
        <v>258</v>
      </c>
      <c r="F305" s="5" t="s">
        <v>62</v>
      </c>
      <c r="G305" s="5" t="s">
        <v>52</v>
      </c>
      <c r="H305" s="5" t="s">
        <v>1537</v>
      </c>
      <c r="I305" s="5">
        <v>202501043</v>
      </c>
      <c r="J305" s="5"/>
      <c r="K305" s="6">
        <v>45894</v>
      </c>
      <c r="L305" s="6">
        <v>45899</v>
      </c>
      <c r="M305" s="5" t="s">
        <v>53</v>
      </c>
      <c r="N305" s="5" t="s">
        <v>54</v>
      </c>
      <c r="O305" s="5" t="s">
        <v>41</v>
      </c>
      <c r="P305" s="30">
        <f t="shared" si="16"/>
        <v>5</v>
      </c>
      <c r="Q305" s="41">
        <v>3642.4475524475524</v>
      </c>
      <c r="R305" s="41">
        <v>5100</v>
      </c>
      <c r="S305" s="41">
        <f t="shared" si="14"/>
        <v>1457.5524475524476</v>
      </c>
    </row>
    <row r="306" spans="1:19">
      <c r="A306" s="5">
        <v>305</v>
      </c>
      <c r="B306" s="5">
        <v>2508250881</v>
      </c>
      <c r="C306" s="5" t="s">
        <v>1548</v>
      </c>
      <c r="D306" s="5" t="s">
        <v>40</v>
      </c>
      <c r="E306" s="5" t="s">
        <v>41</v>
      </c>
      <c r="F306" s="5" t="s">
        <v>42</v>
      </c>
      <c r="G306" s="5" t="s">
        <v>43</v>
      </c>
      <c r="H306" s="5" t="s">
        <v>1537</v>
      </c>
      <c r="I306" s="5">
        <v>202501044</v>
      </c>
      <c r="J306" s="5"/>
      <c r="K306" s="6">
        <v>45894</v>
      </c>
      <c r="L306" s="6">
        <v>45899</v>
      </c>
      <c r="M306" s="5" t="s">
        <v>53</v>
      </c>
      <c r="N306" s="5" t="s">
        <v>54</v>
      </c>
      <c r="O306" s="5" t="s">
        <v>41</v>
      </c>
      <c r="P306" s="30">
        <f t="shared" si="16"/>
        <v>5</v>
      </c>
      <c r="Q306" s="41">
        <v>3642.4475524475524</v>
      </c>
      <c r="R306" s="41">
        <v>14500</v>
      </c>
      <c r="S306" s="41">
        <f t="shared" si="14"/>
        <v>10857.552447552447</v>
      </c>
    </row>
    <row r="307" spans="1:19">
      <c r="A307" s="5">
        <v>306</v>
      </c>
      <c r="B307" s="5">
        <v>2508252199</v>
      </c>
      <c r="C307" s="5" t="s">
        <v>1549</v>
      </c>
      <c r="D307" s="5" t="s">
        <v>572</v>
      </c>
      <c r="E307" s="5" t="s">
        <v>765</v>
      </c>
      <c r="F307" s="5" t="s">
        <v>87</v>
      </c>
      <c r="G307" s="5" t="s">
        <v>52</v>
      </c>
      <c r="H307" s="5" t="s">
        <v>1537</v>
      </c>
      <c r="I307" s="5">
        <v>202501045</v>
      </c>
      <c r="J307" s="5"/>
      <c r="K307" s="6">
        <v>45894</v>
      </c>
      <c r="L307" s="6">
        <v>45899</v>
      </c>
      <c r="M307" s="5" t="s">
        <v>53</v>
      </c>
      <c r="N307" s="5" t="s">
        <v>54</v>
      </c>
      <c r="O307" s="5" t="s">
        <v>41</v>
      </c>
      <c r="P307" s="30">
        <f t="shared" si="16"/>
        <v>5</v>
      </c>
      <c r="Q307" s="41">
        <v>3642.4475524475524</v>
      </c>
      <c r="R307" s="41">
        <v>6000</v>
      </c>
      <c r="S307" s="41">
        <f t="shared" si="14"/>
        <v>2357.5524475524476</v>
      </c>
    </row>
    <row r="308" spans="1:19">
      <c r="A308" s="5">
        <v>307</v>
      </c>
      <c r="B308" s="5">
        <v>2508252204</v>
      </c>
      <c r="C308" s="5" t="s">
        <v>1550</v>
      </c>
      <c r="D308" s="5" t="s">
        <v>581</v>
      </c>
      <c r="E308" s="5" t="s">
        <v>1313</v>
      </c>
      <c r="F308" s="5" t="s">
        <v>202</v>
      </c>
      <c r="G308" s="5" t="s">
        <v>75</v>
      </c>
      <c r="H308" s="5" t="s">
        <v>1537</v>
      </c>
      <c r="I308" s="5">
        <v>202501046</v>
      </c>
      <c r="J308" s="5"/>
      <c r="K308" s="6">
        <v>45894</v>
      </c>
      <c r="L308" s="6">
        <v>45899</v>
      </c>
      <c r="M308" s="5" t="s">
        <v>53</v>
      </c>
      <c r="N308" s="5" t="s">
        <v>54</v>
      </c>
      <c r="O308" s="5" t="s">
        <v>41</v>
      </c>
      <c r="P308" s="30">
        <f t="shared" si="16"/>
        <v>5</v>
      </c>
      <c r="Q308" s="41">
        <v>3642.4475524475524</v>
      </c>
      <c r="R308" s="41">
        <v>5900</v>
      </c>
      <c r="S308" s="41">
        <f t="shared" si="14"/>
        <v>2257.5524475524476</v>
      </c>
    </row>
    <row r="309" spans="1:19">
      <c r="A309" s="5">
        <v>308</v>
      </c>
      <c r="B309" s="5">
        <v>2508252209</v>
      </c>
      <c r="C309" s="5" t="s">
        <v>1551</v>
      </c>
      <c r="D309" s="5" t="s">
        <v>444</v>
      </c>
      <c r="E309" s="5" t="s">
        <v>670</v>
      </c>
      <c r="F309" s="5" t="s">
        <v>109</v>
      </c>
      <c r="G309" s="5" t="s">
        <v>52</v>
      </c>
      <c r="H309" s="5" t="s">
        <v>1537</v>
      </c>
      <c r="I309" s="5">
        <v>202501047</v>
      </c>
      <c r="J309" s="5"/>
      <c r="K309" s="6">
        <v>45894</v>
      </c>
      <c r="L309" s="6">
        <v>45899</v>
      </c>
      <c r="M309" s="5" t="s">
        <v>53</v>
      </c>
      <c r="N309" s="5" t="s">
        <v>54</v>
      </c>
      <c r="O309" s="5" t="s">
        <v>41</v>
      </c>
      <c r="P309" s="30">
        <f t="shared" si="16"/>
        <v>5</v>
      </c>
      <c r="Q309" s="41">
        <v>3642.4475524475524</v>
      </c>
      <c r="R309" s="41">
        <v>5950</v>
      </c>
      <c r="S309" s="41">
        <f t="shared" si="14"/>
        <v>2307.5524475524476</v>
      </c>
    </row>
    <row r="310" spans="1:19">
      <c r="A310" s="5">
        <v>309</v>
      </c>
      <c r="B310" s="5">
        <v>2508252213</v>
      </c>
      <c r="C310" s="5" t="s">
        <v>1552</v>
      </c>
      <c r="D310" s="5" t="s">
        <v>444</v>
      </c>
      <c r="E310" s="5" t="s">
        <v>670</v>
      </c>
      <c r="F310" s="5" t="s">
        <v>109</v>
      </c>
      <c r="G310" s="5" t="s">
        <v>52</v>
      </c>
      <c r="H310" s="5" t="s">
        <v>1537</v>
      </c>
      <c r="I310" s="5">
        <v>202501048</v>
      </c>
      <c r="J310" s="5"/>
      <c r="K310" s="6">
        <v>45894</v>
      </c>
      <c r="L310" s="6">
        <v>45899</v>
      </c>
      <c r="M310" s="5" t="s">
        <v>53</v>
      </c>
      <c r="N310" s="5" t="s">
        <v>54</v>
      </c>
      <c r="O310" s="5" t="s">
        <v>41</v>
      </c>
      <c r="P310" s="30">
        <f t="shared" si="16"/>
        <v>5</v>
      </c>
      <c r="Q310" s="41">
        <v>3642.4475524475524</v>
      </c>
      <c r="R310" s="41">
        <v>5950</v>
      </c>
      <c r="S310" s="41">
        <f t="shared" si="14"/>
        <v>2307.5524475524476</v>
      </c>
    </row>
    <row r="311" spans="1:19">
      <c r="A311" s="5">
        <v>310</v>
      </c>
      <c r="B311" s="5">
        <v>2508263057</v>
      </c>
      <c r="C311" s="5" t="s">
        <v>1553</v>
      </c>
      <c r="D311" s="5" t="s">
        <v>309</v>
      </c>
      <c r="E311" s="5" t="s">
        <v>310</v>
      </c>
      <c r="F311" s="5" t="s">
        <v>51</v>
      </c>
      <c r="G311" s="5" t="s">
        <v>52</v>
      </c>
      <c r="H311" s="5" t="s">
        <v>1537</v>
      </c>
      <c r="I311" s="5">
        <v>202501049</v>
      </c>
      <c r="J311" s="5"/>
      <c r="K311" s="6">
        <v>45895</v>
      </c>
      <c r="L311" s="6">
        <v>45899</v>
      </c>
      <c r="M311" s="5" t="s">
        <v>53</v>
      </c>
      <c r="N311" s="5" t="s">
        <v>54</v>
      </c>
      <c r="O311" s="5" t="s">
        <v>41</v>
      </c>
      <c r="P311" s="30">
        <f t="shared" si="16"/>
        <v>4</v>
      </c>
      <c r="Q311" s="41">
        <v>3642.4475524475524</v>
      </c>
      <c r="R311" s="41">
        <v>5500</v>
      </c>
      <c r="S311" s="41">
        <f t="shared" si="14"/>
        <v>1857.5524475524476</v>
      </c>
    </row>
    <row r="312" spans="1:19">
      <c r="A312" s="5">
        <v>311</v>
      </c>
      <c r="B312" s="5">
        <v>2508252221</v>
      </c>
      <c r="C312" s="5" t="s">
        <v>1554</v>
      </c>
      <c r="D312" s="5" t="s">
        <v>1261</v>
      </c>
      <c r="E312" s="5" t="s">
        <v>1262</v>
      </c>
      <c r="F312" s="5" t="s">
        <v>71</v>
      </c>
      <c r="G312" s="5" t="s">
        <v>43</v>
      </c>
      <c r="H312" s="5" t="s">
        <v>1537</v>
      </c>
      <c r="I312" s="5">
        <v>202501050</v>
      </c>
      <c r="J312" s="5"/>
      <c r="K312" s="6">
        <v>45894</v>
      </c>
      <c r="L312" s="6">
        <v>45899</v>
      </c>
      <c r="M312" s="5" t="s">
        <v>53</v>
      </c>
      <c r="N312" s="5" t="s">
        <v>54</v>
      </c>
      <c r="O312" s="5" t="s">
        <v>41</v>
      </c>
      <c r="P312" s="30">
        <f t="shared" si="16"/>
        <v>5</v>
      </c>
      <c r="Q312" s="41">
        <v>3642.4475524475524</v>
      </c>
      <c r="R312" s="41">
        <v>11000</v>
      </c>
      <c r="S312" s="41">
        <f t="shared" si="14"/>
        <v>7357.5524475524471</v>
      </c>
    </row>
    <row r="313" spans="1:19">
      <c r="A313" s="5">
        <v>312</v>
      </c>
      <c r="B313" s="5">
        <v>2508263062</v>
      </c>
      <c r="C313" s="5" t="s">
        <v>1555</v>
      </c>
      <c r="D313" s="5" t="s">
        <v>309</v>
      </c>
      <c r="E313" s="5" t="s">
        <v>310</v>
      </c>
      <c r="F313" s="5" t="s">
        <v>51</v>
      </c>
      <c r="G313" s="5" t="s">
        <v>52</v>
      </c>
      <c r="H313" s="5" t="s">
        <v>1537</v>
      </c>
      <c r="I313" s="5">
        <v>202501051</v>
      </c>
      <c r="J313" s="5"/>
      <c r="K313" s="6">
        <v>45895</v>
      </c>
      <c r="L313" s="6">
        <v>45899</v>
      </c>
      <c r="M313" s="5" t="s">
        <v>53</v>
      </c>
      <c r="N313" s="5" t="s">
        <v>54</v>
      </c>
      <c r="O313" s="5" t="s">
        <v>41</v>
      </c>
      <c r="P313" s="30">
        <f t="shared" si="16"/>
        <v>4</v>
      </c>
      <c r="Q313" s="41">
        <v>3642.4475524475524</v>
      </c>
      <c r="R313" s="41">
        <v>5500</v>
      </c>
      <c r="S313" s="41">
        <f t="shared" si="14"/>
        <v>1857.5524475524476</v>
      </c>
    </row>
    <row r="314" spans="1:19">
      <c r="A314" s="5">
        <v>313</v>
      </c>
      <c r="B314" s="5">
        <v>2508263065</v>
      </c>
      <c r="C314" s="5" t="s">
        <v>1556</v>
      </c>
      <c r="D314" s="5" t="s">
        <v>309</v>
      </c>
      <c r="E314" s="5" t="s">
        <v>310</v>
      </c>
      <c r="F314" s="5" t="s">
        <v>51</v>
      </c>
      <c r="G314" s="5" t="s">
        <v>52</v>
      </c>
      <c r="H314" s="5" t="s">
        <v>1537</v>
      </c>
      <c r="I314" s="5">
        <v>202501052</v>
      </c>
      <c r="J314" s="5"/>
      <c r="K314" s="6">
        <v>45895</v>
      </c>
      <c r="L314" s="6">
        <v>45899</v>
      </c>
      <c r="M314" s="5" t="s">
        <v>53</v>
      </c>
      <c r="N314" s="5" t="s">
        <v>54</v>
      </c>
      <c r="O314" s="5" t="s">
        <v>41</v>
      </c>
      <c r="P314" s="30">
        <f t="shared" si="16"/>
        <v>4</v>
      </c>
      <c r="Q314" s="41">
        <v>3642.4475524475524</v>
      </c>
      <c r="R314" s="41">
        <v>5500</v>
      </c>
      <c r="S314" s="41">
        <f t="shared" si="14"/>
        <v>1857.5524475524476</v>
      </c>
    </row>
    <row r="315" spans="1:19">
      <c r="A315" s="5">
        <v>314</v>
      </c>
      <c r="B315" s="5">
        <v>2508263070</v>
      </c>
      <c r="C315" s="5" t="s">
        <v>1557</v>
      </c>
      <c r="D315" s="5" t="s">
        <v>474</v>
      </c>
      <c r="E315" s="5" t="s">
        <v>475</v>
      </c>
      <c r="F315" s="5" t="s">
        <v>169</v>
      </c>
      <c r="G315" s="5" t="s">
        <v>75</v>
      </c>
      <c r="H315" s="5" t="s">
        <v>1537</v>
      </c>
      <c r="I315" s="5">
        <v>202501053</v>
      </c>
      <c r="J315" s="5"/>
      <c r="K315" s="6">
        <v>45895</v>
      </c>
      <c r="L315" s="6">
        <v>45899</v>
      </c>
      <c r="M315" s="5" t="s">
        <v>53</v>
      </c>
      <c r="N315" s="5" t="s">
        <v>54</v>
      </c>
      <c r="O315" s="5" t="s">
        <v>41</v>
      </c>
      <c r="P315" s="30">
        <f t="shared" si="16"/>
        <v>4</v>
      </c>
      <c r="Q315" s="41">
        <v>3642.4475524475524</v>
      </c>
      <c r="R315" s="41">
        <v>4500</v>
      </c>
      <c r="S315" s="41">
        <f t="shared" si="14"/>
        <v>857.55244755244757</v>
      </c>
    </row>
    <row r="316" spans="1:19">
      <c r="A316" s="5">
        <v>315</v>
      </c>
      <c r="B316" s="5">
        <v>2508263074</v>
      </c>
      <c r="C316" s="5" t="s">
        <v>1558</v>
      </c>
      <c r="D316" s="5" t="s">
        <v>1261</v>
      </c>
      <c r="E316" s="5" t="s">
        <v>1262</v>
      </c>
      <c r="F316" s="5" t="s">
        <v>71</v>
      </c>
      <c r="G316" s="5" t="s">
        <v>75</v>
      </c>
      <c r="H316" s="5" t="s">
        <v>1537</v>
      </c>
      <c r="I316" s="5">
        <v>202501054</v>
      </c>
      <c r="J316" s="5"/>
      <c r="K316" s="6">
        <v>45895</v>
      </c>
      <c r="L316" s="6">
        <v>45899</v>
      </c>
      <c r="M316" s="5" t="s">
        <v>53</v>
      </c>
      <c r="N316" s="5" t="s">
        <v>54</v>
      </c>
      <c r="O316" s="5" t="s">
        <v>41</v>
      </c>
      <c r="P316" s="30">
        <f t="shared" si="16"/>
        <v>4</v>
      </c>
      <c r="Q316" s="41">
        <v>3642.4475524475524</v>
      </c>
      <c r="R316" s="41">
        <v>4500</v>
      </c>
      <c r="S316" s="41">
        <f t="shared" si="14"/>
        <v>857.55244755244757</v>
      </c>
    </row>
    <row r="317" spans="1:19">
      <c r="A317" s="5">
        <v>316</v>
      </c>
      <c r="B317" s="9">
        <v>2508273080</v>
      </c>
      <c r="C317" s="9" t="s">
        <v>1559</v>
      </c>
      <c r="D317" s="9" t="s">
        <v>1560</v>
      </c>
      <c r="E317" s="9" t="s">
        <v>1561</v>
      </c>
      <c r="F317" s="9" t="s">
        <v>202</v>
      </c>
      <c r="G317" s="9" t="s">
        <v>75</v>
      </c>
      <c r="H317" s="9" t="s">
        <v>1537</v>
      </c>
      <c r="I317" s="9">
        <v>202501055</v>
      </c>
      <c r="J317" s="9"/>
      <c r="K317" s="10">
        <v>45896</v>
      </c>
      <c r="L317" s="10">
        <v>45899</v>
      </c>
      <c r="M317" s="9" t="s">
        <v>53</v>
      </c>
      <c r="N317" s="9" t="s">
        <v>94</v>
      </c>
      <c r="O317" s="9" t="s">
        <v>1562</v>
      </c>
      <c r="P317" s="32">
        <f t="shared" si="16"/>
        <v>3</v>
      </c>
      <c r="Q317" s="11">
        <v>3642.4475524475524</v>
      </c>
      <c r="R317" s="11">
        <v>4500</v>
      </c>
      <c r="S317" s="11">
        <f t="shared" si="14"/>
        <v>857.55244755244757</v>
      </c>
    </row>
    <row r="318" spans="1:19">
      <c r="A318" s="5">
        <v>317</v>
      </c>
      <c r="B318" s="5">
        <v>2508273083</v>
      </c>
      <c r="C318" s="5" t="s">
        <v>1563</v>
      </c>
      <c r="D318" s="5" t="s">
        <v>293</v>
      </c>
      <c r="E318" s="5" t="s">
        <v>294</v>
      </c>
      <c r="F318" s="5" t="s">
        <v>51</v>
      </c>
      <c r="G318" s="5" t="s">
        <v>52</v>
      </c>
      <c r="H318" s="5" t="s">
        <v>1537</v>
      </c>
      <c r="I318" s="5">
        <v>202501056</v>
      </c>
      <c r="J318" s="5"/>
      <c r="K318" s="6">
        <v>45896</v>
      </c>
      <c r="L318" s="6">
        <v>45899</v>
      </c>
      <c r="M318" s="5" t="s">
        <v>53</v>
      </c>
      <c r="N318" s="5" t="s">
        <v>54</v>
      </c>
      <c r="O318" s="5" t="s">
        <v>41</v>
      </c>
      <c r="P318" s="30">
        <f t="shared" si="16"/>
        <v>3</v>
      </c>
      <c r="Q318" s="41">
        <v>3642.4475524475524</v>
      </c>
      <c r="R318" s="41">
        <v>6000</v>
      </c>
      <c r="S318" s="41">
        <f t="shared" si="14"/>
        <v>2357.5524475524476</v>
      </c>
    </row>
    <row r="319" spans="1:19">
      <c r="A319" s="5">
        <v>318</v>
      </c>
      <c r="B319" s="5">
        <v>2508270143</v>
      </c>
      <c r="C319" s="5" t="s">
        <v>1564</v>
      </c>
      <c r="D319" s="5" t="s">
        <v>40</v>
      </c>
      <c r="E319" s="5" t="s">
        <v>41</v>
      </c>
      <c r="F319" s="5" t="s">
        <v>42</v>
      </c>
      <c r="G319" s="5" t="s">
        <v>43</v>
      </c>
      <c r="H319" s="5" t="s">
        <v>1537</v>
      </c>
      <c r="I319" s="5">
        <v>202501057</v>
      </c>
      <c r="J319" s="5"/>
      <c r="K319" s="6">
        <v>45896</v>
      </c>
      <c r="L319" s="6">
        <v>45899</v>
      </c>
      <c r="M319" s="5" t="s">
        <v>53</v>
      </c>
      <c r="N319" s="5" t="s">
        <v>54</v>
      </c>
      <c r="O319" s="5" t="s">
        <v>41</v>
      </c>
      <c r="P319" s="30">
        <f t="shared" si="16"/>
        <v>3</v>
      </c>
      <c r="Q319" s="41">
        <v>3642.4475524475524</v>
      </c>
      <c r="R319" s="41">
        <v>14500</v>
      </c>
      <c r="S319" s="41">
        <f t="shared" si="14"/>
        <v>10857.552447552447</v>
      </c>
    </row>
    <row r="320" spans="1:19">
      <c r="A320" s="5">
        <v>319</v>
      </c>
      <c r="B320" s="5">
        <v>2508273087</v>
      </c>
      <c r="C320" s="5" t="s">
        <v>1565</v>
      </c>
      <c r="D320" s="5" t="s">
        <v>139</v>
      </c>
      <c r="E320" s="5" t="s">
        <v>140</v>
      </c>
      <c r="F320" s="5" t="s">
        <v>141</v>
      </c>
      <c r="G320" s="5" t="s">
        <v>52</v>
      </c>
      <c r="H320" s="5" t="s">
        <v>1537</v>
      </c>
      <c r="I320" s="5">
        <v>202501058</v>
      </c>
      <c r="J320" s="5"/>
      <c r="K320" s="6">
        <v>45896</v>
      </c>
      <c r="L320" s="6">
        <v>45899</v>
      </c>
      <c r="M320" s="5" t="s">
        <v>53</v>
      </c>
      <c r="N320" s="5" t="s">
        <v>54</v>
      </c>
      <c r="O320" s="5" t="s">
        <v>41</v>
      </c>
      <c r="P320" s="30">
        <f t="shared" si="16"/>
        <v>3</v>
      </c>
      <c r="Q320" s="41">
        <v>3642.4475524475524</v>
      </c>
      <c r="R320" s="41">
        <v>6000</v>
      </c>
      <c r="S320" s="41">
        <f t="shared" si="14"/>
        <v>2357.5524475524476</v>
      </c>
    </row>
    <row r="321" spans="1:19">
      <c r="A321" s="5">
        <v>320</v>
      </c>
      <c r="B321" s="5">
        <v>2508273092</v>
      </c>
      <c r="C321" s="5" t="s">
        <v>1566</v>
      </c>
      <c r="D321" s="5" t="s">
        <v>77</v>
      </c>
      <c r="E321" s="5" t="s">
        <v>78</v>
      </c>
      <c r="F321" s="5" t="s">
        <v>79</v>
      </c>
      <c r="G321" s="5" t="s">
        <v>52</v>
      </c>
      <c r="H321" s="5" t="s">
        <v>1537</v>
      </c>
      <c r="I321" s="5">
        <v>202501059</v>
      </c>
      <c r="J321" s="5"/>
      <c r="K321" s="6">
        <v>45896</v>
      </c>
      <c r="L321" s="6">
        <v>45899</v>
      </c>
      <c r="M321" s="5" t="s">
        <v>53</v>
      </c>
      <c r="N321" s="5" t="s">
        <v>54</v>
      </c>
      <c r="O321" s="5" t="s">
        <v>41</v>
      </c>
      <c r="P321" s="30">
        <f t="shared" si="16"/>
        <v>3</v>
      </c>
      <c r="Q321" s="41">
        <v>3642.4475524475524</v>
      </c>
      <c r="R321" s="41">
        <v>5500</v>
      </c>
      <c r="S321" s="41">
        <f t="shared" si="14"/>
        <v>1857.5524475524476</v>
      </c>
    </row>
    <row r="322" spans="1:19">
      <c r="A322" s="5">
        <v>321</v>
      </c>
      <c r="B322" s="5" t="s">
        <v>1239</v>
      </c>
      <c r="C322" s="5"/>
      <c r="D322" s="5"/>
      <c r="E322" s="5"/>
      <c r="F322" s="5"/>
      <c r="G322" s="5" t="s">
        <v>52</v>
      </c>
      <c r="H322" s="5"/>
      <c r="I322" s="5"/>
      <c r="J322" s="5"/>
      <c r="K322" s="5"/>
      <c r="L322" s="5"/>
      <c r="M322" s="5"/>
      <c r="N322" s="5"/>
      <c r="O322" s="5"/>
      <c r="P322" s="5"/>
      <c r="Q322" s="41">
        <v>3642.4475524475524</v>
      </c>
      <c r="R322" s="41">
        <v>0</v>
      </c>
      <c r="S322" s="41">
        <f t="shared" si="14"/>
        <v>-3642.4475524475524</v>
      </c>
    </row>
    <row r="323" spans="1:19">
      <c r="A323" s="5">
        <v>322</v>
      </c>
      <c r="B323" s="5" t="s">
        <v>1240</v>
      </c>
      <c r="C323" s="5"/>
      <c r="D323" s="5"/>
      <c r="E323" s="5"/>
      <c r="F323" s="5"/>
      <c r="G323" s="5" t="s">
        <v>52</v>
      </c>
      <c r="H323" s="5"/>
      <c r="I323" s="5"/>
      <c r="J323" s="5"/>
      <c r="K323" s="5"/>
      <c r="L323" s="5"/>
      <c r="M323" s="5"/>
      <c r="N323" s="5"/>
      <c r="O323" s="5"/>
      <c r="P323" s="5"/>
      <c r="Q323" s="41">
        <v>3642.4475524475524</v>
      </c>
      <c r="R323" s="41">
        <v>0</v>
      </c>
      <c r="S323" s="41">
        <f t="shared" si="14"/>
        <v>-3642.4475524475524</v>
      </c>
    </row>
    <row r="326" spans="1:19">
      <c r="C326" s="5" t="s">
        <v>19</v>
      </c>
      <c r="D326" s="37">
        <f>AVERAGE(P:P)</f>
        <v>4.6399999999999997</v>
      </c>
    </row>
    <row r="327" spans="1:19">
      <c r="C327" s="5" t="s">
        <v>12</v>
      </c>
      <c r="D327" s="5">
        <f>COUNTIF(N:N,"Repeat")</f>
        <v>17</v>
      </c>
      <c r="E327" s="38">
        <f>D327/300</f>
        <v>5.6666666666666664E-2</v>
      </c>
    </row>
    <row r="328" spans="1:19">
      <c r="C328" s="5" t="s">
        <v>13</v>
      </c>
      <c r="D328" s="5">
        <f>COUNTIF(N:N,"Resampling")</f>
        <v>11</v>
      </c>
      <c r="E328" s="38">
        <f>D328/300</f>
        <v>3.6666666666666667E-2</v>
      </c>
    </row>
    <row r="329" spans="1:19">
      <c r="C329" s="5" t="s">
        <v>15</v>
      </c>
      <c r="D329" s="5">
        <f>COUNTIF(N:N,"Refund")</f>
        <v>2</v>
      </c>
      <c r="E329" s="38">
        <f>D329/300</f>
        <v>6.6666666666666671E-3</v>
      </c>
    </row>
    <row r="330" spans="1:19">
      <c r="C330" s="5" t="s">
        <v>14</v>
      </c>
      <c r="D330" s="5">
        <f>COUNTIF(N:N,"High risk")</f>
        <v>11</v>
      </c>
      <c r="E330" s="38">
        <f>D330/300</f>
        <v>3.6666666666666667E-2</v>
      </c>
    </row>
    <row r="331" spans="1:19">
      <c r="C331" s="5" t="s">
        <v>11</v>
      </c>
      <c r="D331" s="8">
        <f>SUM(Q:Q)</f>
        <v>1099455.6363636397</v>
      </c>
    </row>
    <row r="332" spans="1:19">
      <c r="C332" s="5" t="s">
        <v>10</v>
      </c>
      <c r="D332" s="8">
        <f>AVERAGE(Q:Q)</f>
        <v>3414.458498023726</v>
      </c>
    </row>
    <row r="333" spans="1:19">
      <c r="C333" s="5" t="s">
        <v>16</v>
      </c>
      <c r="D333" s="8">
        <f>SUM(R:R)</f>
        <v>1866200</v>
      </c>
    </row>
    <row r="334" spans="1:19">
      <c r="C334" s="5" t="s">
        <v>17</v>
      </c>
      <c r="D334" s="8">
        <f>D333-D331</f>
        <v>766744.36363636027</v>
      </c>
    </row>
  </sheetData>
  <phoneticPr fontId="3" type="noConversion"/>
  <dataValidations count="1">
    <dataValidation type="list" allowBlank="1" showInputMessage="1" showErrorMessage="1" sqref="G1:G36 G39:G69 G72:G105 G108:G136 G139:G166 G169:G195 G198:G221 G224:G245 G248:G269 G272:G295 G298:G321" xr:uid="{D75C8B67-B1BD-7144-8564-0E31D04EAF77}">
      <formula1>"Basic,Standard,Advanced,Twin"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A425-6C1D-A64A-B54F-5071C06E0CD8}">
  <dimension ref="A1:S458"/>
  <sheetViews>
    <sheetView topLeftCell="C1" workbookViewId="0">
      <selection activeCell="O5" sqref="O5"/>
    </sheetView>
  </sheetViews>
  <sheetFormatPr baseColWidth="10" defaultRowHeight="16"/>
  <cols>
    <col min="1" max="1" width="4" bestFit="1" customWidth="1"/>
    <col min="2" max="2" width="12.5" bestFit="1" customWidth="1"/>
    <col min="3" max="3" width="32" bestFit="1" customWidth="1"/>
    <col min="4" max="4" width="43.1640625" bestFit="1" customWidth="1"/>
    <col min="5" max="5" width="27" bestFit="1" customWidth="1"/>
    <col min="6" max="6" width="14.6640625" bestFit="1" customWidth="1"/>
    <col min="7" max="7" width="12" bestFit="1" customWidth="1"/>
    <col min="8" max="8" width="15.1640625" bestFit="1" customWidth="1"/>
    <col min="9" max="9" width="16" bestFit="1" customWidth="1"/>
    <col min="10" max="12" width="13.33203125" customWidth="1"/>
    <col min="13" max="13" width="12.5" customWidth="1"/>
    <col min="14" max="14" width="13.6640625" bestFit="1" customWidth="1"/>
    <col min="15" max="15" width="18" customWidth="1"/>
    <col min="16" max="16" width="9.83203125" bestFit="1" customWidth="1"/>
    <col min="17" max="17" width="13" bestFit="1" customWidth="1"/>
    <col min="18" max="18" width="14.1640625" bestFit="1" customWidth="1"/>
    <col min="19" max="19" width="12.6640625" bestFit="1" customWidth="1"/>
  </cols>
  <sheetData>
    <row r="1" spans="1:19">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4" t="s">
        <v>36</v>
      </c>
      <c r="R1" s="4" t="s">
        <v>37</v>
      </c>
      <c r="S1" s="3" t="s">
        <v>38</v>
      </c>
    </row>
    <row r="2" spans="1:19">
      <c r="A2" s="5">
        <v>1</v>
      </c>
      <c r="B2" s="22">
        <v>2508143395</v>
      </c>
      <c r="C2" s="22" t="s">
        <v>1406</v>
      </c>
      <c r="D2" s="22" t="s">
        <v>405</v>
      </c>
      <c r="E2" s="22" t="s">
        <v>459</v>
      </c>
      <c r="F2" s="22" t="s">
        <v>202</v>
      </c>
      <c r="G2" s="22" t="s">
        <v>52</v>
      </c>
      <c r="H2" s="22" t="s">
        <v>1568</v>
      </c>
      <c r="I2" s="22" t="s">
        <v>1569</v>
      </c>
      <c r="J2" s="22"/>
      <c r="K2" s="23">
        <v>45897</v>
      </c>
      <c r="L2" s="23">
        <v>45902</v>
      </c>
      <c r="M2" s="22" t="s">
        <v>53</v>
      </c>
      <c r="N2" s="22" t="s">
        <v>54</v>
      </c>
      <c r="O2" s="22" t="s">
        <v>41</v>
      </c>
      <c r="P2" s="34">
        <f t="shared" ref="P2:P28" si="0">L2-K2</f>
        <v>5</v>
      </c>
      <c r="Q2" s="24">
        <v>3308.0564263322885</v>
      </c>
      <c r="R2" s="24">
        <v>0</v>
      </c>
      <c r="S2" s="24">
        <f t="shared" ref="S2:S65" si="1">R2-Q2</f>
        <v>-3308.0564263322885</v>
      </c>
    </row>
    <row r="3" spans="1:19">
      <c r="A3" s="5">
        <v>2</v>
      </c>
      <c r="B3" s="22">
        <v>2508182240</v>
      </c>
      <c r="C3" s="22" t="s">
        <v>1446</v>
      </c>
      <c r="D3" s="22" t="s">
        <v>103</v>
      </c>
      <c r="E3" s="22" t="s">
        <v>1447</v>
      </c>
      <c r="F3" s="22" t="s">
        <v>51</v>
      </c>
      <c r="G3" s="22" t="s">
        <v>52</v>
      </c>
      <c r="H3" s="22" t="s">
        <v>1568</v>
      </c>
      <c r="I3" s="22" t="s">
        <v>1570</v>
      </c>
      <c r="J3" s="22"/>
      <c r="K3" s="23">
        <v>45897</v>
      </c>
      <c r="L3" s="23">
        <v>45902</v>
      </c>
      <c r="M3" s="22" t="s">
        <v>53</v>
      </c>
      <c r="N3" s="22" t="s">
        <v>54</v>
      </c>
      <c r="O3" s="22" t="s">
        <v>41</v>
      </c>
      <c r="P3" s="34">
        <f t="shared" si="0"/>
        <v>5</v>
      </c>
      <c r="Q3" s="24">
        <v>3308.0564263322885</v>
      </c>
      <c r="R3" s="24">
        <v>0</v>
      </c>
      <c r="S3" s="24">
        <f t="shared" si="1"/>
        <v>-3308.0564263322885</v>
      </c>
    </row>
    <row r="4" spans="1:19">
      <c r="A4" s="5">
        <v>3</v>
      </c>
      <c r="B4" s="22">
        <v>2508241183</v>
      </c>
      <c r="C4" s="22" t="s">
        <v>1527</v>
      </c>
      <c r="D4" s="22" t="s">
        <v>393</v>
      </c>
      <c r="E4" s="22" t="s">
        <v>1528</v>
      </c>
      <c r="F4" s="22" t="s">
        <v>202</v>
      </c>
      <c r="G4" s="22" t="s">
        <v>43</v>
      </c>
      <c r="H4" s="22" t="s">
        <v>1568</v>
      </c>
      <c r="I4" s="22" t="s">
        <v>1571</v>
      </c>
      <c r="J4" s="22"/>
      <c r="K4" s="23">
        <v>45893</v>
      </c>
      <c r="L4" s="23">
        <v>45902</v>
      </c>
      <c r="M4" s="22" t="s">
        <v>53</v>
      </c>
      <c r="N4" s="22" t="s">
        <v>54</v>
      </c>
      <c r="O4" s="22" t="s">
        <v>41</v>
      </c>
      <c r="P4" s="34">
        <f t="shared" si="0"/>
        <v>9</v>
      </c>
      <c r="Q4" s="24">
        <v>3308.0564263322885</v>
      </c>
      <c r="R4" s="24">
        <v>0</v>
      </c>
      <c r="S4" s="24">
        <f t="shared" si="1"/>
        <v>-3308.0564263322885</v>
      </c>
    </row>
    <row r="5" spans="1:19">
      <c r="A5" s="5">
        <v>4</v>
      </c>
      <c r="B5" s="13">
        <v>2508273080</v>
      </c>
      <c r="C5" s="13" t="s">
        <v>1559</v>
      </c>
      <c r="D5" s="13" t="s">
        <v>1560</v>
      </c>
      <c r="E5" s="13" t="s">
        <v>1561</v>
      </c>
      <c r="F5" s="13" t="s">
        <v>202</v>
      </c>
      <c r="G5" s="13" t="s">
        <v>75</v>
      </c>
      <c r="H5" s="13" t="s">
        <v>1568</v>
      </c>
      <c r="I5" s="13" t="s">
        <v>1572</v>
      </c>
      <c r="J5" s="13"/>
      <c r="K5" s="14">
        <v>45896</v>
      </c>
      <c r="L5" s="14">
        <v>45902</v>
      </c>
      <c r="M5" s="13" t="s">
        <v>53</v>
      </c>
      <c r="N5" s="13" t="s">
        <v>46</v>
      </c>
      <c r="O5" s="13" t="s">
        <v>1573</v>
      </c>
      <c r="P5" s="35">
        <f t="shared" si="0"/>
        <v>6</v>
      </c>
      <c r="Q5" s="15">
        <v>3308.0564263322885</v>
      </c>
      <c r="R5" s="15">
        <v>0</v>
      </c>
      <c r="S5" s="15">
        <f t="shared" si="1"/>
        <v>-3308.0564263322885</v>
      </c>
    </row>
    <row r="6" spans="1:19">
      <c r="A6" s="5">
        <v>5</v>
      </c>
      <c r="B6" s="5">
        <v>2508273093</v>
      </c>
      <c r="C6" s="5" t="s">
        <v>1574</v>
      </c>
      <c r="D6" s="5" t="s">
        <v>77</v>
      </c>
      <c r="E6" s="5" t="s">
        <v>78</v>
      </c>
      <c r="F6" s="5" t="s">
        <v>79</v>
      </c>
      <c r="G6" s="5" t="s">
        <v>75</v>
      </c>
      <c r="H6" s="5" t="s">
        <v>1568</v>
      </c>
      <c r="I6" s="5">
        <v>202501060</v>
      </c>
      <c r="J6" s="5"/>
      <c r="K6" s="6">
        <v>45896</v>
      </c>
      <c r="L6" s="6">
        <v>45902</v>
      </c>
      <c r="M6" s="5" t="s">
        <v>53</v>
      </c>
      <c r="N6" s="5" t="s">
        <v>54</v>
      </c>
      <c r="O6" s="5" t="s">
        <v>41</v>
      </c>
      <c r="P6" s="30">
        <f t="shared" si="0"/>
        <v>6</v>
      </c>
      <c r="Q6" s="41">
        <v>3308.0564263322885</v>
      </c>
      <c r="R6" s="41">
        <v>4500</v>
      </c>
      <c r="S6" s="41">
        <f t="shared" si="1"/>
        <v>1191.9435736677115</v>
      </c>
    </row>
    <row r="7" spans="1:19">
      <c r="A7" s="5">
        <v>6</v>
      </c>
      <c r="B7" s="5">
        <v>2508273094</v>
      </c>
      <c r="C7" s="5" t="s">
        <v>1575</v>
      </c>
      <c r="D7" s="5" t="s">
        <v>405</v>
      </c>
      <c r="E7" s="5" t="s">
        <v>1576</v>
      </c>
      <c r="F7" s="5" t="s">
        <v>202</v>
      </c>
      <c r="G7" s="5" t="s">
        <v>52</v>
      </c>
      <c r="H7" s="5" t="s">
        <v>1568</v>
      </c>
      <c r="I7" s="5">
        <v>202501061</v>
      </c>
      <c r="J7" s="5"/>
      <c r="K7" s="6">
        <v>45896</v>
      </c>
      <c r="L7" s="6">
        <v>45902</v>
      </c>
      <c r="M7" s="5" t="s">
        <v>53</v>
      </c>
      <c r="N7" s="5" t="s">
        <v>54</v>
      </c>
      <c r="O7" s="5" t="s">
        <v>41</v>
      </c>
      <c r="P7" s="30">
        <f t="shared" si="0"/>
        <v>6</v>
      </c>
      <c r="Q7" s="41">
        <v>3308.0564263322885</v>
      </c>
      <c r="R7" s="41">
        <v>6450</v>
      </c>
      <c r="S7" s="41">
        <f t="shared" si="1"/>
        <v>3141.9435736677115</v>
      </c>
    </row>
    <row r="8" spans="1:19">
      <c r="A8" s="5">
        <v>7</v>
      </c>
      <c r="B8" s="5">
        <v>2508271578</v>
      </c>
      <c r="C8" s="5" t="s">
        <v>1577</v>
      </c>
      <c r="D8" s="5" t="s">
        <v>40</v>
      </c>
      <c r="E8" s="5" t="s">
        <v>41</v>
      </c>
      <c r="F8" s="5" t="s">
        <v>42</v>
      </c>
      <c r="G8" s="5" t="s">
        <v>43</v>
      </c>
      <c r="H8" s="5" t="s">
        <v>1568</v>
      </c>
      <c r="I8" s="5">
        <v>202501062</v>
      </c>
      <c r="J8" s="5"/>
      <c r="K8" s="6">
        <v>45896</v>
      </c>
      <c r="L8" s="6">
        <v>45902</v>
      </c>
      <c r="M8" s="5" t="s">
        <v>53</v>
      </c>
      <c r="N8" s="5" t="s">
        <v>54</v>
      </c>
      <c r="O8" s="5" t="s">
        <v>41</v>
      </c>
      <c r="P8" s="30">
        <f t="shared" si="0"/>
        <v>6</v>
      </c>
      <c r="Q8" s="41">
        <v>3308.0564263322885</v>
      </c>
      <c r="R8" s="41">
        <v>14500</v>
      </c>
      <c r="S8" s="41">
        <f t="shared" si="1"/>
        <v>11191.943573667711</v>
      </c>
    </row>
    <row r="9" spans="1:19">
      <c r="A9" s="5">
        <v>8</v>
      </c>
      <c r="B9" s="5">
        <v>2508271578</v>
      </c>
      <c r="C9" s="5" t="s">
        <v>1577</v>
      </c>
      <c r="D9" s="5" t="s">
        <v>40</v>
      </c>
      <c r="E9" s="5" t="s">
        <v>41</v>
      </c>
      <c r="F9" s="5" t="s">
        <v>42</v>
      </c>
      <c r="G9" s="5" t="s">
        <v>43</v>
      </c>
      <c r="H9" s="5" t="s">
        <v>1568</v>
      </c>
      <c r="I9" s="5">
        <v>202501063</v>
      </c>
      <c r="J9" s="5"/>
      <c r="K9" s="6">
        <v>45896</v>
      </c>
      <c r="L9" s="6">
        <v>45902</v>
      </c>
      <c r="M9" s="5" t="s">
        <v>53</v>
      </c>
      <c r="N9" s="5" t="s">
        <v>54</v>
      </c>
      <c r="O9" s="5" t="s">
        <v>41</v>
      </c>
      <c r="P9" s="30">
        <f t="shared" si="0"/>
        <v>6</v>
      </c>
      <c r="Q9" s="41">
        <v>3308.0564263322885</v>
      </c>
      <c r="R9" s="41">
        <v>0</v>
      </c>
      <c r="S9" s="41">
        <f t="shared" si="1"/>
        <v>-3308.0564263322885</v>
      </c>
    </row>
    <row r="10" spans="1:19">
      <c r="A10" s="5">
        <v>9</v>
      </c>
      <c r="B10" s="5">
        <v>2508273095</v>
      </c>
      <c r="C10" s="5" t="s">
        <v>1578</v>
      </c>
      <c r="D10" s="5" t="s">
        <v>599</v>
      </c>
      <c r="E10" s="5" t="s">
        <v>969</v>
      </c>
      <c r="F10" s="5" t="s">
        <v>169</v>
      </c>
      <c r="G10" s="5" t="s">
        <v>52</v>
      </c>
      <c r="H10" s="5" t="s">
        <v>1568</v>
      </c>
      <c r="I10" s="5">
        <v>202501064</v>
      </c>
      <c r="J10" s="5"/>
      <c r="K10" s="6">
        <v>45896</v>
      </c>
      <c r="L10" s="6">
        <v>45902</v>
      </c>
      <c r="M10" s="5" t="s">
        <v>53</v>
      </c>
      <c r="N10" s="5" t="s">
        <v>54</v>
      </c>
      <c r="O10" s="5" t="s">
        <v>41</v>
      </c>
      <c r="P10" s="30">
        <f t="shared" si="0"/>
        <v>6</v>
      </c>
      <c r="Q10" s="41">
        <v>3308.0564263322885</v>
      </c>
      <c r="R10" s="41">
        <v>7500</v>
      </c>
      <c r="S10" s="41">
        <f t="shared" si="1"/>
        <v>4191.9435736677115</v>
      </c>
    </row>
    <row r="11" spans="1:19">
      <c r="A11" s="5">
        <v>10</v>
      </c>
      <c r="B11" s="5">
        <v>2508273096</v>
      </c>
      <c r="C11" s="5" t="s">
        <v>1579</v>
      </c>
      <c r="D11" s="5" t="s">
        <v>528</v>
      </c>
      <c r="E11" s="5" t="s">
        <v>639</v>
      </c>
      <c r="F11" s="5" t="s">
        <v>202</v>
      </c>
      <c r="G11" s="5" t="s">
        <v>52</v>
      </c>
      <c r="H11" s="5" t="s">
        <v>1568</v>
      </c>
      <c r="I11" s="5">
        <v>202501065</v>
      </c>
      <c r="J11" s="5"/>
      <c r="K11" s="6">
        <v>45896</v>
      </c>
      <c r="L11" s="6">
        <v>45902</v>
      </c>
      <c r="M11" s="5" t="s">
        <v>53</v>
      </c>
      <c r="N11" s="5" t="s">
        <v>54</v>
      </c>
      <c r="O11" s="5" t="s">
        <v>41</v>
      </c>
      <c r="P11" s="30">
        <f t="shared" si="0"/>
        <v>6</v>
      </c>
      <c r="Q11" s="41">
        <v>3308.0564263322885</v>
      </c>
      <c r="R11" s="41">
        <v>7500</v>
      </c>
      <c r="S11" s="41">
        <f t="shared" si="1"/>
        <v>4191.9435736677115</v>
      </c>
    </row>
    <row r="12" spans="1:19">
      <c r="A12" s="5">
        <v>11</v>
      </c>
      <c r="B12" s="5">
        <v>2508271703</v>
      </c>
      <c r="C12" s="5" t="s">
        <v>1580</v>
      </c>
      <c r="D12" s="5" t="s">
        <v>40</v>
      </c>
      <c r="E12" s="5" t="s">
        <v>41</v>
      </c>
      <c r="F12" s="5" t="s">
        <v>42</v>
      </c>
      <c r="G12" s="5" t="s">
        <v>52</v>
      </c>
      <c r="H12" s="5" t="s">
        <v>1568</v>
      </c>
      <c r="I12" s="5">
        <v>202501066</v>
      </c>
      <c r="J12" s="5"/>
      <c r="K12" s="6">
        <v>45896</v>
      </c>
      <c r="L12" s="6">
        <v>45902</v>
      </c>
      <c r="M12" s="5" t="s">
        <v>53</v>
      </c>
      <c r="N12" s="5" t="s">
        <v>54</v>
      </c>
      <c r="O12" s="5" t="s">
        <v>41</v>
      </c>
      <c r="P12" s="30">
        <f t="shared" si="0"/>
        <v>6</v>
      </c>
      <c r="Q12" s="41">
        <v>3308.0564263322885</v>
      </c>
      <c r="R12" s="41">
        <v>9500</v>
      </c>
      <c r="S12" s="41">
        <f t="shared" si="1"/>
        <v>6191.9435736677115</v>
      </c>
    </row>
    <row r="13" spans="1:19">
      <c r="A13" s="5">
        <v>12</v>
      </c>
      <c r="B13" s="5">
        <v>2508273097</v>
      </c>
      <c r="C13" s="5" t="s">
        <v>1581</v>
      </c>
      <c r="D13" s="5" t="s">
        <v>581</v>
      </c>
      <c r="E13" s="5" t="s">
        <v>1582</v>
      </c>
      <c r="F13" s="5" t="s">
        <v>202</v>
      </c>
      <c r="G13" s="5" t="s">
        <v>75</v>
      </c>
      <c r="H13" s="5" t="s">
        <v>1568</v>
      </c>
      <c r="I13" s="5">
        <v>202501067</v>
      </c>
      <c r="J13" s="5"/>
      <c r="K13" s="6">
        <v>45896</v>
      </c>
      <c r="L13" s="6">
        <v>45902</v>
      </c>
      <c r="M13" s="5" t="s">
        <v>53</v>
      </c>
      <c r="N13" s="5" t="s">
        <v>54</v>
      </c>
      <c r="O13" s="5" t="s">
        <v>41</v>
      </c>
      <c r="P13" s="30">
        <f t="shared" si="0"/>
        <v>6</v>
      </c>
      <c r="Q13" s="41">
        <v>3308.0564263322885</v>
      </c>
      <c r="R13" s="41">
        <v>5900</v>
      </c>
      <c r="S13" s="41">
        <f t="shared" si="1"/>
        <v>2591.9435736677115</v>
      </c>
    </row>
    <row r="14" spans="1:19">
      <c r="A14" s="5">
        <v>13</v>
      </c>
      <c r="B14" s="9">
        <v>2508280008</v>
      </c>
      <c r="C14" s="9" t="s">
        <v>1583</v>
      </c>
      <c r="D14" s="9" t="s">
        <v>40</v>
      </c>
      <c r="E14" s="9" t="s">
        <v>41</v>
      </c>
      <c r="F14" s="9" t="s">
        <v>42</v>
      </c>
      <c r="G14" s="9" t="s">
        <v>190</v>
      </c>
      <c r="H14" s="9" t="s">
        <v>1568</v>
      </c>
      <c r="I14" s="9">
        <v>202501068</v>
      </c>
      <c r="J14" s="9"/>
      <c r="K14" s="10">
        <v>45897</v>
      </c>
      <c r="L14" s="10">
        <v>45902</v>
      </c>
      <c r="M14" s="9" t="s">
        <v>45</v>
      </c>
      <c r="N14" s="9" t="s">
        <v>94</v>
      </c>
      <c r="O14" s="9" t="s">
        <v>888</v>
      </c>
      <c r="P14" s="32">
        <f t="shared" si="0"/>
        <v>5</v>
      </c>
      <c r="Q14" s="11">
        <v>3308.0564263322885</v>
      </c>
      <c r="R14" s="11">
        <v>13500</v>
      </c>
      <c r="S14" s="11">
        <f t="shared" si="1"/>
        <v>10191.943573667711</v>
      </c>
    </row>
    <row r="15" spans="1:19">
      <c r="A15" s="5">
        <v>14</v>
      </c>
      <c r="B15" s="9">
        <v>2508280008</v>
      </c>
      <c r="C15" s="9" t="s">
        <v>1583</v>
      </c>
      <c r="D15" s="9" t="s">
        <v>40</v>
      </c>
      <c r="E15" s="9" t="s">
        <v>41</v>
      </c>
      <c r="F15" s="9" t="s">
        <v>42</v>
      </c>
      <c r="G15" s="9" t="s">
        <v>190</v>
      </c>
      <c r="H15" s="9" t="s">
        <v>1568</v>
      </c>
      <c r="I15" s="9">
        <v>202501069</v>
      </c>
      <c r="J15" s="9"/>
      <c r="K15" s="10">
        <v>45897</v>
      </c>
      <c r="L15" s="10">
        <v>45902</v>
      </c>
      <c r="M15" s="9" t="s">
        <v>53</v>
      </c>
      <c r="N15" s="9" t="s">
        <v>94</v>
      </c>
      <c r="O15" s="9" t="s">
        <v>1584</v>
      </c>
      <c r="P15" s="32">
        <f t="shared" si="0"/>
        <v>5</v>
      </c>
      <c r="Q15" s="11">
        <v>3308.0564263322885</v>
      </c>
      <c r="R15" s="11">
        <v>0</v>
      </c>
      <c r="S15" s="11">
        <f t="shared" si="1"/>
        <v>-3308.0564263322885</v>
      </c>
    </row>
    <row r="16" spans="1:19">
      <c r="A16" s="5">
        <v>15</v>
      </c>
      <c r="B16" s="5">
        <v>2508282752</v>
      </c>
      <c r="C16" s="5" t="s">
        <v>1585</v>
      </c>
      <c r="D16" s="5" t="s">
        <v>309</v>
      </c>
      <c r="E16" s="5" t="s">
        <v>310</v>
      </c>
      <c r="F16" s="5" t="s">
        <v>51</v>
      </c>
      <c r="G16" s="5" t="s">
        <v>52</v>
      </c>
      <c r="H16" s="5" t="s">
        <v>1568</v>
      </c>
      <c r="I16" s="5">
        <v>202501071</v>
      </c>
      <c r="J16" s="5"/>
      <c r="K16" s="6">
        <v>45897</v>
      </c>
      <c r="L16" s="6">
        <v>45902</v>
      </c>
      <c r="M16" s="5" t="s">
        <v>53</v>
      </c>
      <c r="N16" s="5" t="s">
        <v>54</v>
      </c>
      <c r="O16" s="5" t="s">
        <v>41</v>
      </c>
      <c r="P16" s="30">
        <f t="shared" si="0"/>
        <v>5</v>
      </c>
      <c r="Q16" s="41">
        <v>3308.0564263322885</v>
      </c>
      <c r="R16" s="41">
        <v>5500</v>
      </c>
      <c r="S16" s="41">
        <f t="shared" si="1"/>
        <v>2191.9435736677115</v>
      </c>
    </row>
    <row r="17" spans="1:19">
      <c r="A17" s="5">
        <v>16</v>
      </c>
      <c r="B17" s="5">
        <v>2508282755</v>
      </c>
      <c r="C17" s="5" t="s">
        <v>1586</v>
      </c>
      <c r="D17" s="5" t="s">
        <v>77</v>
      </c>
      <c r="E17" s="5" t="s">
        <v>78</v>
      </c>
      <c r="F17" s="5" t="s">
        <v>79</v>
      </c>
      <c r="G17" s="5" t="s">
        <v>52</v>
      </c>
      <c r="H17" s="5" t="s">
        <v>1568</v>
      </c>
      <c r="I17" s="5">
        <v>202501072</v>
      </c>
      <c r="J17" s="5"/>
      <c r="K17" s="6">
        <v>45897</v>
      </c>
      <c r="L17" s="6">
        <v>45902</v>
      </c>
      <c r="M17" s="5" t="s">
        <v>53</v>
      </c>
      <c r="N17" s="5" t="s">
        <v>54</v>
      </c>
      <c r="O17" s="5" t="s">
        <v>41</v>
      </c>
      <c r="P17" s="30">
        <f t="shared" si="0"/>
        <v>5</v>
      </c>
      <c r="Q17" s="41">
        <v>3308.0564263322885</v>
      </c>
      <c r="R17" s="41">
        <v>5500</v>
      </c>
      <c r="S17" s="41">
        <f t="shared" si="1"/>
        <v>2191.9435736677115</v>
      </c>
    </row>
    <row r="18" spans="1:19">
      <c r="A18" s="5">
        <v>17</v>
      </c>
      <c r="B18" s="5">
        <v>2508282757</v>
      </c>
      <c r="C18" s="5" t="s">
        <v>1587</v>
      </c>
      <c r="D18" s="5" t="s">
        <v>581</v>
      </c>
      <c r="E18" s="5" t="s">
        <v>1313</v>
      </c>
      <c r="F18" s="5" t="s">
        <v>202</v>
      </c>
      <c r="G18" s="5" t="s">
        <v>75</v>
      </c>
      <c r="H18" s="5" t="s">
        <v>1568</v>
      </c>
      <c r="I18" s="5">
        <v>202501073</v>
      </c>
      <c r="J18" s="5"/>
      <c r="K18" s="6">
        <v>45897</v>
      </c>
      <c r="L18" s="6">
        <v>45902</v>
      </c>
      <c r="M18" s="5" t="s">
        <v>53</v>
      </c>
      <c r="N18" s="5" t="s">
        <v>54</v>
      </c>
      <c r="O18" s="5" t="s">
        <v>41</v>
      </c>
      <c r="P18" s="30">
        <f t="shared" si="0"/>
        <v>5</v>
      </c>
      <c r="Q18" s="41">
        <v>3308.0564263322885</v>
      </c>
      <c r="R18" s="41">
        <v>5900</v>
      </c>
      <c r="S18" s="41">
        <f t="shared" si="1"/>
        <v>2591.9435736677115</v>
      </c>
    </row>
    <row r="19" spans="1:19">
      <c r="A19" s="5">
        <v>18</v>
      </c>
      <c r="B19" s="5">
        <v>2508282763</v>
      </c>
      <c r="C19" s="5" t="s">
        <v>1588</v>
      </c>
      <c r="D19" s="5" t="s">
        <v>321</v>
      </c>
      <c r="E19" s="5" t="s">
        <v>420</v>
      </c>
      <c r="F19" s="5" t="s">
        <v>202</v>
      </c>
      <c r="G19" s="5" t="s">
        <v>52</v>
      </c>
      <c r="H19" s="5" t="s">
        <v>1568</v>
      </c>
      <c r="I19" s="5">
        <v>202501074</v>
      </c>
      <c r="J19" s="5"/>
      <c r="K19" s="6">
        <v>45897</v>
      </c>
      <c r="L19" s="6">
        <v>45902</v>
      </c>
      <c r="M19" s="5" t="s">
        <v>53</v>
      </c>
      <c r="N19" s="5" t="s">
        <v>54</v>
      </c>
      <c r="O19" s="5" t="s">
        <v>41</v>
      </c>
      <c r="P19" s="30">
        <f t="shared" si="0"/>
        <v>5</v>
      </c>
      <c r="Q19" s="41">
        <v>3308.0564263322885</v>
      </c>
      <c r="R19" s="41">
        <v>7500</v>
      </c>
      <c r="S19" s="41">
        <f t="shared" si="1"/>
        <v>4191.9435736677115</v>
      </c>
    </row>
    <row r="20" spans="1:19">
      <c r="A20" s="5">
        <v>19</v>
      </c>
      <c r="B20" s="5">
        <v>2508282765</v>
      </c>
      <c r="C20" s="5" t="s">
        <v>1589</v>
      </c>
      <c r="D20" s="5" t="s">
        <v>748</v>
      </c>
      <c r="E20" s="5" t="s">
        <v>1590</v>
      </c>
      <c r="F20" s="5" t="s">
        <v>51</v>
      </c>
      <c r="G20" s="5" t="s">
        <v>43</v>
      </c>
      <c r="H20" s="5" t="s">
        <v>1568</v>
      </c>
      <c r="I20" s="5">
        <v>202501075</v>
      </c>
      <c r="J20" s="5"/>
      <c r="K20" s="6">
        <v>45897</v>
      </c>
      <c r="L20" s="6">
        <v>45902</v>
      </c>
      <c r="M20" s="5" t="s">
        <v>53</v>
      </c>
      <c r="N20" s="5" t="s">
        <v>54</v>
      </c>
      <c r="O20" s="5" t="s">
        <v>41</v>
      </c>
      <c r="P20" s="30">
        <f t="shared" si="0"/>
        <v>5</v>
      </c>
      <c r="Q20" s="41">
        <v>3308.0564263322885</v>
      </c>
      <c r="R20" s="41">
        <v>10000</v>
      </c>
      <c r="S20" s="41">
        <f t="shared" si="1"/>
        <v>6691.9435736677115</v>
      </c>
    </row>
    <row r="21" spans="1:19">
      <c r="A21" s="5">
        <v>20</v>
      </c>
      <c r="B21" s="5">
        <v>2508282767</v>
      </c>
      <c r="C21" s="5" t="s">
        <v>1591</v>
      </c>
      <c r="D21" s="5" t="s">
        <v>564</v>
      </c>
      <c r="E21" s="5" t="s">
        <v>1592</v>
      </c>
      <c r="F21" s="5" t="s">
        <v>71</v>
      </c>
      <c r="G21" s="5" t="s">
        <v>75</v>
      </c>
      <c r="H21" s="5" t="s">
        <v>1568</v>
      </c>
      <c r="I21" s="5">
        <v>202501076</v>
      </c>
      <c r="J21" s="5"/>
      <c r="K21" s="6">
        <v>45897</v>
      </c>
      <c r="L21" s="6">
        <v>45902</v>
      </c>
      <c r="M21" s="5" t="s">
        <v>53</v>
      </c>
      <c r="N21" s="5" t="s">
        <v>54</v>
      </c>
      <c r="O21" s="5" t="s">
        <v>41</v>
      </c>
      <c r="P21" s="30">
        <f t="shared" si="0"/>
        <v>5</v>
      </c>
      <c r="Q21" s="41">
        <v>3308.0564263322885</v>
      </c>
      <c r="R21" s="41">
        <v>6500</v>
      </c>
      <c r="S21" s="41">
        <f t="shared" si="1"/>
        <v>3191.9435736677115</v>
      </c>
    </row>
    <row r="22" spans="1:19">
      <c r="A22" s="5">
        <v>21</v>
      </c>
      <c r="B22" s="5">
        <v>2508282770</v>
      </c>
      <c r="C22" s="5" t="s">
        <v>1593</v>
      </c>
      <c r="D22" s="5" t="s">
        <v>306</v>
      </c>
      <c r="E22" s="5" t="s">
        <v>306</v>
      </c>
      <c r="F22" s="5" t="s">
        <v>169</v>
      </c>
      <c r="G22" s="5" t="s">
        <v>52</v>
      </c>
      <c r="H22" s="5" t="s">
        <v>1568</v>
      </c>
      <c r="I22" s="5">
        <v>202501078</v>
      </c>
      <c r="J22" s="5"/>
      <c r="K22" s="6">
        <v>45897</v>
      </c>
      <c r="L22" s="6">
        <v>45902</v>
      </c>
      <c r="M22" s="5" t="s">
        <v>53</v>
      </c>
      <c r="N22" s="5" t="s">
        <v>54</v>
      </c>
      <c r="O22" s="5" t="s">
        <v>41</v>
      </c>
      <c r="P22" s="30">
        <f t="shared" si="0"/>
        <v>5</v>
      </c>
      <c r="Q22" s="41">
        <v>3308.0564263322885</v>
      </c>
      <c r="R22" s="41">
        <v>5500</v>
      </c>
      <c r="S22" s="41">
        <f t="shared" si="1"/>
        <v>2191.9435736677115</v>
      </c>
    </row>
    <row r="23" spans="1:19">
      <c r="A23" s="5">
        <v>22</v>
      </c>
      <c r="B23" s="5">
        <v>2508292860</v>
      </c>
      <c r="C23" s="5" t="s">
        <v>1594</v>
      </c>
      <c r="D23" s="5" t="s">
        <v>810</v>
      </c>
      <c r="E23" s="5" t="s">
        <v>1595</v>
      </c>
      <c r="F23" s="5" t="s">
        <v>457</v>
      </c>
      <c r="G23" s="5" t="s">
        <v>52</v>
      </c>
      <c r="H23" s="5" t="s">
        <v>1568</v>
      </c>
      <c r="I23" s="5">
        <v>202501079</v>
      </c>
      <c r="J23" s="5"/>
      <c r="K23" s="6">
        <v>45898</v>
      </c>
      <c r="L23" s="6">
        <v>45902</v>
      </c>
      <c r="M23" s="5" t="s">
        <v>53</v>
      </c>
      <c r="N23" s="5" t="s">
        <v>54</v>
      </c>
      <c r="O23" s="5" t="s">
        <v>41</v>
      </c>
      <c r="P23" s="30">
        <f t="shared" si="0"/>
        <v>4</v>
      </c>
      <c r="Q23" s="41">
        <v>3308.0564263322885</v>
      </c>
      <c r="R23" s="41">
        <v>5200</v>
      </c>
      <c r="S23" s="41">
        <f t="shared" si="1"/>
        <v>1891.9435736677115</v>
      </c>
    </row>
    <row r="24" spans="1:19">
      <c r="A24" s="5">
        <v>23</v>
      </c>
      <c r="B24" s="5">
        <v>2508292864</v>
      </c>
      <c r="C24" s="5" t="s">
        <v>1596</v>
      </c>
      <c r="D24" s="5" t="s">
        <v>309</v>
      </c>
      <c r="E24" s="5" t="s">
        <v>1597</v>
      </c>
      <c r="F24" s="5" t="s">
        <v>51</v>
      </c>
      <c r="G24" s="5" t="s">
        <v>52</v>
      </c>
      <c r="H24" s="5" t="s">
        <v>1568</v>
      </c>
      <c r="I24" s="5">
        <v>202501080</v>
      </c>
      <c r="J24" s="5"/>
      <c r="K24" s="6">
        <v>45898</v>
      </c>
      <c r="L24" s="6">
        <v>45902</v>
      </c>
      <c r="M24" s="5" t="s">
        <v>53</v>
      </c>
      <c r="N24" s="5" t="s">
        <v>54</v>
      </c>
      <c r="O24" s="5" t="s">
        <v>41</v>
      </c>
      <c r="P24" s="30">
        <f t="shared" si="0"/>
        <v>4</v>
      </c>
      <c r="Q24" s="41">
        <v>3308.0564263322885</v>
      </c>
      <c r="R24" s="41">
        <v>5500</v>
      </c>
      <c r="S24" s="41">
        <f t="shared" si="1"/>
        <v>2191.9435736677115</v>
      </c>
    </row>
    <row r="25" spans="1:19">
      <c r="A25" s="5">
        <v>24</v>
      </c>
      <c r="B25" s="5">
        <v>2508292869</v>
      </c>
      <c r="C25" s="5" t="s">
        <v>1598</v>
      </c>
      <c r="D25" s="5" t="s">
        <v>581</v>
      </c>
      <c r="E25" s="5" t="s">
        <v>582</v>
      </c>
      <c r="F25" s="5" t="s">
        <v>202</v>
      </c>
      <c r="G25" s="5" t="s">
        <v>75</v>
      </c>
      <c r="H25" s="5" t="s">
        <v>1568</v>
      </c>
      <c r="I25" s="5">
        <v>202501081</v>
      </c>
      <c r="J25" s="5"/>
      <c r="K25" s="6">
        <v>45898</v>
      </c>
      <c r="L25" s="6">
        <v>45902</v>
      </c>
      <c r="M25" s="5" t="s">
        <v>53</v>
      </c>
      <c r="N25" s="5" t="s">
        <v>54</v>
      </c>
      <c r="O25" s="5" t="s">
        <v>41</v>
      </c>
      <c r="P25" s="30">
        <f t="shared" si="0"/>
        <v>4</v>
      </c>
      <c r="Q25" s="41">
        <v>3308.0564263322885</v>
      </c>
      <c r="R25" s="41">
        <v>5900</v>
      </c>
      <c r="S25" s="41">
        <f t="shared" si="1"/>
        <v>2591.9435736677115</v>
      </c>
    </row>
    <row r="26" spans="1:19">
      <c r="A26" s="5">
        <v>25</v>
      </c>
      <c r="B26" s="5">
        <v>2508291428</v>
      </c>
      <c r="C26" s="5" t="s">
        <v>1599</v>
      </c>
      <c r="D26" s="5" t="s">
        <v>40</v>
      </c>
      <c r="E26" s="5" t="s">
        <v>41</v>
      </c>
      <c r="F26" s="5" t="s">
        <v>42</v>
      </c>
      <c r="G26" s="5" t="s">
        <v>75</v>
      </c>
      <c r="H26" s="5" t="s">
        <v>1568</v>
      </c>
      <c r="I26" s="5">
        <v>202501082</v>
      </c>
      <c r="J26" s="5"/>
      <c r="K26" s="6">
        <v>45898</v>
      </c>
      <c r="L26" s="6">
        <v>45902</v>
      </c>
      <c r="M26" s="5" t="s">
        <v>53</v>
      </c>
      <c r="N26" s="5" t="s">
        <v>54</v>
      </c>
      <c r="O26" s="5" t="s">
        <v>41</v>
      </c>
      <c r="P26" s="30">
        <f t="shared" si="0"/>
        <v>4</v>
      </c>
      <c r="Q26" s="41">
        <v>3308.0564263322885</v>
      </c>
      <c r="R26" s="41">
        <v>6500</v>
      </c>
      <c r="S26" s="41">
        <f t="shared" si="1"/>
        <v>3191.9435736677115</v>
      </c>
    </row>
    <row r="27" spans="1:19">
      <c r="A27" s="5">
        <v>26</v>
      </c>
      <c r="B27" s="5">
        <v>2508291428</v>
      </c>
      <c r="C27" s="5" t="s">
        <v>1599</v>
      </c>
      <c r="D27" s="5" t="s">
        <v>40</v>
      </c>
      <c r="E27" s="5" t="s">
        <v>41</v>
      </c>
      <c r="F27" s="5" t="s">
        <v>42</v>
      </c>
      <c r="G27" s="5" t="s">
        <v>75</v>
      </c>
      <c r="H27" s="5" t="s">
        <v>1568</v>
      </c>
      <c r="I27" s="5">
        <v>202501083</v>
      </c>
      <c r="J27" s="5"/>
      <c r="K27" s="6">
        <v>45898</v>
      </c>
      <c r="L27" s="6">
        <v>45902</v>
      </c>
      <c r="M27" s="5" t="s">
        <v>53</v>
      </c>
      <c r="N27" s="5" t="s">
        <v>54</v>
      </c>
      <c r="O27" s="5" t="s">
        <v>41</v>
      </c>
      <c r="P27" s="30">
        <f t="shared" si="0"/>
        <v>4</v>
      </c>
      <c r="Q27" s="41">
        <v>3308.0564263322885</v>
      </c>
      <c r="R27" s="41">
        <v>0</v>
      </c>
      <c r="S27" s="41">
        <f t="shared" si="1"/>
        <v>-3308.0564263322885</v>
      </c>
    </row>
    <row r="28" spans="1:19">
      <c r="A28" s="5">
        <v>27</v>
      </c>
      <c r="B28" s="5">
        <v>2808252221</v>
      </c>
      <c r="C28" s="5" t="s">
        <v>1600</v>
      </c>
      <c r="D28" s="5" t="s">
        <v>153</v>
      </c>
      <c r="E28" s="5" t="s">
        <v>154</v>
      </c>
      <c r="F28" s="5" t="s">
        <v>141</v>
      </c>
      <c r="G28" s="5" t="s">
        <v>52</v>
      </c>
      <c r="H28" s="5" t="s">
        <v>1568</v>
      </c>
      <c r="I28" s="5">
        <v>202501084</v>
      </c>
      <c r="J28" s="5"/>
      <c r="K28" s="6">
        <v>45897</v>
      </c>
      <c r="L28" s="6">
        <v>45902</v>
      </c>
      <c r="M28" s="5" t="s">
        <v>53</v>
      </c>
      <c r="N28" s="5" t="s">
        <v>54</v>
      </c>
      <c r="O28" s="5" t="s">
        <v>41</v>
      </c>
      <c r="P28" s="30">
        <f t="shared" si="0"/>
        <v>5</v>
      </c>
      <c r="Q28" s="41">
        <v>3308.0564263322885</v>
      </c>
      <c r="R28" s="41">
        <v>5500</v>
      </c>
      <c r="S28" s="41">
        <f t="shared" si="1"/>
        <v>2191.9435736677115</v>
      </c>
    </row>
    <row r="29" spans="1:19">
      <c r="A29" s="5">
        <v>28</v>
      </c>
      <c r="B29" s="5" t="s">
        <v>1239</v>
      </c>
      <c r="C29" s="5"/>
      <c r="D29" s="5"/>
      <c r="E29" s="5"/>
      <c r="F29" s="5"/>
      <c r="G29" s="5" t="s">
        <v>52</v>
      </c>
      <c r="H29" s="5"/>
      <c r="I29" s="5"/>
      <c r="J29" s="5"/>
      <c r="K29" s="5"/>
      <c r="L29" s="5"/>
      <c r="M29" s="5"/>
      <c r="N29" s="5"/>
      <c r="O29" s="5"/>
      <c r="P29" s="5"/>
      <c r="Q29" s="41">
        <v>3308.0564263322885</v>
      </c>
      <c r="R29" s="41">
        <v>0</v>
      </c>
      <c r="S29" s="41">
        <f t="shared" si="1"/>
        <v>-3308.0564263322885</v>
      </c>
    </row>
    <row r="30" spans="1:19">
      <c r="A30" s="5">
        <v>29</v>
      </c>
      <c r="B30" s="5" t="s">
        <v>1240</v>
      </c>
      <c r="C30" s="5"/>
      <c r="D30" s="5"/>
      <c r="E30" s="5"/>
      <c r="F30" s="5"/>
      <c r="G30" s="5" t="s">
        <v>52</v>
      </c>
      <c r="H30" s="5"/>
      <c r="I30" s="5"/>
      <c r="J30" s="5"/>
      <c r="K30" s="5"/>
      <c r="L30" s="5"/>
      <c r="M30" s="5"/>
      <c r="N30" s="5"/>
      <c r="O30" s="5"/>
      <c r="P30" s="5"/>
      <c r="Q30" s="41">
        <v>3308.0564263322885</v>
      </c>
      <c r="R30" s="41">
        <v>0</v>
      </c>
      <c r="S30" s="41">
        <f t="shared" si="1"/>
        <v>-3308.0564263322885</v>
      </c>
    </row>
    <row r="31" spans="1:19">
      <c r="A31" s="5">
        <v>30</v>
      </c>
      <c r="B31" s="9">
        <v>2508292877</v>
      </c>
      <c r="C31" s="9" t="s">
        <v>1601</v>
      </c>
      <c r="D31" s="9" t="s">
        <v>564</v>
      </c>
      <c r="E31" s="9" t="s">
        <v>1443</v>
      </c>
      <c r="F31" s="9" t="s">
        <v>71</v>
      </c>
      <c r="G31" s="9" t="s">
        <v>52</v>
      </c>
      <c r="H31" s="9" t="s">
        <v>1602</v>
      </c>
      <c r="I31" s="9">
        <v>202501085</v>
      </c>
      <c r="J31" s="9"/>
      <c r="K31" s="10">
        <v>45898</v>
      </c>
      <c r="L31" s="10">
        <v>45904</v>
      </c>
      <c r="M31" s="9" t="s">
        <v>45</v>
      </c>
      <c r="N31" s="9" t="s">
        <v>94</v>
      </c>
      <c r="O31" s="9" t="s">
        <v>1603</v>
      </c>
      <c r="P31" s="32">
        <f t="shared" ref="P31:P54" si="2">L31-K31</f>
        <v>6</v>
      </c>
      <c r="Q31" s="11">
        <v>3642.4475524475524</v>
      </c>
      <c r="R31" s="11">
        <v>8500</v>
      </c>
      <c r="S31" s="11">
        <f t="shared" si="1"/>
        <v>4857.5524475524471</v>
      </c>
    </row>
    <row r="32" spans="1:19">
      <c r="A32" s="5">
        <v>31</v>
      </c>
      <c r="B32" s="5">
        <v>2508292882</v>
      </c>
      <c r="C32" s="5" t="s">
        <v>1604</v>
      </c>
      <c r="D32" s="5" t="s">
        <v>376</v>
      </c>
      <c r="E32" s="5" t="s">
        <v>335</v>
      </c>
      <c r="F32" s="5" t="s">
        <v>71</v>
      </c>
      <c r="G32" s="5" t="s">
        <v>52</v>
      </c>
      <c r="H32" s="5" t="s">
        <v>1602</v>
      </c>
      <c r="I32" s="5">
        <v>202501086</v>
      </c>
      <c r="J32" s="5"/>
      <c r="K32" s="6">
        <v>45898</v>
      </c>
      <c r="L32" s="6">
        <v>45904</v>
      </c>
      <c r="M32" s="5" t="s">
        <v>53</v>
      </c>
      <c r="N32" s="5" t="s">
        <v>54</v>
      </c>
      <c r="O32" s="5" t="s">
        <v>41</v>
      </c>
      <c r="P32" s="30">
        <f t="shared" si="2"/>
        <v>6</v>
      </c>
      <c r="Q32" s="41">
        <v>3642.4475524475524</v>
      </c>
      <c r="R32" s="41">
        <v>5950</v>
      </c>
      <c r="S32" s="41">
        <f t="shared" si="1"/>
        <v>2307.5524475524476</v>
      </c>
    </row>
    <row r="33" spans="1:19">
      <c r="A33" s="5">
        <v>32</v>
      </c>
      <c r="B33" s="5">
        <v>2508292886</v>
      </c>
      <c r="C33" s="5" t="s">
        <v>1605</v>
      </c>
      <c r="D33" s="5" t="s">
        <v>376</v>
      </c>
      <c r="E33" s="5" t="s">
        <v>335</v>
      </c>
      <c r="F33" s="5" t="s">
        <v>71</v>
      </c>
      <c r="G33" s="5" t="s">
        <v>52</v>
      </c>
      <c r="H33" s="5" t="s">
        <v>1602</v>
      </c>
      <c r="I33" s="5">
        <v>202501087</v>
      </c>
      <c r="J33" s="5"/>
      <c r="K33" s="6">
        <v>45898</v>
      </c>
      <c r="L33" s="6">
        <v>45904</v>
      </c>
      <c r="M33" s="5" t="s">
        <v>53</v>
      </c>
      <c r="N33" s="5" t="s">
        <v>54</v>
      </c>
      <c r="O33" s="5" t="s">
        <v>41</v>
      </c>
      <c r="P33" s="30">
        <f t="shared" si="2"/>
        <v>6</v>
      </c>
      <c r="Q33" s="41">
        <v>3642.4475524475524</v>
      </c>
      <c r="R33" s="41">
        <v>5950</v>
      </c>
      <c r="S33" s="41">
        <f t="shared" si="1"/>
        <v>2307.5524475524476</v>
      </c>
    </row>
    <row r="34" spans="1:19">
      <c r="A34" s="5">
        <v>33</v>
      </c>
      <c r="B34" s="9">
        <v>2508292893</v>
      </c>
      <c r="C34" s="9" t="s">
        <v>1606</v>
      </c>
      <c r="D34" s="9" t="s">
        <v>393</v>
      </c>
      <c r="E34" s="9" t="s">
        <v>394</v>
      </c>
      <c r="F34" s="9" t="s">
        <v>202</v>
      </c>
      <c r="G34" s="9" t="s">
        <v>43</v>
      </c>
      <c r="H34" s="9" t="s">
        <v>1602</v>
      </c>
      <c r="I34" s="9">
        <v>202501088</v>
      </c>
      <c r="J34" s="9"/>
      <c r="K34" s="10">
        <v>45898</v>
      </c>
      <c r="L34" s="10">
        <v>45904</v>
      </c>
      <c r="M34" s="9" t="s">
        <v>53</v>
      </c>
      <c r="N34" s="9" t="s">
        <v>94</v>
      </c>
      <c r="O34" s="9" t="s">
        <v>1607</v>
      </c>
      <c r="P34" s="32">
        <f t="shared" si="2"/>
        <v>6</v>
      </c>
      <c r="Q34" s="11">
        <v>3642.4475524475524</v>
      </c>
      <c r="R34" s="11">
        <v>13500</v>
      </c>
      <c r="S34" s="11">
        <f t="shared" si="1"/>
        <v>9857.5524475524471</v>
      </c>
    </row>
    <row r="35" spans="1:19">
      <c r="A35" s="5">
        <v>34</v>
      </c>
      <c r="B35" s="5">
        <v>2508292898</v>
      </c>
      <c r="C35" s="5" t="s">
        <v>1608</v>
      </c>
      <c r="D35" s="5" t="s">
        <v>83</v>
      </c>
      <c r="E35" s="5" t="s">
        <v>84</v>
      </c>
      <c r="F35" s="5" t="s">
        <v>62</v>
      </c>
      <c r="G35" s="5" t="s">
        <v>43</v>
      </c>
      <c r="H35" s="5" t="s">
        <v>1602</v>
      </c>
      <c r="I35" s="5">
        <v>202501089</v>
      </c>
      <c r="J35" s="5"/>
      <c r="K35" s="6">
        <v>45898</v>
      </c>
      <c r="L35" s="6">
        <v>45904</v>
      </c>
      <c r="M35" s="5" t="s">
        <v>53</v>
      </c>
      <c r="N35" s="5" t="s">
        <v>54</v>
      </c>
      <c r="O35" s="5" t="s">
        <v>41</v>
      </c>
      <c r="P35" s="30">
        <f t="shared" si="2"/>
        <v>6</v>
      </c>
      <c r="Q35" s="41">
        <v>3642.4475524475524</v>
      </c>
      <c r="R35" s="41">
        <v>9000</v>
      </c>
      <c r="S35" s="41">
        <f t="shared" si="1"/>
        <v>5357.5524475524471</v>
      </c>
    </row>
    <row r="36" spans="1:19">
      <c r="A36" s="5">
        <v>35</v>
      </c>
      <c r="B36" s="5">
        <v>2508302219</v>
      </c>
      <c r="C36" s="5" t="s">
        <v>1609</v>
      </c>
      <c r="D36" s="5" t="s">
        <v>506</v>
      </c>
      <c r="E36" s="5" t="s">
        <v>507</v>
      </c>
      <c r="F36" s="5" t="s">
        <v>169</v>
      </c>
      <c r="G36" s="5" t="s">
        <v>52</v>
      </c>
      <c r="H36" s="5" t="s">
        <v>1602</v>
      </c>
      <c r="I36" s="5">
        <v>202501090</v>
      </c>
      <c r="J36" s="5"/>
      <c r="K36" s="6">
        <v>45899</v>
      </c>
      <c r="L36" s="6">
        <v>45904</v>
      </c>
      <c r="M36" s="5" t="s">
        <v>53</v>
      </c>
      <c r="N36" s="5" t="s">
        <v>54</v>
      </c>
      <c r="O36" s="5" t="s">
        <v>41</v>
      </c>
      <c r="P36" s="30">
        <f t="shared" si="2"/>
        <v>5</v>
      </c>
      <c r="Q36" s="41">
        <v>3642.4475524475524</v>
      </c>
      <c r="R36" s="41">
        <v>6000</v>
      </c>
      <c r="S36" s="41">
        <f t="shared" si="1"/>
        <v>2357.5524475524476</v>
      </c>
    </row>
    <row r="37" spans="1:19">
      <c r="A37" s="5">
        <v>36</v>
      </c>
      <c r="B37" s="5">
        <v>2508302222</v>
      </c>
      <c r="C37" s="5" t="s">
        <v>1610</v>
      </c>
      <c r="D37" s="5" t="s">
        <v>1611</v>
      </c>
      <c r="E37" s="5" t="s">
        <v>551</v>
      </c>
      <c r="F37" s="5" t="s">
        <v>51</v>
      </c>
      <c r="G37" s="5" t="s">
        <v>52</v>
      </c>
      <c r="H37" s="5" t="s">
        <v>1602</v>
      </c>
      <c r="I37" s="5">
        <v>202501091</v>
      </c>
      <c r="J37" s="5"/>
      <c r="K37" s="6">
        <v>45899</v>
      </c>
      <c r="L37" s="6">
        <v>45904</v>
      </c>
      <c r="M37" s="5" t="s">
        <v>53</v>
      </c>
      <c r="N37" s="5" t="s">
        <v>54</v>
      </c>
      <c r="O37" s="5" t="s">
        <v>41</v>
      </c>
      <c r="P37" s="30">
        <f t="shared" si="2"/>
        <v>5</v>
      </c>
      <c r="Q37" s="41">
        <v>3642.4475524475524</v>
      </c>
      <c r="R37" s="41">
        <v>5500</v>
      </c>
      <c r="S37" s="41">
        <f t="shared" si="1"/>
        <v>1857.5524475524476</v>
      </c>
    </row>
    <row r="38" spans="1:19">
      <c r="A38" s="5">
        <v>37</v>
      </c>
      <c r="B38" s="5">
        <v>2508302226</v>
      </c>
      <c r="C38" s="5" t="s">
        <v>1612</v>
      </c>
      <c r="D38" s="5" t="s">
        <v>293</v>
      </c>
      <c r="E38" s="5" t="s">
        <v>294</v>
      </c>
      <c r="F38" s="5" t="s">
        <v>51</v>
      </c>
      <c r="G38" s="5" t="s">
        <v>43</v>
      </c>
      <c r="H38" s="5" t="s">
        <v>1602</v>
      </c>
      <c r="I38" s="5">
        <v>202501092</v>
      </c>
      <c r="J38" s="5"/>
      <c r="K38" s="6">
        <v>45899</v>
      </c>
      <c r="L38" s="6">
        <v>45904</v>
      </c>
      <c r="M38" s="5" t="s">
        <v>53</v>
      </c>
      <c r="N38" s="5" t="s">
        <v>54</v>
      </c>
      <c r="O38" s="5" t="s">
        <v>41</v>
      </c>
      <c r="P38" s="30">
        <f t="shared" si="2"/>
        <v>5</v>
      </c>
      <c r="Q38" s="41">
        <v>3642.4475524475524</v>
      </c>
      <c r="R38" s="41">
        <v>11000</v>
      </c>
      <c r="S38" s="41">
        <f t="shared" si="1"/>
        <v>7357.5524475524471</v>
      </c>
    </row>
    <row r="39" spans="1:19">
      <c r="A39" s="5">
        <v>38</v>
      </c>
      <c r="B39" s="5">
        <v>2508302228</v>
      </c>
      <c r="C39" s="5" t="s">
        <v>1613</v>
      </c>
      <c r="D39" s="5" t="s">
        <v>810</v>
      </c>
      <c r="E39" s="5" t="s">
        <v>1614</v>
      </c>
      <c r="F39" s="5" t="s">
        <v>457</v>
      </c>
      <c r="G39" s="5" t="s">
        <v>52</v>
      </c>
      <c r="H39" s="5" t="s">
        <v>1602</v>
      </c>
      <c r="I39" s="5">
        <v>202501093</v>
      </c>
      <c r="J39" s="5"/>
      <c r="K39" s="6">
        <v>45899</v>
      </c>
      <c r="L39" s="6">
        <v>45904</v>
      </c>
      <c r="M39" s="5" t="s">
        <v>53</v>
      </c>
      <c r="N39" s="5" t="s">
        <v>54</v>
      </c>
      <c r="O39" s="5" t="s">
        <v>41</v>
      </c>
      <c r="P39" s="30">
        <f t="shared" si="2"/>
        <v>5</v>
      </c>
      <c r="Q39" s="41">
        <v>3642.4475524475524</v>
      </c>
      <c r="R39" s="41">
        <v>5200</v>
      </c>
      <c r="S39" s="41">
        <f t="shared" si="1"/>
        <v>1557.5524475524476</v>
      </c>
    </row>
    <row r="40" spans="1:19">
      <c r="A40" s="5">
        <v>39</v>
      </c>
      <c r="B40" s="5">
        <v>2508302239</v>
      </c>
      <c r="C40" s="5" t="s">
        <v>1615</v>
      </c>
      <c r="D40" s="5" t="s">
        <v>296</v>
      </c>
      <c r="E40" s="5" t="s">
        <v>1081</v>
      </c>
      <c r="F40" s="5" t="s">
        <v>79</v>
      </c>
      <c r="G40" s="5" t="s">
        <v>52</v>
      </c>
      <c r="H40" s="5" t="s">
        <v>1602</v>
      </c>
      <c r="I40" s="5">
        <v>202501094</v>
      </c>
      <c r="J40" s="5"/>
      <c r="K40" s="6">
        <v>45899</v>
      </c>
      <c r="L40" s="6">
        <v>45904</v>
      </c>
      <c r="M40" s="5" t="s">
        <v>53</v>
      </c>
      <c r="N40" s="5" t="s">
        <v>54</v>
      </c>
      <c r="O40" s="5" t="s">
        <v>41</v>
      </c>
      <c r="P40" s="30">
        <f t="shared" si="2"/>
        <v>5</v>
      </c>
      <c r="Q40" s="41">
        <v>3642.4475524475524</v>
      </c>
      <c r="R40" s="41">
        <v>8500</v>
      </c>
      <c r="S40" s="41">
        <f t="shared" si="1"/>
        <v>4857.5524475524471</v>
      </c>
    </row>
    <row r="41" spans="1:19">
      <c r="A41" s="5">
        <v>40</v>
      </c>
      <c r="B41" s="5">
        <v>2508302246</v>
      </c>
      <c r="C41" s="5" t="s">
        <v>1616</v>
      </c>
      <c r="D41" s="5" t="s">
        <v>64</v>
      </c>
      <c r="E41" s="5" t="s">
        <v>65</v>
      </c>
      <c r="F41" s="5" t="s">
        <v>66</v>
      </c>
      <c r="G41" s="5" t="s">
        <v>52</v>
      </c>
      <c r="H41" s="5" t="s">
        <v>1602</v>
      </c>
      <c r="I41" s="5">
        <v>202501095</v>
      </c>
      <c r="J41" s="5"/>
      <c r="K41" s="6">
        <v>45899</v>
      </c>
      <c r="L41" s="6">
        <v>45904</v>
      </c>
      <c r="M41" s="5" t="s">
        <v>53</v>
      </c>
      <c r="N41" s="5" t="s">
        <v>54</v>
      </c>
      <c r="O41" s="5" t="s">
        <v>41</v>
      </c>
      <c r="P41" s="30">
        <f t="shared" si="2"/>
        <v>5</v>
      </c>
      <c r="Q41" s="41">
        <v>3642.4475524475524</v>
      </c>
      <c r="R41" s="41">
        <v>5500</v>
      </c>
      <c r="S41" s="41">
        <f t="shared" si="1"/>
        <v>1857.5524475524476</v>
      </c>
    </row>
    <row r="42" spans="1:19">
      <c r="A42" s="5">
        <v>41</v>
      </c>
      <c r="B42" s="5">
        <v>2508302273</v>
      </c>
      <c r="C42" s="5" t="s">
        <v>1617</v>
      </c>
      <c r="D42" s="5" t="s">
        <v>1618</v>
      </c>
      <c r="E42" s="5" t="s">
        <v>1619</v>
      </c>
      <c r="F42" s="5" t="s">
        <v>202</v>
      </c>
      <c r="G42" s="5" t="s">
        <v>75</v>
      </c>
      <c r="H42" s="5" t="s">
        <v>1602</v>
      </c>
      <c r="I42" s="5">
        <v>202501096</v>
      </c>
      <c r="J42" s="5"/>
      <c r="K42" s="6">
        <v>45899</v>
      </c>
      <c r="L42" s="6">
        <v>45904</v>
      </c>
      <c r="M42" s="5" t="s">
        <v>53</v>
      </c>
      <c r="N42" s="5" t="s">
        <v>54</v>
      </c>
      <c r="O42" s="5" t="s">
        <v>41</v>
      </c>
      <c r="P42" s="30">
        <f t="shared" si="2"/>
        <v>5</v>
      </c>
      <c r="Q42" s="41">
        <v>3642.4475524475524</v>
      </c>
      <c r="R42" s="41">
        <v>4500</v>
      </c>
      <c r="S42" s="41">
        <f t="shared" si="1"/>
        <v>857.55244755244757</v>
      </c>
    </row>
    <row r="43" spans="1:19">
      <c r="A43" s="5">
        <v>42</v>
      </c>
      <c r="B43" s="5">
        <v>2508302253</v>
      </c>
      <c r="C43" s="5" t="s">
        <v>1620</v>
      </c>
      <c r="D43" s="5" t="s">
        <v>581</v>
      </c>
      <c r="E43" s="5" t="s">
        <v>1269</v>
      </c>
      <c r="F43" s="5" t="s">
        <v>202</v>
      </c>
      <c r="G43" s="5" t="s">
        <v>52</v>
      </c>
      <c r="H43" s="5" t="s">
        <v>1602</v>
      </c>
      <c r="I43" s="5">
        <v>202501097</v>
      </c>
      <c r="J43" s="5"/>
      <c r="K43" s="6">
        <v>45899</v>
      </c>
      <c r="L43" s="6">
        <v>45904</v>
      </c>
      <c r="M43" s="42" t="s">
        <v>53</v>
      </c>
      <c r="N43" s="42" t="s">
        <v>54</v>
      </c>
      <c r="O43" s="42" t="s">
        <v>41</v>
      </c>
      <c r="P43" s="30">
        <f t="shared" si="2"/>
        <v>5</v>
      </c>
      <c r="Q43" s="41">
        <v>3642.4475524475524</v>
      </c>
      <c r="R43" s="41">
        <v>8000</v>
      </c>
      <c r="S43" s="41">
        <f t="shared" si="1"/>
        <v>4357.5524475524471</v>
      </c>
    </row>
    <row r="44" spans="1:19">
      <c r="A44" s="5">
        <v>43</v>
      </c>
      <c r="B44" s="5">
        <v>2508302263</v>
      </c>
      <c r="C44" s="5" t="s">
        <v>1621</v>
      </c>
      <c r="D44" s="5" t="s">
        <v>218</v>
      </c>
      <c r="E44" s="5" t="s">
        <v>219</v>
      </c>
      <c r="F44" s="5" t="s">
        <v>51</v>
      </c>
      <c r="G44" s="5" t="s">
        <v>52</v>
      </c>
      <c r="H44" s="5" t="s">
        <v>1602</v>
      </c>
      <c r="I44" s="5">
        <v>202501098</v>
      </c>
      <c r="J44" s="5"/>
      <c r="K44" s="6">
        <v>45899</v>
      </c>
      <c r="L44" s="6">
        <v>45904</v>
      </c>
      <c r="M44" s="5" t="s">
        <v>53</v>
      </c>
      <c r="N44" s="5" t="s">
        <v>54</v>
      </c>
      <c r="O44" s="5" t="s">
        <v>41</v>
      </c>
      <c r="P44" s="30">
        <f t="shared" si="2"/>
        <v>5</v>
      </c>
      <c r="Q44" s="41">
        <v>3642.4475524475524</v>
      </c>
      <c r="R44" s="41">
        <v>5500</v>
      </c>
      <c r="S44" s="41">
        <f t="shared" si="1"/>
        <v>1857.5524475524476</v>
      </c>
    </row>
    <row r="45" spans="1:19">
      <c r="A45" s="5">
        <v>44</v>
      </c>
      <c r="B45" s="5">
        <v>2508302281</v>
      </c>
      <c r="C45" s="5" t="s">
        <v>1622</v>
      </c>
      <c r="D45" s="5" t="s">
        <v>49</v>
      </c>
      <c r="E45" s="5" t="s">
        <v>50</v>
      </c>
      <c r="F45" s="5" t="s">
        <v>51</v>
      </c>
      <c r="G45" s="5" t="s">
        <v>52</v>
      </c>
      <c r="H45" s="5" t="s">
        <v>1602</v>
      </c>
      <c r="I45" s="5">
        <v>202501099</v>
      </c>
      <c r="J45" s="5"/>
      <c r="K45" s="6">
        <v>45899</v>
      </c>
      <c r="L45" s="6">
        <v>45904</v>
      </c>
      <c r="M45" s="5" t="s">
        <v>53</v>
      </c>
      <c r="N45" s="5" t="s">
        <v>54</v>
      </c>
      <c r="O45" s="5" t="s">
        <v>41</v>
      </c>
      <c r="P45" s="30">
        <f t="shared" si="2"/>
        <v>5</v>
      </c>
      <c r="Q45" s="41">
        <v>3642.4475524475524</v>
      </c>
      <c r="R45" s="41">
        <v>5500</v>
      </c>
      <c r="S45" s="41">
        <f t="shared" si="1"/>
        <v>1857.5524475524476</v>
      </c>
    </row>
    <row r="46" spans="1:19">
      <c r="A46" s="5">
        <v>45</v>
      </c>
      <c r="B46" s="5">
        <v>2508302290</v>
      </c>
      <c r="C46" s="5" t="s">
        <v>1623</v>
      </c>
      <c r="D46" s="5" t="s">
        <v>309</v>
      </c>
      <c r="E46" s="5" t="s">
        <v>1597</v>
      </c>
      <c r="F46" s="5" t="s">
        <v>51</v>
      </c>
      <c r="G46" s="5" t="s">
        <v>52</v>
      </c>
      <c r="H46" s="5" t="s">
        <v>1602</v>
      </c>
      <c r="I46" s="5">
        <v>202501100</v>
      </c>
      <c r="J46" s="5"/>
      <c r="K46" s="6">
        <v>45899</v>
      </c>
      <c r="L46" s="6">
        <v>45904</v>
      </c>
      <c r="M46" s="42" t="s">
        <v>53</v>
      </c>
      <c r="N46" s="42" t="s">
        <v>54</v>
      </c>
      <c r="O46" s="42" t="s">
        <v>41</v>
      </c>
      <c r="P46" s="30">
        <f t="shared" si="2"/>
        <v>5</v>
      </c>
      <c r="Q46" s="41">
        <v>3642.4475524475524</v>
      </c>
      <c r="R46" s="41">
        <v>5500</v>
      </c>
      <c r="S46" s="41">
        <f t="shared" si="1"/>
        <v>1857.5524475524476</v>
      </c>
    </row>
    <row r="47" spans="1:19">
      <c r="A47" s="5">
        <v>46</v>
      </c>
      <c r="B47" s="5">
        <v>2508302298</v>
      </c>
      <c r="C47" s="5" t="s">
        <v>1624</v>
      </c>
      <c r="D47" s="5" t="s">
        <v>309</v>
      </c>
      <c r="E47" s="5" t="s">
        <v>1597</v>
      </c>
      <c r="F47" s="5" t="s">
        <v>51</v>
      </c>
      <c r="G47" s="5" t="s">
        <v>52</v>
      </c>
      <c r="H47" s="5" t="s">
        <v>1602</v>
      </c>
      <c r="I47" s="5">
        <v>202501101</v>
      </c>
      <c r="J47" s="5"/>
      <c r="K47" s="6">
        <v>45899</v>
      </c>
      <c r="L47" s="6">
        <v>45904</v>
      </c>
      <c r="M47" s="5" t="s">
        <v>53</v>
      </c>
      <c r="N47" s="5" t="s">
        <v>54</v>
      </c>
      <c r="O47" s="5" t="s">
        <v>41</v>
      </c>
      <c r="P47" s="30">
        <f t="shared" si="2"/>
        <v>5</v>
      </c>
      <c r="Q47" s="41">
        <v>3642.4475524475524</v>
      </c>
      <c r="R47" s="41">
        <v>5500</v>
      </c>
      <c r="S47" s="41">
        <f t="shared" si="1"/>
        <v>1857.5524475524476</v>
      </c>
    </row>
    <row r="48" spans="1:19">
      <c r="A48" s="5">
        <v>47</v>
      </c>
      <c r="B48" s="5">
        <v>2508302305</v>
      </c>
      <c r="C48" s="5" t="s">
        <v>1625</v>
      </c>
      <c r="D48" s="5" t="s">
        <v>1514</v>
      </c>
      <c r="E48" s="5" t="s">
        <v>1515</v>
      </c>
      <c r="F48" s="5" t="s">
        <v>71</v>
      </c>
      <c r="G48" s="5" t="s">
        <v>52</v>
      </c>
      <c r="H48" s="5" t="s">
        <v>1602</v>
      </c>
      <c r="I48" s="5">
        <v>202501102</v>
      </c>
      <c r="J48" s="5"/>
      <c r="K48" s="6">
        <v>45899</v>
      </c>
      <c r="L48" s="6">
        <v>45904</v>
      </c>
      <c r="M48" s="5" t="s">
        <v>53</v>
      </c>
      <c r="N48" s="5" t="s">
        <v>54</v>
      </c>
      <c r="O48" s="5" t="s">
        <v>41</v>
      </c>
      <c r="P48" s="30">
        <f t="shared" si="2"/>
        <v>5</v>
      </c>
      <c r="Q48" s="41">
        <v>3642.4475524475524</v>
      </c>
      <c r="R48" s="41">
        <v>8500</v>
      </c>
      <c r="S48" s="41">
        <f t="shared" si="1"/>
        <v>4857.5524475524471</v>
      </c>
    </row>
    <row r="49" spans="1:19">
      <c r="A49" s="5">
        <v>48</v>
      </c>
      <c r="B49" s="5">
        <v>2508302328</v>
      </c>
      <c r="C49" s="5" t="s">
        <v>1626</v>
      </c>
      <c r="D49" s="5" t="s">
        <v>528</v>
      </c>
      <c r="E49" s="5" t="s">
        <v>639</v>
      </c>
      <c r="F49" s="5" t="s">
        <v>202</v>
      </c>
      <c r="G49" s="5" t="s">
        <v>52</v>
      </c>
      <c r="H49" s="5" t="s">
        <v>1602</v>
      </c>
      <c r="I49" s="5">
        <v>202501103</v>
      </c>
      <c r="J49" s="5"/>
      <c r="K49" s="6">
        <v>45899</v>
      </c>
      <c r="L49" s="6">
        <v>45904</v>
      </c>
      <c r="M49" s="42" t="s">
        <v>53</v>
      </c>
      <c r="N49" s="42" t="s">
        <v>54</v>
      </c>
      <c r="O49" s="42" t="s">
        <v>41</v>
      </c>
      <c r="P49" s="30">
        <f t="shared" si="2"/>
        <v>5</v>
      </c>
      <c r="Q49" s="41">
        <v>3642.4475524475524</v>
      </c>
      <c r="R49" s="41">
        <v>7500</v>
      </c>
      <c r="S49" s="41">
        <f t="shared" si="1"/>
        <v>3857.5524475524476</v>
      </c>
    </row>
    <row r="50" spans="1:19">
      <c r="A50" s="5">
        <v>49</v>
      </c>
      <c r="B50" s="5">
        <v>2508302334</v>
      </c>
      <c r="C50" s="5" t="s">
        <v>1627</v>
      </c>
      <c r="D50" s="5" t="s">
        <v>528</v>
      </c>
      <c r="E50" s="5" t="s">
        <v>639</v>
      </c>
      <c r="F50" s="5" t="s">
        <v>202</v>
      </c>
      <c r="G50" s="5" t="s">
        <v>52</v>
      </c>
      <c r="H50" s="5" t="s">
        <v>1602</v>
      </c>
      <c r="I50" s="5">
        <v>202501104</v>
      </c>
      <c r="J50" s="5"/>
      <c r="K50" s="6">
        <v>45899</v>
      </c>
      <c r="L50" s="6">
        <v>45904</v>
      </c>
      <c r="M50" s="5" t="s">
        <v>53</v>
      </c>
      <c r="N50" s="5" t="s">
        <v>54</v>
      </c>
      <c r="O50" s="5" t="s">
        <v>41</v>
      </c>
      <c r="P50" s="30">
        <f t="shared" si="2"/>
        <v>5</v>
      </c>
      <c r="Q50" s="41">
        <v>3642.4475524475524</v>
      </c>
      <c r="R50" s="41">
        <v>7500</v>
      </c>
      <c r="S50" s="41">
        <f t="shared" si="1"/>
        <v>3857.5524475524476</v>
      </c>
    </row>
    <row r="51" spans="1:19">
      <c r="A51" s="5">
        <v>50</v>
      </c>
      <c r="B51" s="5">
        <v>2508302339</v>
      </c>
      <c r="C51" s="5" t="s">
        <v>1628</v>
      </c>
      <c r="D51" s="5" t="s">
        <v>1629</v>
      </c>
      <c r="E51" s="5" t="s">
        <v>1630</v>
      </c>
      <c r="F51" s="5" t="s">
        <v>141</v>
      </c>
      <c r="G51" s="5" t="s">
        <v>52</v>
      </c>
      <c r="H51" s="5" t="s">
        <v>1602</v>
      </c>
      <c r="I51" s="5">
        <v>202501105</v>
      </c>
      <c r="J51" s="5"/>
      <c r="K51" s="6">
        <v>45899</v>
      </c>
      <c r="L51" s="6">
        <v>45904</v>
      </c>
      <c r="M51" s="5" t="s">
        <v>53</v>
      </c>
      <c r="N51" s="5" t="s">
        <v>54</v>
      </c>
      <c r="O51" s="5" t="s">
        <v>41</v>
      </c>
      <c r="P51" s="30">
        <f t="shared" si="2"/>
        <v>5</v>
      </c>
      <c r="Q51" s="41">
        <v>3642.4475524475524</v>
      </c>
      <c r="R51" s="41">
        <v>5500</v>
      </c>
      <c r="S51" s="41">
        <f t="shared" si="1"/>
        <v>1857.5524475524476</v>
      </c>
    </row>
    <row r="52" spans="1:19">
      <c r="A52" s="5">
        <v>51</v>
      </c>
      <c r="B52" s="5">
        <v>2508302342</v>
      </c>
      <c r="C52" s="5" t="s">
        <v>1631</v>
      </c>
      <c r="D52" s="5" t="s">
        <v>1629</v>
      </c>
      <c r="E52" s="5" t="s">
        <v>1630</v>
      </c>
      <c r="F52" s="5" t="s">
        <v>141</v>
      </c>
      <c r="G52" s="5" t="s">
        <v>52</v>
      </c>
      <c r="H52" s="5" t="s">
        <v>1602</v>
      </c>
      <c r="I52" s="5">
        <v>202501106</v>
      </c>
      <c r="J52" s="5"/>
      <c r="K52" s="6">
        <v>45899</v>
      </c>
      <c r="L52" s="6">
        <v>45904</v>
      </c>
      <c r="M52" s="5" t="s">
        <v>53</v>
      </c>
      <c r="N52" s="5" t="s">
        <v>54</v>
      </c>
      <c r="O52" s="5" t="s">
        <v>41</v>
      </c>
      <c r="P52" s="30">
        <f t="shared" si="2"/>
        <v>5</v>
      </c>
      <c r="Q52" s="41">
        <v>3642.4475524475524</v>
      </c>
      <c r="R52" s="41">
        <v>5500</v>
      </c>
      <c r="S52" s="41">
        <f t="shared" si="1"/>
        <v>1857.5524475524476</v>
      </c>
    </row>
    <row r="53" spans="1:19">
      <c r="A53" s="5">
        <v>52</v>
      </c>
      <c r="B53" s="5">
        <v>2508310682</v>
      </c>
      <c r="C53" s="5" t="s">
        <v>1632</v>
      </c>
      <c r="D53" s="5" t="s">
        <v>908</v>
      </c>
      <c r="E53" s="5" t="s">
        <v>909</v>
      </c>
      <c r="F53" s="5" t="s">
        <v>362</v>
      </c>
      <c r="G53" s="5" t="s">
        <v>43</v>
      </c>
      <c r="H53" s="5" t="s">
        <v>1602</v>
      </c>
      <c r="I53" s="5">
        <v>202501107</v>
      </c>
      <c r="J53" s="5"/>
      <c r="K53" s="6">
        <v>45900</v>
      </c>
      <c r="L53" s="6">
        <v>45904</v>
      </c>
      <c r="M53" s="5" t="s">
        <v>53</v>
      </c>
      <c r="N53" s="5" t="s">
        <v>54</v>
      </c>
      <c r="O53" s="5" t="s">
        <v>41</v>
      </c>
      <c r="P53" s="30">
        <f t="shared" si="2"/>
        <v>4</v>
      </c>
      <c r="Q53" s="41">
        <v>3642.4475524475524</v>
      </c>
      <c r="R53" s="41">
        <v>10500</v>
      </c>
      <c r="S53" s="41">
        <f t="shared" si="1"/>
        <v>6857.5524475524471</v>
      </c>
    </row>
    <row r="54" spans="1:19">
      <c r="A54" s="5">
        <v>53</v>
      </c>
      <c r="B54" s="5">
        <v>2508310674</v>
      </c>
      <c r="C54" s="5" t="s">
        <v>1633</v>
      </c>
      <c r="D54" s="5" t="s">
        <v>762</v>
      </c>
      <c r="E54" s="5" t="s">
        <v>763</v>
      </c>
      <c r="F54" s="5" t="s">
        <v>109</v>
      </c>
      <c r="G54" s="5" t="s">
        <v>52</v>
      </c>
      <c r="H54" s="5" t="s">
        <v>1602</v>
      </c>
      <c r="I54" s="5">
        <v>202501108</v>
      </c>
      <c r="J54" s="5"/>
      <c r="K54" s="6">
        <v>45900</v>
      </c>
      <c r="L54" s="6">
        <v>45904</v>
      </c>
      <c r="M54" s="5" t="s">
        <v>53</v>
      </c>
      <c r="N54" s="5" t="s">
        <v>54</v>
      </c>
      <c r="O54" s="5" t="s">
        <v>41</v>
      </c>
      <c r="P54" s="30">
        <f t="shared" si="2"/>
        <v>4</v>
      </c>
      <c r="Q54" s="41">
        <v>3642.4475524475524</v>
      </c>
      <c r="R54" s="41">
        <v>5500</v>
      </c>
      <c r="S54" s="41">
        <f t="shared" si="1"/>
        <v>1857.5524475524476</v>
      </c>
    </row>
    <row r="55" spans="1:19">
      <c r="A55" s="5">
        <v>54</v>
      </c>
      <c r="B55" s="5" t="s">
        <v>1239</v>
      </c>
      <c r="C55" s="5"/>
      <c r="D55" s="5"/>
      <c r="E55" s="5"/>
      <c r="F55" s="5"/>
      <c r="G55" s="5" t="s">
        <v>52</v>
      </c>
      <c r="H55" s="5"/>
      <c r="I55" s="5"/>
      <c r="J55" s="5"/>
      <c r="K55" s="5"/>
      <c r="L55" s="5"/>
      <c r="M55" s="5"/>
      <c r="N55" s="5"/>
      <c r="O55" s="5"/>
      <c r="P55" s="5"/>
      <c r="Q55" s="41">
        <v>3642.4475524475524</v>
      </c>
      <c r="R55" s="41">
        <v>0</v>
      </c>
      <c r="S55" s="41">
        <f t="shared" si="1"/>
        <v>-3642.4475524475524</v>
      </c>
    </row>
    <row r="56" spans="1:19">
      <c r="A56" s="5">
        <v>55</v>
      </c>
      <c r="B56" s="5" t="s">
        <v>1240</v>
      </c>
      <c r="C56" s="5"/>
      <c r="D56" s="5"/>
      <c r="E56" s="5"/>
      <c r="F56" s="5"/>
      <c r="G56" s="5" t="s">
        <v>52</v>
      </c>
      <c r="H56" s="5"/>
      <c r="I56" s="5"/>
      <c r="J56" s="5"/>
      <c r="K56" s="5"/>
      <c r="L56" s="5"/>
      <c r="M56" s="5"/>
      <c r="N56" s="5"/>
      <c r="O56" s="5"/>
      <c r="P56" s="5"/>
      <c r="Q56" s="41">
        <v>3642.4475524475524</v>
      </c>
      <c r="R56" s="41">
        <v>0</v>
      </c>
      <c r="S56" s="41">
        <f t="shared" si="1"/>
        <v>-3642.4475524475524</v>
      </c>
    </row>
    <row r="57" spans="1:19">
      <c r="A57" s="5">
        <v>56</v>
      </c>
      <c r="B57" s="5">
        <v>2508280008</v>
      </c>
      <c r="C57" s="5" t="s">
        <v>1583</v>
      </c>
      <c r="D57" s="5" t="s">
        <v>40</v>
      </c>
      <c r="E57" s="5" t="s">
        <v>41</v>
      </c>
      <c r="F57" s="5" t="s">
        <v>42</v>
      </c>
      <c r="G57" s="5" t="s">
        <v>190</v>
      </c>
      <c r="H57" s="5" t="s">
        <v>1634</v>
      </c>
      <c r="I57" s="5" t="s">
        <v>1635</v>
      </c>
      <c r="J57" s="5"/>
      <c r="K57" s="6">
        <v>45897</v>
      </c>
      <c r="L57" s="6">
        <v>45904</v>
      </c>
      <c r="M57" s="5" t="s">
        <v>53</v>
      </c>
      <c r="N57" s="5" t="s">
        <v>54</v>
      </c>
      <c r="O57" s="5" t="s">
        <v>41</v>
      </c>
      <c r="P57" s="30">
        <f t="shared" ref="P57:P79" si="3">L57-K57</f>
        <v>7</v>
      </c>
      <c r="Q57" s="41">
        <v>3771.7454545454548</v>
      </c>
      <c r="R57" s="41">
        <v>0</v>
      </c>
      <c r="S57" s="41">
        <f t="shared" si="1"/>
        <v>-3771.7454545454548</v>
      </c>
    </row>
    <row r="58" spans="1:19">
      <c r="A58" s="5">
        <v>57</v>
      </c>
      <c r="B58" s="5">
        <v>2508280008</v>
      </c>
      <c r="C58" s="5" t="s">
        <v>1583</v>
      </c>
      <c r="D58" s="5" t="s">
        <v>40</v>
      </c>
      <c r="E58" s="5" t="s">
        <v>41</v>
      </c>
      <c r="F58" s="5" t="s">
        <v>42</v>
      </c>
      <c r="G58" s="5" t="s">
        <v>190</v>
      </c>
      <c r="H58" s="5" t="s">
        <v>1634</v>
      </c>
      <c r="I58" s="5" t="s">
        <v>1636</v>
      </c>
      <c r="J58" s="5"/>
      <c r="K58" s="6">
        <v>45897</v>
      </c>
      <c r="L58" s="6">
        <v>45904</v>
      </c>
      <c r="M58" s="5" t="s">
        <v>53</v>
      </c>
      <c r="N58" s="5" t="s">
        <v>54</v>
      </c>
      <c r="O58" s="5" t="s">
        <v>41</v>
      </c>
      <c r="P58" s="30">
        <f t="shared" si="3"/>
        <v>7</v>
      </c>
      <c r="Q58" s="41">
        <v>3771.7454545454548</v>
      </c>
      <c r="R58" s="41">
        <v>0</v>
      </c>
      <c r="S58" s="41">
        <f t="shared" si="1"/>
        <v>-3771.7454545454548</v>
      </c>
    </row>
    <row r="59" spans="1:19">
      <c r="A59" s="5">
        <v>58</v>
      </c>
      <c r="B59" s="5">
        <v>2509012208</v>
      </c>
      <c r="C59" s="5" t="s">
        <v>1637</v>
      </c>
      <c r="D59" s="5" t="s">
        <v>1638</v>
      </c>
      <c r="E59" s="5" t="s">
        <v>394</v>
      </c>
      <c r="F59" s="5" t="s">
        <v>202</v>
      </c>
      <c r="G59" s="5" t="s">
        <v>43</v>
      </c>
      <c r="H59" s="5" t="s">
        <v>1634</v>
      </c>
      <c r="I59" s="5">
        <v>202501109</v>
      </c>
      <c r="J59" s="5"/>
      <c r="K59" s="6">
        <v>45901</v>
      </c>
      <c r="L59" s="6">
        <v>45904</v>
      </c>
      <c r="M59" s="5" t="s">
        <v>53</v>
      </c>
      <c r="N59" s="5" t="s">
        <v>54</v>
      </c>
      <c r="O59" s="5" t="s">
        <v>41</v>
      </c>
      <c r="P59" s="30">
        <f t="shared" si="3"/>
        <v>3</v>
      </c>
      <c r="Q59" s="41">
        <v>3771.7454545454548</v>
      </c>
      <c r="R59" s="41">
        <v>13500</v>
      </c>
      <c r="S59" s="41">
        <f t="shared" si="1"/>
        <v>9728.2545454545452</v>
      </c>
    </row>
    <row r="60" spans="1:19">
      <c r="A60" s="5">
        <v>59</v>
      </c>
      <c r="B60" s="5">
        <v>2508310693</v>
      </c>
      <c r="C60" s="5" t="s">
        <v>1639</v>
      </c>
      <c r="D60" s="5" t="s">
        <v>167</v>
      </c>
      <c r="E60" s="5" t="s">
        <v>659</v>
      </c>
      <c r="F60" s="5" t="s">
        <v>169</v>
      </c>
      <c r="G60" s="5" t="s">
        <v>52</v>
      </c>
      <c r="H60" s="5" t="s">
        <v>1634</v>
      </c>
      <c r="I60" s="5">
        <v>202501110</v>
      </c>
      <c r="J60" s="5"/>
      <c r="K60" s="6">
        <v>45900</v>
      </c>
      <c r="L60" s="6">
        <v>45904</v>
      </c>
      <c r="M60" s="5" t="s">
        <v>53</v>
      </c>
      <c r="N60" s="5" t="s">
        <v>54</v>
      </c>
      <c r="O60" s="5" t="s">
        <v>41</v>
      </c>
      <c r="P60" s="30">
        <f t="shared" si="3"/>
        <v>4</v>
      </c>
      <c r="Q60" s="41">
        <v>3771.7454545454548</v>
      </c>
      <c r="R60" s="41">
        <v>6000</v>
      </c>
      <c r="S60" s="41">
        <f t="shared" si="1"/>
        <v>2228.2545454545452</v>
      </c>
    </row>
    <row r="61" spans="1:19">
      <c r="A61" s="5">
        <v>60</v>
      </c>
      <c r="B61" s="5">
        <v>2508310719</v>
      </c>
      <c r="C61" s="5" t="s">
        <v>1640</v>
      </c>
      <c r="D61" s="5" t="s">
        <v>293</v>
      </c>
      <c r="E61" s="5" t="s">
        <v>294</v>
      </c>
      <c r="F61" s="5" t="s">
        <v>51</v>
      </c>
      <c r="G61" s="5" t="s">
        <v>43</v>
      </c>
      <c r="H61" s="5" t="s">
        <v>1634</v>
      </c>
      <c r="I61" s="5">
        <v>202501111</v>
      </c>
      <c r="J61" s="5"/>
      <c r="K61" s="6">
        <v>45900</v>
      </c>
      <c r="L61" s="6">
        <v>45904</v>
      </c>
      <c r="M61" s="5" t="s">
        <v>53</v>
      </c>
      <c r="N61" s="5" t="s">
        <v>54</v>
      </c>
      <c r="O61" s="5" t="s">
        <v>41</v>
      </c>
      <c r="P61" s="30">
        <f t="shared" si="3"/>
        <v>4</v>
      </c>
      <c r="Q61" s="41">
        <v>3771.7454545454548</v>
      </c>
      <c r="R61" s="41">
        <v>11000</v>
      </c>
      <c r="S61" s="41">
        <f t="shared" si="1"/>
        <v>7228.2545454545452</v>
      </c>
    </row>
    <row r="62" spans="1:19">
      <c r="A62" s="5">
        <v>61</v>
      </c>
      <c r="B62" s="5">
        <v>2508310737</v>
      </c>
      <c r="C62" s="5" t="s">
        <v>1641</v>
      </c>
      <c r="D62" s="5" t="s">
        <v>257</v>
      </c>
      <c r="E62" s="5" t="s">
        <v>258</v>
      </c>
      <c r="F62" s="5" t="s">
        <v>62</v>
      </c>
      <c r="G62" s="5" t="s">
        <v>52</v>
      </c>
      <c r="H62" s="5" t="s">
        <v>1634</v>
      </c>
      <c r="I62" s="5">
        <v>202501112</v>
      </c>
      <c r="J62" s="5"/>
      <c r="K62" s="6">
        <v>45900</v>
      </c>
      <c r="L62" s="6">
        <v>45904</v>
      </c>
      <c r="M62" s="5" t="s">
        <v>53</v>
      </c>
      <c r="N62" s="5" t="s">
        <v>54</v>
      </c>
      <c r="O62" s="5" t="s">
        <v>41</v>
      </c>
      <c r="P62" s="30">
        <f t="shared" si="3"/>
        <v>4</v>
      </c>
      <c r="Q62" s="41">
        <v>3771.7454545454548</v>
      </c>
      <c r="R62" s="41">
        <v>5100</v>
      </c>
      <c r="S62" s="41">
        <f t="shared" si="1"/>
        <v>1328.2545454545452</v>
      </c>
    </row>
    <row r="63" spans="1:19">
      <c r="A63" s="5">
        <v>62</v>
      </c>
      <c r="B63" s="5">
        <v>2508310747</v>
      </c>
      <c r="C63" s="5" t="s">
        <v>1642</v>
      </c>
      <c r="D63" s="5" t="s">
        <v>1438</v>
      </c>
      <c r="E63" s="5" t="s">
        <v>1643</v>
      </c>
      <c r="F63" s="5" t="s">
        <v>202</v>
      </c>
      <c r="G63" s="5" t="s">
        <v>52</v>
      </c>
      <c r="H63" s="5" t="s">
        <v>1634</v>
      </c>
      <c r="I63" s="5">
        <v>202501113</v>
      </c>
      <c r="J63" s="5"/>
      <c r="K63" s="6">
        <v>45900</v>
      </c>
      <c r="L63" s="6">
        <v>45904</v>
      </c>
      <c r="M63" s="5" t="s">
        <v>53</v>
      </c>
      <c r="N63" s="5" t="s">
        <v>54</v>
      </c>
      <c r="O63" s="5" t="s">
        <v>41</v>
      </c>
      <c r="P63" s="30">
        <f t="shared" si="3"/>
        <v>4</v>
      </c>
      <c r="Q63" s="41">
        <v>3771.7454545454548</v>
      </c>
      <c r="R63" s="41">
        <v>8000</v>
      </c>
      <c r="S63" s="41">
        <f t="shared" si="1"/>
        <v>4228.2545454545452</v>
      </c>
    </row>
    <row r="64" spans="1:19">
      <c r="A64" s="5">
        <v>63</v>
      </c>
      <c r="B64" s="5">
        <v>2508310758</v>
      </c>
      <c r="C64" s="5" t="s">
        <v>1644</v>
      </c>
      <c r="D64" s="5" t="s">
        <v>309</v>
      </c>
      <c r="E64" s="5" t="s">
        <v>1597</v>
      </c>
      <c r="F64" s="5" t="s">
        <v>51</v>
      </c>
      <c r="G64" s="5" t="s">
        <v>52</v>
      </c>
      <c r="H64" s="5" t="s">
        <v>1634</v>
      </c>
      <c r="I64" s="5">
        <v>202501114</v>
      </c>
      <c r="J64" s="5"/>
      <c r="K64" s="6">
        <v>45900</v>
      </c>
      <c r="L64" s="6">
        <v>45904</v>
      </c>
      <c r="M64" s="5" t="s">
        <v>53</v>
      </c>
      <c r="N64" s="5" t="s">
        <v>54</v>
      </c>
      <c r="O64" s="5" t="s">
        <v>41</v>
      </c>
      <c r="P64" s="30">
        <f t="shared" si="3"/>
        <v>4</v>
      </c>
      <c r="Q64" s="41">
        <v>3771.7454545454548</v>
      </c>
      <c r="R64" s="41">
        <v>5500</v>
      </c>
      <c r="S64" s="41">
        <f t="shared" si="1"/>
        <v>1728.2545454545452</v>
      </c>
    </row>
    <row r="65" spans="1:19">
      <c r="A65" s="5">
        <v>64</v>
      </c>
      <c r="B65" s="5">
        <v>2508310771</v>
      </c>
      <c r="C65" s="5" t="s">
        <v>1645</v>
      </c>
      <c r="D65" s="5" t="s">
        <v>405</v>
      </c>
      <c r="E65" s="5" t="s">
        <v>485</v>
      </c>
      <c r="F65" s="5" t="s">
        <v>202</v>
      </c>
      <c r="G65" s="5" t="s">
        <v>52</v>
      </c>
      <c r="H65" s="5" t="s">
        <v>1634</v>
      </c>
      <c r="I65" s="5">
        <v>202501115</v>
      </c>
      <c r="J65" s="5"/>
      <c r="K65" s="6">
        <v>45900</v>
      </c>
      <c r="L65" s="6">
        <v>45904</v>
      </c>
      <c r="M65" s="5" t="s">
        <v>53</v>
      </c>
      <c r="N65" s="5" t="s">
        <v>54</v>
      </c>
      <c r="O65" s="5" t="s">
        <v>41</v>
      </c>
      <c r="P65" s="30">
        <f t="shared" si="3"/>
        <v>4</v>
      </c>
      <c r="Q65" s="41">
        <v>3771.7454545454548</v>
      </c>
      <c r="R65" s="41">
        <v>6450</v>
      </c>
      <c r="S65" s="41">
        <f t="shared" si="1"/>
        <v>2678.2545454545452</v>
      </c>
    </row>
    <row r="66" spans="1:19">
      <c r="A66" s="5">
        <v>65</v>
      </c>
      <c r="B66" s="5">
        <v>2508310793</v>
      </c>
      <c r="C66" s="5" t="s">
        <v>1646</v>
      </c>
      <c r="D66" s="5" t="s">
        <v>405</v>
      </c>
      <c r="E66" s="5" t="s">
        <v>1647</v>
      </c>
      <c r="F66" s="5" t="s">
        <v>202</v>
      </c>
      <c r="G66" s="5" t="s">
        <v>52</v>
      </c>
      <c r="H66" s="5" t="s">
        <v>1634</v>
      </c>
      <c r="I66" s="5">
        <v>202501116</v>
      </c>
      <c r="J66" s="5"/>
      <c r="K66" s="6">
        <v>45900</v>
      </c>
      <c r="L66" s="6">
        <v>45904</v>
      </c>
      <c r="M66" s="5" t="s">
        <v>53</v>
      </c>
      <c r="N66" s="5" t="s">
        <v>54</v>
      </c>
      <c r="O66" s="5" t="s">
        <v>41</v>
      </c>
      <c r="P66" s="30">
        <f t="shared" si="3"/>
        <v>4</v>
      </c>
      <c r="Q66" s="41">
        <v>3771.7454545454548</v>
      </c>
      <c r="R66" s="41">
        <v>6450</v>
      </c>
      <c r="S66" s="41">
        <f t="shared" ref="S66:S129" si="4">R66-Q66</f>
        <v>2678.2545454545452</v>
      </c>
    </row>
    <row r="67" spans="1:19">
      <c r="A67" s="5">
        <v>66</v>
      </c>
      <c r="B67" s="5">
        <v>2508310254</v>
      </c>
      <c r="C67" s="5" t="s">
        <v>1648</v>
      </c>
      <c r="D67" s="5" t="s">
        <v>40</v>
      </c>
      <c r="E67" s="5" t="s">
        <v>41</v>
      </c>
      <c r="F67" s="5" t="s">
        <v>42</v>
      </c>
      <c r="G67" s="5" t="s">
        <v>43</v>
      </c>
      <c r="H67" s="5" t="s">
        <v>1634</v>
      </c>
      <c r="I67" s="5">
        <v>202501117</v>
      </c>
      <c r="J67" s="5"/>
      <c r="K67" s="6">
        <v>45900</v>
      </c>
      <c r="L67" s="6">
        <v>45904</v>
      </c>
      <c r="M67" s="5" t="s">
        <v>53</v>
      </c>
      <c r="N67" s="5" t="s">
        <v>54</v>
      </c>
      <c r="O67" s="5" t="s">
        <v>41</v>
      </c>
      <c r="P67" s="30">
        <f t="shared" si="3"/>
        <v>4</v>
      </c>
      <c r="Q67" s="41">
        <v>3771.7454545454548</v>
      </c>
      <c r="R67" s="41">
        <v>13050</v>
      </c>
      <c r="S67" s="41">
        <f t="shared" si="4"/>
        <v>9278.2545454545452</v>
      </c>
    </row>
    <row r="68" spans="1:19">
      <c r="A68" s="5">
        <v>67</v>
      </c>
      <c r="B68" s="5">
        <v>2508310254</v>
      </c>
      <c r="C68" s="5" t="s">
        <v>1648</v>
      </c>
      <c r="D68" s="5" t="s">
        <v>40</v>
      </c>
      <c r="E68" s="5" t="s">
        <v>41</v>
      </c>
      <c r="F68" s="5" t="s">
        <v>42</v>
      </c>
      <c r="G68" s="5" t="s">
        <v>43</v>
      </c>
      <c r="H68" s="5" t="s">
        <v>1634</v>
      </c>
      <c r="I68" s="5">
        <v>202501118</v>
      </c>
      <c r="J68" s="5"/>
      <c r="K68" s="6">
        <v>45900</v>
      </c>
      <c r="L68" s="6">
        <v>45904</v>
      </c>
      <c r="M68" s="5" t="s">
        <v>53</v>
      </c>
      <c r="N68" s="5" t="s">
        <v>54</v>
      </c>
      <c r="O68" s="5" t="s">
        <v>41</v>
      </c>
      <c r="P68" s="30">
        <f t="shared" si="3"/>
        <v>4</v>
      </c>
      <c r="Q68" s="41">
        <v>3771.7454545454548</v>
      </c>
      <c r="R68" s="41">
        <v>0</v>
      </c>
      <c r="S68" s="41">
        <f t="shared" si="4"/>
        <v>-3771.7454545454548</v>
      </c>
    </row>
    <row r="69" spans="1:19">
      <c r="A69" s="5">
        <v>68</v>
      </c>
      <c r="B69" s="5">
        <v>2508311455</v>
      </c>
      <c r="C69" s="5" t="s">
        <v>1649</v>
      </c>
      <c r="D69" s="5" t="s">
        <v>711</v>
      </c>
      <c r="E69" s="5" t="s">
        <v>237</v>
      </c>
      <c r="F69" s="5" t="s">
        <v>71</v>
      </c>
      <c r="G69" s="5" t="s">
        <v>52</v>
      </c>
      <c r="H69" s="5" t="s">
        <v>1634</v>
      </c>
      <c r="I69" s="5">
        <v>202501119</v>
      </c>
      <c r="J69" s="5"/>
      <c r="K69" s="6">
        <v>45900</v>
      </c>
      <c r="L69" s="6">
        <v>45904</v>
      </c>
      <c r="M69" s="5" t="s">
        <v>53</v>
      </c>
      <c r="N69" s="5" t="s">
        <v>54</v>
      </c>
      <c r="O69" s="5" t="s">
        <v>41</v>
      </c>
      <c r="P69" s="30">
        <f t="shared" si="3"/>
        <v>4</v>
      </c>
      <c r="Q69" s="41">
        <v>3771.7454545454548</v>
      </c>
      <c r="R69" s="41">
        <v>8000</v>
      </c>
      <c r="S69" s="41">
        <f t="shared" si="4"/>
        <v>4228.2545454545452</v>
      </c>
    </row>
    <row r="70" spans="1:19">
      <c r="A70" s="5">
        <v>69</v>
      </c>
      <c r="B70" s="5">
        <v>2508311466</v>
      </c>
      <c r="C70" s="5" t="s">
        <v>1650</v>
      </c>
      <c r="D70" s="5" t="s">
        <v>49</v>
      </c>
      <c r="E70" s="5" t="s">
        <v>50</v>
      </c>
      <c r="F70" s="5" t="s">
        <v>51</v>
      </c>
      <c r="G70" s="5" t="s">
        <v>52</v>
      </c>
      <c r="H70" s="5" t="s">
        <v>1634</v>
      </c>
      <c r="I70" s="5">
        <v>202501120</v>
      </c>
      <c r="J70" s="5"/>
      <c r="K70" s="6">
        <v>45900</v>
      </c>
      <c r="L70" s="6">
        <v>45904</v>
      </c>
      <c r="M70" s="5" t="s">
        <v>53</v>
      </c>
      <c r="N70" s="5" t="s">
        <v>54</v>
      </c>
      <c r="O70" s="5" t="s">
        <v>41</v>
      </c>
      <c r="P70" s="30">
        <f t="shared" si="3"/>
        <v>4</v>
      </c>
      <c r="Q70" s="41">
        <v>3771.7454545454548</v>
      </c>
      <c r="R70" s="41">
        <v>5500</v>
      </c>
      <c r="S70" s="41">
        <f t="shared" si="4"/>
        <v>1728.2545454545452</v>
      </c>
    </row>
    <row r="71" spans="1:19">
      <c r="A71" s="5">
        <v>70</v>
      </c>
      <c r="B71" s="5">
        <v>2508311472</v>
      </c>
      <c r="C71" s="5" t="s">
        <v>1651</v>
      </c>
      <c r="D71" s="5" t="s">
        <v>1652</v>
      </c>
      <c r="E71" s="5" t="s">
        <v>1653</v>
      </c>
      <c r="F71" s="5" t="s">
        <v>87</v>
      </c>
      <c r="G71" s="5" t="s">
        <v>75</v>
      </c>
      <c r="H71" s="5" t="s">
        <v>1634</v>
      </c>
      <c r="I71" s="5">
        <v>202501121</v>
      </c>
      <c r="J71" s="5"/>
      <c r="K71" s="6">
        <v>45900</v>
      </c>
      <c r="L71" s="6">
        <v>45904</v>
      </c>
      <c r="M71" s="5" t="s">
        <v>53</v>
      </c>
      <c r="N71" s="5" t="s">
        <v>54</v>
      </c>
      <c r="O71" s="5" t="s">
        <v>41</v>
      </c>
      <c r="P71" s="30">
        <f t="shared" si="3"/>
        <v>4</v>
      </c>
      <c r="Q71" s="41">
        <v>3771.7454545454548</v>
      </c>
      <c r="R71" s="41">
        <v>4500</v>
      </c>
      <c r="S71" s="41">
        <f t="shared" si="4"/>
        <v>728.25454545454522</v>
      </c>
    </row>
    <row r="72" spans="1:19">
      <c r="A72" s="5">
        <v>71</v>
      </c>
      <c r="B72" s="5">
        <v>2508311475</v>
      </c>
      <c r="C72" s="5" t="s">
        <v>1654</v>
      </c>
      <c r="D72" s="5" t="s">
        <v>745</v>
      </c>
      <c r="E72" s="5" t="s">
        <v>1512</v>
      </c>
      <c r="F72" s="5" t="s">
        <v>202</v>
      </c>
      <c r="G72" s="5" t="s">
        <v>75</v>
      </c>
      <c r="H72" s="5" t="s">
        <v>1634</v>
      </c>
      <c r="I72" s="5">
        <v>202501122</v>
      </c>
      <c r="J72" s="5"/>
      <c r="K72" s="6">
        <v>45900</v>
      </c>
      <c r="L72" s="6">
        <v>45904</v>
      </c>
      <c r="M72" s="5" t="s">
        <v>53</v>
      </c>
      <c r="N72" s="5" t="s">
        <v>54</v>
      </c>
      <c r="O72" s="5" t="s">
        <v>41</v>
      </c>
      <c r="P72" s="30">
        <f t="shared" si="3"/>
        <v>4</v>
      </c>
      <c r="Q72" s="41">
        <v>3771.7454545454548</v>
      </c>
      <c r="R72" s="41">
        <v>4900</v>
      </c>
      <c r="S72" s="41">
        <f t="shared" si="4"/>
        <v>1128.2545454545452</v>
      </c>
    </row>
    <row r="73" spans="1:19">
      <c r="A73" s="5">
        <v>72</v>
      </c>
      <c r="B73" s="5">
        <v>2508311483</v>
      </c>
      <c r="C73" s="5" t="s">
        <v>1655</v>
      </c>
      <c r="D73" s="5" t="s">
        <v>83</v>
      </c>
      <c r="E73" s="5" t="s">
        <v>84</v>
      </c>
      <c r="F73" s="5" t="s">
        <v>62</v>
      </c>
      <c r="G73" s="5" t="s">
        <v>43</v>
      </c>
      <c r="H73" s="5" t="s">
        <v>1634</v>
      </c>
      <c r="I73" s="5">
        <v>202501123</v>
      </c>
      <c r="J73" s="5"/>
      <c r="K73" s="6">
        <v>45900</v>
      </c>
      <c r="L73" s="6">
        <v>45904</v>
      </c>
      <c r="M73" s="5" t="s">
        <v>53</v>
      </c>
      <c r="N73" s="5" t="s">
        <v>54</v>
      </c>
      <c r="O73" s="5" t="s">
        <v>41</v>
      </c>
      <c r="P73" s="30">
        <f t="shared" si="3"/>
        <v>4</v>
      </c>
      <c r="Q73" s="41">
        <v>3771.7454545454548</v>
      </c>
      <c r="R73" s="41">
        <v>9000</v>
      </c>
      <c r="S73" s="41">
        <f t="shared" si="4"/>
        <v>5228.2545454545452</v>
      </c>
    </row>
    <row r="74" spans="1:19">
      <c r="A74" s="5">
        <v>73</v>
      </c>
      <c r="B74" s="9">
        <v>2508311492</v>
      </c>
      <c r="C74" s="9" t="s">
        <v>1656</v>
      </c>
      <c r="D74" s="9" t="s">
        <v>1514</v>
      </c>
      <c r="E74" s="9" t="s">
        <v>1657</v>
      </c>
      <c r="F74" s="9" t="s">
        <v>71</v>
      </c>
      <c r="G74" s="9" t="s">
        <v>52</v>
      </c>
      <c r="H74" s="9" t="s">
        <v>1634</v>
      </c>
      <c r="I74" s="9">
        <v>202501124</v>
      </c>
      <c r="J74" s="9"/>
      <c r="K74" s="10">
        <v>45900</v>
      </c>
      <c r="L74" s="10">
        <v>45904</v>
      </c>
      <c r="M74" s="9" t="s">
        <v>53</v>
      </c>
      <c r="N74" s="9" t="s">
        <v>94</v>
      </c>
      <c r="O74" s="9" t="s">
        <v>1658</v>
      </c>
      <c r="P74" s="32">
        <f t="shared" si="3"/>
        <v>4</v>
      </c>
      <c r="Q74" s="11">
        <v>3771.7454545454548</v>
      </c>
      <c r="R74" s="11">
        <v>8500</v>
      </c>
      <c r="S74" s="11">
        <f t="shared" si="4"/>
        <v>4728.2545454545452</v>
      </c>
    </row>
    <row r="75" spans="1:19">
      <c r="A75" s="5">
        <v>74</v>
      </c>
      <c r="B75" s="5">
        <v>2509012138</v>
      </c>
      <c r="C75" s="5" t="s">
        <v>1659</v>
      </c>
      <c r="D75" s="5" t="s">
        <v>136</v>
      </c>
      <c r="E75" s="5" t="s">
        <v>137</v>
      </c>
      <c r="F75" s="5" t="s">
        <v>87</v>
      </c>
      <c r="G75" s="5" t="s">
        <v>52</v>
      </c>
      <c r="H75" s="5" t="s">
        <v>1634</v>
      </c>
      <c r="I75" s="5">
        <v>202501125</v>
      </c>
      <c r="J75" s="5"/>
      <c r="K75" s="6">
        <v>45901</v>
      </c>
      <c r="L75" s="6">
        <v>45904</v>
      </c>
      <c r="M75" s="5" t="s">
        <v>53</v>
      </c>
      <c r="N75" s="5" t="s">
        <v>54</v>
      </c>
      <c r="O75" s="5" t="s">
        <v>41</v>
      </c>
      <c r="P75" s="30">
        <f t="shared" si="3"/>
        <v>3</v>
      </c>
      <c r="Q75" s="41">
        <v>3771.7454545454548</v>
      </c>
      <c r="R75" s="41">
        <v>6000</v>
      </c>
      <c r="S75" s="41">
        <f t="shared" si="4"/>
        <v>2228.2545454545452</v>
      </c>
    </row>
    <row r="76" spans="1:19">
      <c r="A76" s="5">
        <v>75</v>
      </c>
      <c r="B76" s="5">
        <v>2509012143</v>
      </c>
      <c r="C76" s="5" t="s">
        <v>1660</v>
      </c>
      <c r="D76" s="5" t="s">
        <v>64</v>
      </c>
      <c r="E76" s="5" t="s">
        <v>65</v>
      </c>
      <c r="F76" s="5" t="s">
        <v>66</v>
      </c>
      <c r="G76" s="5" t="s">
        <v>52</v>
      </c>
      <c r="H76" s="5" t="s">
        <v>1634</v>
      </c>
      <c r="I76" s="5">
        <v>202501126</v>
      </c>
      <c r="J76" s="5"/>
      <c r="K76" s="6">
        <v>45901</v>
      </c>
      <c r="L76" s="6">
        <v>45904</v>
      </c>
      <c r="M76" s="5" t="s">
        <v>53</v>
      </c>
      <c r="N76" s="5" t="s">
        <v>54</v>
      </c>
      <c r="O76" s="5" t="s">
        <v>41</v>
      </c>
      <c r="P76" s="30">
        <f t="shared" si="3"/>
        <v>3</v>
      </c>
      <c r="Q76" s="41">
        <v>3771.7454545454548</v>
      </c>
      <c r="R76" s="41">
        <v>5500</v>
      </c>
      <c r="S76" s="41">
        <f t="shared" si="4"/>
        <v>1728.2545454545452</v>
      </c>
    </row>
    <row r="77" spans="1:19">
      <c r="A77" s="5">
        <v>76</v>
      </c>
      <c r="B77" s="5">
        <v>2509012156</v>
      </c>
      <c r="C77" s="5" t="s">
        <v>1661</v>
      </c>
      <c r="D77" s="5" t="s">
        <v>1662</v>
      </c>
      <c r="E77" s="5" t="s">
        <v>1318</v>
      </c>
      <c r="F77" s="5" t="s">
        <v>58</v>
      </c>
      <c r="G77" s="5" t="s">
        <v>52</v>
      </c>
      <c r="H77" s="5" t="s">
        <v>1634</v>
      </c>
      <c r="I77" s="5">
        <v>202501127</v>
      </c>
      <c r="J77" s="5"/>
      <c r="K77" s="6">
        <v>45901</v>
      </c>
      <c r="L77" s="6">
        <v>45904</v>
      </c>
      <c r="M77" s="5" t="s">
        <v>53</v>
      </c>
      <c r="N77" s="5" t="s">
        <v>54</v>
      </c>
      <c r="O77" s="5" t="s">
        <v>41</v>
      </c>
      <c r="P77" s="30">
        <f t="shared" si="3"/>
        <v>3</v>
      </c>
      <c r="Q77" s="41">
        <v>3771.7454545454548</v>
      </c>
      <c r="R77" s="41">
        <v>5500</v>
      </c>
      <c r="S77" s="41">
        <f t="shared" si="4"/>
        <v>1728.2545454545452</v>
      </c>
    </row>
    <row r="78" spans="1:19">
      <c r="A78" s="5">
        <v>77</v>
      </c>
      <c r="B78" s="5">
        <v>2509012159</v>
      </c>
      <c r="C78" s="5" t="s">
        <v>1663</v>
      </c>
      <c r="D78" s="5" t="s">
        <v>64</v>
      </c>
      <c r="E78" s="5" t="s">
        <v>65</v>
      </c>
      <c r="F78" s="5" t="s">
        <v>66</v>
      </c>
      <c r="G78" s="5" t="s">
        <v>52</v>
      </c>
      <c r="H78" s="5" t="s">
        <v>1634</v>
      </c>
      <c r="I78" s="5">
        <v>202501128</v>
      </c>
      <c r="J78" s="5"/>
      <c r="K78" s="6">
        <v>45901</v>
      </c>
      <c r="L78" s="6">
        <v>45904</v>
      </c>
      <c r="M78" s="5" t="s">
        <v>53</v>
      </c>
      <c r="N78" s="5" t="s">
        <v>54</v>
      </c>
      <c r="O78" s="5" t="s">
        <v>41</v>
      </c>
      <c r="P78" s="30">
        <f t="shared" si="3"/>
        <v>3</v>
      </c>
      <c r="Q78" s="41">
        <v>3771.7454545454548</v>
      </c>
      <c r="R78" s="41">
        <v>5500</v>
      </c>
      <c r="S78" s="41">
        <f t="shared" si="4"/>
        <v>1728.2545454545452</v>
      </c>
    </row>
    <row r="79" spans="1:19">
      <c r="A79" s="5">
        <v>78</v>
      </c>
      <c r="B79" s="5">
        <v>2509012163</v>
      </c>
      <c r="C79" s="5" t="s">
        <v>1664</v>
      </c>
      <c r="D79" s="5" t="s">
        <v>393</v>
      </c>
      <c r="E79" s="5" t="s">
        <v>394</v>
      </c>
      <c r="F79" s="5" t="s">
        <v>202</v>
      </c>
      <c r="G79" s="5" t="s">
        <v>52</v>
      </c>
      <c r="H79" s="5" t="s">
        <v>1634</v>
      </c>
      <c r="I79" s="5">
        <v>202501129</v>
      </c>
      <c r="J79" s="5"/>
      <c r="K79" s="6">
        <v>45901</v>
      </c>
      <c r="L79" s="6">
        <v>45904</v>
      </c>
      <c r="M79" s="5" t="s">
        <v>53</v>
      </c>
      <c r="N79" s="5" t="s">
        <v>54</v>
      </c>
      <c r="O79" s="5" t="s">
        <v>41</v>
      </c>
      <c r="P79" s="30">
        <f t="shared" si="3"/>
        <v>3</v>
      </c>
      <c r="Q79" s="41">
        <v>3771.7454545454548</v>
      </c>
      <c r="R79" s="41">
        <v>8000</v>
      </c>
      <c r="S79" s="41">
        <f t="shared" si="4"/>
        <v>4228.2545454545452</v>
      </c>
    </row>
    <row r="80" spans="1:19">
      <c r="A80" s="5">
        <v>79</v>
      </c>
      <c r="B80" s="5" t="s">
        <v>1239</v>
      </c>
      <c r="C80" s="5"/>
      <c r="D80" s="5"/>
      <c r="E80" s="5"/>
      <c r="F80" s="5"/>
      <c r="G80" s="5" t="s">
        <v>52</v>
      </c>
      <c r="H80" s="5"/>
      <c r="I80" s="5"/>
      <c r="J80" s="5"/>
      <c r="K80" s="5"/>
      <c r="L80" s="5"/>
      <c r="M80" s="5"/>
      <c r="N80" s="5"/>
      <c r="O80" s="5"/>
      <c r="P80" s="5"/>
      <c r="Q80" s="41">
        <v>3771.7454545454548</v>
      </c>
      <c r="R80" s="41">
        <v>0</v>
      </c>
      <c r="S80" s="41">
        <f t="shared" si="4"/>
        <v>-3771.7454545454548</v>
      </c>
    </row>
    <row r="81" spans="1:19">
      <c r="A81" s="5">
        <v>80</v>
      </c>
      <c r="B81" s="5" t="s">
        <v>1240</v>
      </c>
      <c r="C81" s="5"/>
      <c r="D81" s="5"/>
      <c r="E81" s="5"/>
      <c r="F81" s="5"/>
      <c r="G81" s="5" t="s">
        <v>52</v>
      </c>
      <c r="H81" s="5"/>
      <c r="I81" s="5"/>
      <c r="J81" s="5"/>
      <c r="K81" s="5"/>
      <c r="L81" s="5"/>
      <c r="M81" s="5"/>
      <c r="N81" s="5"/>
      <c r="O81" s="5"/>
      <c r="P81" s="5"/>
      <c r="Q81" s="41">
        <v>3771.7454545454548</v>
      </c>
      <c r="R81" s="41">
        <v>0</v>
      </c>
      <c r="S81" s="41">
        <f t="shared" si="4"/>
        <v>-3771.7454545454548</v>
      </c>
    </row>
    <row r="82" spans="1:19">
      <c r="A82" s="5">
        <v>81</v>
      </c>
      <c r="B82" s="13">
        <v>2508292877</v>
      </c>
      <c r="C82" s="13" t="s">
        <v>1601</v>
      </c>
      <c r="D82" s="13" t="s">
        <v>564</v>
      </c>
      <c r="E82" s="13" t="s">
        <v>1443</v>
      </c>
      <c r="F82" s="13" t="s">
        <v>71</v>
      </c>
      <c r="G82" s="13" t="s">
        <v>52</v>
      </c>
      <c r="H82" s="13" t="s">
        <v>1665</v>
      </c>
      <c r="I82" s="13" t="s">
        <v>1666</v>
      </c>
      <c r="J82" s="13"/>
      <c r="K82" s="14">
        <v>45898</v>
      </c>
      <c r="L82" s="14">
        <v>45906</v>
      </c>
      <c r="M82" s="13" t="s">
        <v>45</v>
      </c>
      <c r="N82" s="13" t="s">
        <v>46</v>
      </c>
      <c r="O82" s="13" t="s">
        <v>1667</v>
      </c>
      <c r="P82" s="35">
        <f t="shared" ref="P82:P109" si="5">L82-K82</f>
        <v>8</v>
      </c>
      <c r="Q82" s="15">
        <v>3211.4545454545455</v>
      </c>
      <c r="R82" s="15">
        <v>0</v>
      </c>
      <c r="S82" s="15">
        <f t="shared" si="4"/>
        <v>-3211.4545454545455</v>
      </c>
    </row>
    <row r="83" spans="1:19">
      <c r="A83" s="5">
        <v>82</v>
      </c>
      <c r="B83" s="22">
        <v>2508292893</v>
      </c>
      <c r="C83" s="22" t="s">
        <v>1606</v>
      </c>
      <c r="D83" s="22" t="s">
        <v>393</v>
      </c>
      <c r="E83" s="22" t="s">
        <v>394</v>
      </c>
      <c r="F83" s="22" t="s">
        <v>202</v>
      </c>
      <c r="G83" s="22" t="s">
        <v>43</v>
      </c>
      <c r="H83" s="22" t="s">
        <v>1665</v>
      </c>
      <c r="I83" s="22" t="s">
        <v>1668</v>
      </c>
      <c r="J83" s="22"/>
      <c r="K83" s="23">
        <v>45898</v>
      </c>
      <c r="L83" s="23">
        <v>45906</v>
      </c>
      <c r="M83" s="22" t="s">
        <v>53</v>
      </c>
      <c r="N83" s="22" t="s">
        <v>54</v>
      </c>
      <c r="O83" s="22" t="s">
        <v>41</v>
      </c>
      <c r="P83" s="34">
        <f t="shared" si="5"/>
        <v>8</v>
      </c>
      <c r="Q83" s="24">
        <v>3211.4545454545455</v>
      </c>
      <c r="R83" s="24">
        <v>0</v>
      </c>
      <c r="S83" s="24">
        <f t="shared" si="4"/>
        <v>-3211.4545454545455</v>
      </c>
    </row>
    <row r="84" spans="1:19">
      <c r="A84" s="5">
        <v>83</v>
      </c>
      <c r="B84" s="13">
        <v>2508311492</v>
      </c>
      <c r="C84" s="13" t="s">
        <v>1656</v>
      </c>
      <c r="D84" s="13" t="s">
        <v>1514</v>
      </c>
      <c r="E84" s="13" t="s">
        <v>1657</v>
      </c>
      <c r="F84" s="13" t="s">
        <v>71</v>
      </c>
      <c r="G84" s="13" t="s">
        <v>52</v>
      </c>
      <c r="H84" s="13" t="s">
        <v>1665</v>
      </c>
      <c r="I84" s="13" t="s">
        <v>1669</v>
      </c>
      <c r="J84" s="13"/>
      <c r="K84" s="14">
        <v>45900</v>
      </c>
      <c r="L84" s="14">
        <v>45906</v>
      </c>
      <c r="M84" s="13" t="s">
        <v>45</v>
      </c>
      <c r="N84" s="13" t="s">
        <v>46</v>
      </c>
      <c r="O84" s="13" t="s">
        <v>1667</v>
      </c>
      <c r="P84" s="35">
        <f t="shared" si="5"/>
        <v>6</v>
      </c>
      <c r="Q84" s="15">
        <v>3211.4545454545455</v>
      </c>
      <c r="R84" s="15">
        <v>0</v>
      </c>
      <c r="S84" s="15">
        <f t="shared" si="4"/>
        <v>-3211.4545454545455</v>
      </c>
    </row>
    <row r="85" spans="1:19">
      <c r="A85" s="5">
        <v>84</v>
      </c>
      <c r="B85" s="5">
        <v>2509012166</v>
      </c>
      <c r="C85" s="5" t="s">
        <v>1670</v>
      </c>
      <c r="D85" s="5" t="s">
        <v>69</v>
      </c>
      <c r="E85" s="5" t="s">
        <v>502</v>
      </c>
      <c r="F85" s="5" t="s">
        <v>71</v>
      </c>
      <c r="G85" s="5" t="s">
        <v>43</v>
      </c>
      <c r="H85" s="5" t="s">
        <v>1665</v>
      </c>
      <c r="I85" s="5">
        <v>202501130</v>
      </c>
      <c r="J85" s="5"/>
      <c r="K85" s="6">
        <v>45901</v>
      </c>
      <c r="L85" s="6">
        <v>45906</v>
      </c>
      <c r="M85" s="5" t="s">
        <v>53</v>
      </c>
      <c r="N85" s="5" t="s">
        <v>54</v>
      </c>
      <c r="O85" s="5" t="s">
        <v>41</v>
      </c>
      <c r="P85" s="30">
        <f t="shared" si="5"/>
        <v>5</v>
      </c>
      <c r="Q85" s="41">
        <v>3211.4545454545455</v>
      </c>
      <c r="R85" s="41">
        <v>12000</v>
      </c>
      <c r="S85" s="41">
        <f t="shared" si="4"/>
        <v>8788.545454545454</v>
      </c>
    </row>
    <row r="86" spans="1:19">
      <c r="A86" s="5">
        <v>85</v>
      </c>
      <c r="B86" s="5">
        <v>2509012170</v>
      </c>
      <c r="C86" s="5" t="s">
        <v>1671</v>
      </c>
      <c r="D86" s="5" t="s">
        <v>309</v>
      </c>
      <c r="E86" s="5" t="s">
        <v>1597</v>
      </c>
      <c r="F86" s="5" t="s">
        <v>51</v>
      </c>
      <c r="G86" s="5" t="s">
        <v>52</v>
      </c>
      <c r="H86" s="5" t="s">
        <v>1665</v>
      </c>
      <c r="I86" s="5">
        <v>202501131</v>
      </c>
      <c r="J86" s="5"/>
      <c r="K86" s="6">
        <v>45901</v>
      </c>
      <c r="L86" s="6">
        <v>45906</v>
      </c>
      <c r="M86" s="5" t="s">
        <v>53</v>
      </c>
      <c r="N86" s="5" t="s">
        <v>54</v>
      </c>
      <c r="O86" s="5" t="s">
        <v>41</v>
      </c>
      <c r="P86" s="30">
        <f t="shared" si="5"/>
        <v>5</v>
      </c>
      <c r="Q86" s="41">
        <v>3211.4545454545455</v>
      </c>
      <c r="R86" s="41">
        <v>5500</v>
      </c>
      <c r="S86" s="41">
        <f t="shared" si="4"/>
        <v>2288.5454545454545</v>
      </c>
    </row>
    <row r="87" spans="1:19">
      <c r="A87" s="5">
        <v>86</v>
      </c>
      <c r="B87" s="5">
        <v>2509012174</v>
      </c>
      <c r="C87" s="5" t="s">
        <v>1672</v>
      </c>
      <c r="D87" s="5" t="s">
        <v>73</v>
      </c>
      <c r="E87" s="5" t="s">
        <v>232</v>
      </c>
      <c r="F87" s="5" t="s">
        <v>71</v>
      </c>
      <c r="G87" s="5" t="s">
        <v>52</v>
      </c>
      <c r="H87" s="5" t="s">
        <v>1665</v>
      </c>
      <c r="I87" s="5">
        <v>202501132</v>
      </c>
      <c r="J87" s="5"/>
      <c r="K87" s="6">
        <v>45901</v>
      </c>
      <c r="L87" s="6">
        <v>45906</v>
      </c>
      <c r="M87" s="5" t="s">
        <v>53</v>
      </c>
      <c r="N87" s="5" t="s">
        <v>54</v>
      </c>
      <c r="O87" s="5" t="s">
        <v>41</v>
      </c>
      <c r="P87" s="30">
        <f t="shared" si="5"/>
        <v>5</v>
      </c>
      <c r="Q87" s="41">
        <v>3211.4545454545455</v>
      </c>
      <c r="R87" s="41">
        <v>8000</v>
      </c>
      <c r="S87" s="41">
        <f t="shared" si="4"/>
        <v>4788.545454545454</v>
      </c>
    </row>
    <row r="88" spans="1:19">
      <c r="A88" s="5">
        <v>87</v>
      </c>
      <c r="B88" s="9">
        <v>2509012178</v>
      </c>
      <c r="C88" s="9" t="s">
        <v>1673</v>
      </c>
      <c r="D88" s="9" t="s">
        <v>1261</v>
      </c>
      <c r="E88" s="9" t="s">
        <v>1262</v>
      </c>
      <c r="F88" s="9" t="s">
        <v>71</v>
      </c>
      <c r="G88" s="9" t="s">
        <v>75</v>
      </c>
      <c r="H88" s="9" t="s">
        <v>1665</v>
      </c>
      <c r="I88" s="9">
        <v>202501133</v>
      </c>
      <c r="J88" s="9"/>
      <c r="K88" s="10">
        <v>45901</v>
      </c>
      <c r="L88" s="10">
        <v>45906</v>
      </c>
      <c r="M88" s="9" t="s">
        <v>45</v>
      </c>
      <c r="N88" s="9" t="s">
        <v>94</v>
      </c>
      <c r="O88" s="9" t="s">
        <v>1667</v>
      </c>
      <c r="P88" s="32">
        <f t="shared" si="5"/>
        <v>5</v>
      </c>
      <c r="Q88" s="11">
        <v>3211.4545454545455</v>
      </c>
      <c r="R88" s="11">
        <v>4500</v>
      </c>
      <c r="S88" s="11">
        <f t="shared" si="4"/>
        <v>1288.5454545454545</v>
      </c>
    </row>
    <row r="89" spans="1:19">
      <c r="A89" s="5">
        <v>88</v>
      </c>
      <c r="B89" s="5">
        <v>2509012184</v>
      </c>
      <c r="C89" s="5" t="s">
        <v>1674</v>
      </c>
      <c r="D89" s="5" t="s">
        <v>564</v>
      </c>
      <c r="E89" s="5" t="s">
        <v>565</v>
      </c>
      <c r="F89" s="5" t="s">
        <v>71</v>
      </c>
      <c r="G89" s="5" t="s">
        <v>75</v>
      </c>
      <c r="H89" s="5" t="s">
        <v>1665</v>
      </c>
      <c r="I89" s="5">
        <v>202501134</v>
      </c>
      <c r="J89" s="5"/>
      <c r="K89" s="6">
        <v>45901</v>
      </c>
      <c r="L89" s="6">
        <v>45906</v>
      </c>
      <c r="M89" s="5" t="s">
        <v>53</v>
      </c>
      <c r="N89" s="5" t="s">
        <v>54</v>
      </c>
      <c r="O89" s="5" t="s">
        <v>41</v>
      </c>
      <c r="P89" s="30">
        <f t="shared" si="5"/>
        <v>5</v>
      </c>
      <c r="Q89" s="41">
        <v>3211.4545454545455</v>
      </c>
      <c r="R89" s="41">
        <v>6500</v>
      </c>
      <c r="S89" s="41">
        <f t="shared" si="4"/>
        <v>3288.5454545454545</v>
      </c>
    </row>
    <row r="90" spans="1:19">
      <c r="A90" s="5">
        <v>89</v>
      </c>
      <c r="B90" s="5">
        <v>2509012191</v>
      </c>
      <c r="C90" s="5" t="s">
        <v>1675</v>
      </c>
      <c r="D90" s="5" t="s">
        <v>444</v>
      </c>
      <c r="E90" s="5" t="s">
        <v>670</v>
      </c>
      <c r="F90" s="5" t="s">
        <v>109</v>
      </c>
      <c r="G90" s="5" t="s">
        <v>52</v>
      </c>
      <c r="H90" s="5" t="s">
        <v>1665</v>
      </c>
      <c r="I90" s="5">
        <v>202501135</v>
      </c>
      <c r="J90" s="5"/>
      <c r="K90" s="6">
        <v>45901</v>
      </c>
      <c r="L90" s="6">
        <v>45906</v>
      </c>
      <c r="M90" s="5" t="s">
        <v>53</v>
      </c>
      <c r="N90" s="5" t="s">
        <v>54</v>
      </c>
      <c r="O90" s="5" t="s">
        <v>41</v>
      </c>
      <c r="P90" s="30">
        <f t="shared" si="5"/>
        <v>5</v>
      </c>
      <c r="Q90" s="41">
        <v>3211.4545454545455</v>
      </c>
      <c r="R90" s="41">
        <v>5950</v>
      </c>
      <c r="S90" s="41">
        <f t="shared" si="4"/>
        <v>2738.5454545454545</v>
      </c>
    </row>
    <row r="91" spans="1:19">
      <c r="A91" s="5">
        <v>90</v>
      </c>
      <c r="B91" s="5">
        <v>2509012197</v>
      </c>
      <c r="C91" s="5" t="s">
        <v>1676</v>
      </c>
      <c r="D91" s="5" t="s">
        <v>153</v>
      </c>
      <c r="E91" s="5" t="s">
        <v>154</v>
      </c>
      <c r="F91" s="5" t="s">
        <v>141</v>
      </c>
      <c r="G91" s="5" t="s">
        <v>52</v>
      </c>
      <c r="H91" s="5" t="s">
        <v>1665</v>
      </c>
      <c r="I91" s="5">
        <v>202501136</v>
      </c>
      <c r="J91" s="5"/>
      <c r="K91" s="6">
        <v>45901</v>
      </c>
      <c r="L91" s="6">
        <v>45906</v>
      </c>
      <c r="M91" s="5" t="s">
        <v>53</v>
      </c>
      <c r="N91" s="5" t="s">
        <v>54</v>
      </c>
      <c r="O91" s="5" t="s">
        <v>41</v>
      </c>
      <c r="P91" s="30">
        <f t="shared" si="5"/>
        <v>5</v>
      </c>
      <c r="Q91" s="41">
        <v>3211.4545454545455</v>
      </c>
      <c r="R91" s="41">
        <v>5500</v>
      </c>
      <c r="S91" s="41">
        <f t="shared" si="4"/>
        <v>2288.5454545454545</v>
      </c>
    </row>
    <row r="92" spans="1:19">
      <c r="A92" s="5">
        <v>91</v>
      </c>
      <c r="B92" s="5">
        <v>2509012204</v>
      </c>
      <c r="C92" s="5" t="s">
        <v>1677</v>
      </c>
      <c r="D92" s="5" t="s">
        <v>86</v>
      </c>
      <c r="E92" s="5" t="s">
        <v>270</v>
      </c>
      <c r="F92" s="5" t="s">
        <v>87</v>
      </c>
      <c r="G92" s="5" t="s">
        <v>52</v>
      </c>
      <c r="H92" s="5" t="s">
        <v>1665</v>
      </c>
      <c r="I92" s="5">
        <v>202501137</v>
      </c>
      <c r="J92" s="5"/>
      <c r="K92" s="6">
        <v>45901</v>
      </c>
      <c r="L92" s="6">
        <v>45906</v>
      </c>
      <c r="M92" s="5" t="s">
        <v>53</v>
      </c>
      <c r="N92" s="5" t="s">
        <v>54</v>
      </c>
      <c r="O92" s="5" t="s">
        <v>41</v>
      </c>
      <c r="P92" s="30">
        <f t="shared" si="5"/>
        <v>5</v>
      </c>
      <c r="Q92" s="41">
        <v>3211.4545454545455</v>
      </c>
      <c r="R92" s="41">
        <v>6000</v>
      </c>
      <c r="S92" s="41">
        <f t="shared" si="4"/>
        <v>2788.5454545454545</v>
      </c>
    </row>
    <row r="93" spans="1:19">
      <c r="A93" s="5">
        <v>92</v>
      </c>
      <c r="B93" s="5">
        <v>2509023225</v>
      </c>
      <c r="C93" s="5" t="s">
        <v>1678</v>
      </c>
      <c r="D93" s="5" t="s">
        <v>296</v>
      </c>
      <c r="E93" s="5" t="s">
        <v>1679</v>
      </c>
      <c r="F93" s="5" t="s">
        <v>79</v>
      </c>
      <c r="G93" s="5" t="s">
        <v>43</v>
      </c>
      <c r="H93" s="5" t="s">
        <v>1665</v>
      </c>
      <c r="I93" s="5">
        <v>202501138</v>
      </c>
      <c r="J93" s="5"/>
      <c r="K93" s="6">
        <v>45902</v>
      </c>
      <c r="L93" s="6">
        <v>45906</v>
      </c>
      <c r="M93" s="5" t="s">
        <v>53</v>
      </c>
      <c r="N93" s="5" t="s">
        <v>54</v>
      </c>
      <c r="O93" s="5" t="s">
        <v>41</v>
      </c>
      <c r="P93" s="30">
        <f t="shared" si="5"/>
        <v>4</v>
      </c>
      <c r="Q93" s="41">
        <v>3211.4545454545455</v>
      </c>
      <c r="R93" s="41">
        <v>14500</v>
      </c>
      <c r="S93" s="41">
        <f t="shared" si="4"/>
        <v>11288.545454545454</v>
      </c>
    </row>
    <row r="94" spans="1:19">
      <c r="A94" s="5">
        <v>93</v>
      </c>
      <c r="B94" s="5">
        <v>2509023233</v>
      </c>
      <c r="C94" s="5" t="s">
        <v>1680</v>
      </c>
      <c r="D94" s="5" t="s">
        <v>733</v>
      </c>
      <c r="E94" s="5" t="s">
        <v>1027</v>
      </c>
      <c r="F94" s="5" t="s">
        <v>51</v>
      </c>
      <c r="G94" s="5" t="s">
        <v>52</v>
      </c>
      <c r="H94" s="5" t="s">
        <v>1665</v>
      </c>
      <c r="I94" s="5">
        <v>202501139</v>
      </c>
      <c r="J94" s="5"/>
      <c r="K94" s="6">
        <v>45902</v>
      </c>
      <c r="L94" s="6">
        <v>45906</v>
      </c>
      <c r="M94" s="5" t="s">
        <v>53</v>
      </c>
      <c r="N94" s="5" t="s">
        <v>54</v>
      </c>
      <c r="O94" s="5" t="s">
        <v>41</v>
      </c>
      <c r="P94" s="30">
        <f t="shared" si="5"/>
        <v>4</v>
      </c>
      <c r="Q94" s="41">
        <v>3211.4545454545455</v>
      </c>
      <c r="R94" s="41">
        <v>5300</v>
      </c>
      <c r="S94" s="41">
        <f t="shared" si="4"/>
        <v>2088.5454545454545</v>
      </c>
    </row>
    <row r="95" spans="1:19">
      <c r="A95" s="5">
        <v>94</v>
      </c>
      <c r="B95" s="9">
        <v>2509023242</v>
      </c>
      <c r="C95" s="9" t="s">
        <v>1681</v>
      </c>
      <c r="D95" s="9" t="s">
        <v>810</v>
      </c>
      <c r="E95" s="9" t="s">
        <v>1682</v>
      </c>
      <c r="F95" s="9" t="s">
        <v>457</v>
      </c>
      <c r="G95" s="9" t="s">
        <v>52</v>
      </c>
      <c r="H95" s="9" t="s">
        <v>1665</v>
      </c>
      <c r="I95" s="9">
        <v>202501140</v>
      </c>
      <c r="J95" s="9"/>
      <c r="K95" s="10">
        <v>45902</v>
      </c>
      <c r="L95" s="10">
        <v>45906</v>
      </c>
      <c r="M95" s="9" t="s">
        <v>45</v>
      </c>
      <c r="N95" s="9" t="s">
        <v>94</v>
      </c>
      <c r="O95" s="9" t="s">
        <v>1667</v>
      </c>
      <c r="P95" s="32">
        <f t="shared" si="5"/>
        <v>4</v>
      </c>
      <c r="Q95" s="11">
        <v>3211.4545454545455</v>
      </c>
      <c r="R95" s="11">
        <v>5200</v>
      </c>
      <c r="S95" s="11">
        <f t="shared" si="4"/>
        <v>1988.5454545454545</v>
      </c>
    </row>
    <row r="96" spans="1:19">
      <c r="A96" s="5">
        <v>95</v>
      </c>
      <c r="B96" s="5">
        <v>2509023244</v>
      </c>
      <c r="C96" s="5" t="s">
        <v>1683</v>
      </c>
      <c r="D96" s="5" t="s">
        <v>810</v>
      </c>
      <c r="E96" s="5" t="s">
        <v>1684</v>
      </c>
      <c r="F96" s="5" t="s">
        <v>457</v>
      </c>
      <c r="G96" s="5" t="s">
        <v>52</v>
      </c>
      <c r="H96" s="5" t="s">
        <v>1665</v>
      </c>
      <c r="I96" s="5">
        <v>202501141</v>
      </c>
      <c r="J96" s="5"/>
      <c r="K96" s="6">
        <v>45902</v>
      </c>
      <c r="L96" s="6">
        <v>45906</v>
      </c>
      <c r="M96" s="5" t="s">
        <v>53</v>
      </c>
      <c r="N96" s="5" t="s">
        <v>54</v>
      </c>
      <c r="O96" s="5" t="s">
        <v>41</v>
      </c>
      <c r="P96" s="30">
        <f t="shared" si="5"/>
        <v>4</v>
      </c>
      <c r="Q96" s="41">
        <v>3211.4545454545455</v>
      </c>
      <c r="R96" s="41">
        <v>5200</v>
      </c>
      <c r="S96" s="41">
        <f t="shared" si="4"/>
        <v>1988.5454545454545</v>
      </c>
    </row>
    <row r="97" spans="1:19">
      <c r="A97" s="5">
        <v>96</v>
      </c>
      <c r="B97" s="5">
        <v>2509023247</v>
      </c>
      <c r="C97" s="5" t="s">
        <v>1685</v>
      </c>
      <c r="D97" s="5" t="s">
        <v>309</v>
      </c>
      <c r="E97" s="5" t="s">
        <v>1597</v>
      </c>
      <c r="F97" s="5" t="s">
        <v>51</v>
      </c>
      <c r="G97" s="5" t="s">
        <v>52</v>
      </c>
      <c r="H97" s="5" t="s">
        <v>1665</v>
      </c>
      <c r="I97" s="5">
        <v>202501142</v>
      </c>
      <c r="J97" s="5"/>
      <c r="K97" s="6">
        <v>45902</v>
      </c>
      <c r="L97" s="6">
        <v>45906</v>
      </c>
      <c r="M97" s="5" t="s">
        <v>53</v>
      </c>
      <c r="N97" s="5" t="s">
        <v>54</v>
      </c>
      <c r="O97" s="5" t="s">
        <v>41</v>
      </c>
      <c r="P97" s="30">
        <f t="shared" si="5"/>
        <v>4</v>
      </c>
      <c r="Q97" s="41">
        <v>3211.4545454545455</v>
      </c>
      <c r="R97" s="41">
        <v>5500</v>
      </c>
      <c r="S97" s="41">
        <f t="shared" si="4"/>
        <v>2288.5454545454545</v>
      </c>
    </row>
    <row r="98" spans="1:19">
      <c r="A98" s="5">
        <v>97</v>
      </c>
      <c r="B98" s="5">
        <v>2509020580</v>
      </c>
      <c r="C98" s="5" t="s">
        <v>1686</v>
      </c>
      <c r="D98" s="5" t="s">
        <v>40</v>
      </c>
      <c r="E98" s="5" t="s">
        <v>41</v>
      </c>
      <c r="F98" s="5" t="s">
        <v>42</v>
      </c>
      <c r="G98" s="5" t="s">
        <v>75</v>
      </c>
      <c r="H98" s="5" t="s">
        <v>1665</v>
      </c>
      <c r="I98" s="5">
        <v>202501143</v>
      </c>
      <c r="J98" s="5"/>
      <c r="K98" s="6">
        <v>45902</v>
      </c>
      <c r="L98" s="6">
        <v>45906</v>
      </c>
      <c r="M98" s="5" t="s">
        <v>53</v>
      </c>
      <c r="N98" s="5" t="s">
        <v>54</v>
      </c>
      <c r="O98" s="5" t="s">
        <v>41</v>
      </c>
      <c r="P98" s="30">
        <f t="shared" si="5"/>
        <v>4</v>
      </c>
      <c r="Q98" s="41">
        <v>3211.4545454545455</v>
      </c>
      <c r="R98" s="41">
        <v>6500</v>
      </c>
      <c r="S98" s="41">
        <f t="shared" si="4"/>
        <v>3288.5454545454545</v>
      </c>
    </row>
    <row r="99" spans="1:19">
      <c r="A99" s="5">
        <v>98</v>
      </c>
      <c r="B99" s="5">
        <v>2509020580</v>
      </c>
      <c r="C99" s="5" t="s">
        <v>1686</v>
      </c>
      <c r="D99" s="5" t="s">
        <v>40</v>
      </c>
      <c r="E99" s="5" t="s">
        <v>41</v>
      </c>
      <c r="F99" s="5" t="s">
        <v>42</v>
      </c>
      <c r="G99" s="5" t="s">
        <v>75</v>
      </c>
      <c r="H99" s="5" t="s">
        <v>1665</v>
      </c>
      <c r="I99" s="5">
        <v>202501144</v>
      </c>
      <c r="J99" s="5"/>
      <c r="K99" s="6">
        <v>45902</v>
      </c>
      <c r="L99" s="6">
        <v>45906</v>
      </c>
      <c r="M99" s="5" t="s">
        <v>53</v>
      </c>
      <c r="N99" s="5" t="s">
        <v>54</v>
      </c>
      <c r="O99" s="5" t="s">
        <v>41</v>
      </c>
      <c r="P99" s="30">
        <f t="shared" si="5"/>
        <v>4</v>
      </c>
      <c r="Q99" s="41">
        <v>3211.4545454545455</v>
      </c>
      <c r="R99" s="41">
        <v>0</v>
      </c>
      <c r="S99" s="41">
        <f t="shared" si="4"/>
        <v>-3211.4545454545455</v>
      </c>
    </row>
    <row r="100" spans="1:19">
      <c r="A100" s="5">
        <v>99</v>
      </c>
      <c r="B100" s="5">
        <v>2509020609</v>
      </c>
      <c r="C100" s="5" t="s">
        <v>1687</v>
      </c>
      <c r="D100" s="5" t="s">
        <v>40</v>
      </c>
      <c r="E100" s="5" t="s">
        <v>41</v>
      </c>
      <c r="F100" s="5" t="s">
        <v>42</v>
      </c>
      <c r="G100" s="5" t="s">
        <v>75</v>
      </c>
      <c r="H100" s="5" t="s">
        <v>1665</v>
      </c>
      <c r="I100" s="5">
        <v>202501145</v>
      </c>
      <c r="J100" s="5"/>
      <c r="K100" s="6">
        <v>45902</v>
      </c>
      <c r="L100" s="6">
        <v>45906</v>
      </c>
      <c r="M100" s="5" t="s">
        <v>53</v>
      </c>
      <c r="N100" s="5" t="s">
        <v>54</v>
      </c>
      <c r="O100" s="5" t="s">
        <v>41</v>
      </c>
      <c r="P100" s="30">
        <f t="shared" si="5"/>
        <v>4</v>
      </c>
      <c r="Q100" s="41">
        <v>3211.4545454545455</v>
      </c>
      <c r="R100" s="41">
        <v>6500</v>
      </c>
      <c r="S100" s="41">
        <f t="shared" si="4"/>
        <v>3288.5454545454545</v>
      </c>
    </row>
    <row r="101" spans="1:19">
      <c r="A101" s="5">
        <v>100</v>
      </c>
      <c r="B101" s="5">
        <v>2509020609</v>
      </c>
      <c r="C101" s="5" t="s">
        <v>1687</v>
      </c>
      <c r="D101" s="5" t="s">
        <v>40</v>
      </c>
      <c r="E101" s="5" t="s">
        <v>41</v>
      </c>
      <c r="F101" s="5" t="s">
        <v>42</v>
      </c>
      <c r="G101" s="5" t="s">
        <v>75</v>
      </c>
      <c r="H101" s="5" t="s">
        <v>1665</v>
      </c>
      <c r="I101" s="5">
        <v>202501146</v>
      </c>
      <c r="J101" s="5"/>
      <c r="K101" s="6">
        <v>45902</v>
      </c>
      <c r="L101" s="6">
        <v>45906</v>
      </c>
      <c r="M101" s="5" t="s">
        <v>53</v>
      </c>
      <c r="N101" s="5" t="s">
        <v>54</v>
      </c>
      <c r="O101" s="5" t="s">
        <v>41</v>
      </c>
      <c r="P101" s="30">
        <f t="shared" si="5"/>
        <v>4</v>
      </c>
      <c r="Q101" s="41">
        <v>3211.4545454545455</v>
      </c>
      <c r="R101" s="41">
        <v>0</v>
      </c>
      <c r="S101" s="41">
        <f t="shared" si="4"/>
        <v>-3211.4545454545455</v>
      </c>
    </row>
    <row r="102" spans="1:19">
      <c r="A102" s="5">
        <v>101</v>
      </c>
      <c r="B102" s="5">
        <v>2509020598</v>
      </c>
      <c r="C102" s="5" t="s">
        <v>1688</v>
      </c>
      <c r="D102" s="5" t="s">
        <v>40</v>
      </c>
      <c r="E102" s="5" t="s">
        <v>41</v>
      </c>
      <c r="F102" s="5" t="s">
        <v>42</v>
      </c>
      <c r="G102" s="5" t="s">
        <v>75</v>
      </c>
      <c r="H102" s="5" t="s">
        <v>1665</v>
      </c>
      <c r="I102" s="5">
        <v>202501147</v>
      </c>
      <c r="J102" s="5"/>
      <c r="K102" s="6">
        <v>45902</v>
      </c>
      <c r="L102" s="6">
        <v>45906</v>
      </c>
      <c r="M102" s="5" t="s">
        <v>53</v>
      </c>
      <c r="N102" s="5" t="s">
        <v>54</v>
      </c>
      <c r="O102" s="5" t="s">
        <v>41</v>
      </c>
      <c r="P102" s="30">
        <f t="shared" si="5"/>
        <v>4</v>
      </c>
      <c r="Q102" s="41">
        <v>3211.4545454545455</v>
      </c>
      <c r="R102" s="41">
        <v>6500</v>
      </c>
      <c r="S102" s="41">
        <f t="shared" si="4"/>
        <v>3288.5454545454545</v>
      </c>
    </row>
    <row r="103" spans="1:19">
      <c r="A103" s="5">
        <v>102</v>
      </c>
      <c r="B103" s="5">
        <v>2509020598</v>
      </c>
      <c r="C103" s="5" t="s">
        <v>1688</v>
      </c>
      <c r="D103" s="5" t="s">
        <v>40</v>
      </c>
      <c r="E103" s="5" t="s">
        <v>41</v>
      </c>
      <c r="F103" s="5" t="s">
        <v>42</v>
      </c>
      <c r="G103" s="5" t="s">
        <v>75</v>
      </c>
      <c r="H103" s="5" t="s">
        <v>1665</v>
      </c>
      <c r="I103" s="5">
        <v>202501148</v>
      </c>
      <c r="J103" s="5"/>
      <c r="K103" s="6">
        <v>45902</v>
      </c>
      <c r="L103" s="6">
        <v>45906</v>
      </c>
      <c r="M103" s="5" t="s">
        <v>53</v>
      </c>
      <c r="N103" s="5" t="s">
        <v>54</v>
      </c>
      <c r="O103" s="5" t="s">
        <v>41</v>
      </c>
      <c r="P103" s="30">
        <f t="shared" si="5"/>
        <v>4</v>
      </c>
      <c r="Q103" s="41">
        <v>3211.4545454545455</v>
      </c>
      <c r="R103" s="41">
        <v>0</v>
      </c>
      <c r="S103" s="41">
        <f t="shared" si="4"/>
        <v>-3211.4545454545455</v>
      </c>
    </row>
    <row r="104" spans="1:19">
      <c r="A104" s="5">
        <v>103</v>
      </c>
      <c r="B104" s="5">
        <v>2509023254</v>
      </c>
      <c r="C104" s="5" t="s">
        <v>1689</v>
      </c>
      <c r="D104" s="5" t="s">
        <v>528</v>
      </c>
      <c r="E104" s="5" t="s">
        <v>1690</v>
      </c>
      <c r="F104" s="5" t="s">
        <v>202</v>
      </c>
      <c r="G104" s="5" t="s">
        <v>52</v>
      </c>
      <c r="H104" s="5" t="s">
        <v>1665</v>
      </c>
      <c r="I104" s="5">
        <v>202501149</v>
      </c>
      <c r="J104" s="5"/>
      <c r="K104" s="6">
        <v>45902</v>
      </c>
      <c r="L104" s="6">
        <v>45906</v>
      </c>
      <c r="M104" s="5" t="s">
        <v>53</v>
      </c>
      <c r="N104" s="5" t="s">
        <v>54</v>
      </c>
      <c r="O104" s="5" t="s">
        <v>41</v>
      </c>
      <c r="P104" s="30">
        <f t="shared" si="5"/>
        <v>4</v>
      </c>
      <c r="Q104" s="41">
        <v>3211.4545454545455</v>
      </c>
      <c r="R104" s="41">
        <v>7500</v>
      </c>
      <c r="S104" s="41">
        <f t="shared" si="4"/>
        <v>4288.545454545454</v>
      </c>
    </row>
    <row r="105" spans="1:19">
      <c r="A105" s="5">
        <v>104</v>
      </c>
      <c r="B105" s="5">
        <v>2509023264</v>
      </c>
      <c r="C105" s="5" t="s">
        <v>1691</v>
      </c>
      <c r="D105" s="5" t="s">
        <v>1692</v>
      </c>
      <c r="E105" s="5" t="s">
        <v>1693</v>
      </c>
      <c r="F105" s="5" t="s">
        <v>457</v>
      </c>
      <c r="G105" s="5" t="s">
        <v>52</v>
      </c>
      <c r="H105" s="5" t="s">
        <v>1665</v>
      </c>
      <c r="I105" s="5">
        <v>202501150</v>
      </c>
      <c r="J105" s="5"/>
      <c r="K105" s="6">
        <v>45902</v>
      </c>
      <c r="L105" s="6">
        <v>45906</v>
      </c>
      <c r="M105" s="5" t="s">
        <v>53</v>
      </c>
      <c r="N105" s="5" t="s">
        <v>54</v>
      </c>
      <c r="O105" s="5" t="s">
        <v>41</v>
      </c>
      <c r="P105" s="30">
        <f t="shared" si="5"/>
        <v>4</v>
      </c>
      <c r="Q105" s="41">
        <v>3211.4545454545455</v>
      </c>
      <c r="R105" s="41">
        <v>5200</v>
      </c>
      <c r="S105" s="41">
        <f t="shared" si="4"/>
        <v>1988.5454545454545</v>
      </c>
    </row>
    <row r="106" spans="1:19">
      <c r="A106" s="5">
        <v>105</v>
      </c>
      <c r="B106" s="5">
        <v>2509021578</v>
      </c>
      <c r="C106" s="5" t="s">
        <v>1694</v>
      </c>
      <c r="D106" s="5" t="s">
        <v>40</v>
      </c>
      <c r="E106" s="5" t="s">
        <v>41</v>
      </c>
      <c r="F106" s="5" t="s">
        <v>42</v>
      </c>
      <c r="G106" s="5" t="s">
        <v>75</v>
      </c>
      <c r="H106" s="5" t="s">
        <v>1665</v>
      </c>
      <c r="I106" s="5">
        <v>202501151</v>
      </c>
      <c r="J106" s="5"/>
      <c r="K106" s="6">
        <v>45902</v>
      </c>
      <c r="L106" s="6">
        <v>45906</v>
      </c>
      <c r="M106" s="5" t="s">
        <v>53</v>
      </c>
      <c r="N106" s="5" t="s">
        <v>54</v>
      </c>
      <c r="O106" s="5" t="s">
        <v>41</v>
      </c>
      <c r="P106" s="30">
        <f t="shared" si="5"/>
        <v>4</v>
      </c>
      <c r="Q106" s="41">
        <v>3211.4545454545455</v>
      </c>
      <c r="R106" s="41">
        <v>6500</v>
      </c>
      <c r="S106" s="41">
        <f t="shared" si="4"/>
        <v>3288.5454545454545</v>
      </c>
    </row>
    <row r="107" spans="1:19">
      <c r="A107" s="5">
        <v>106</v>
      </c>
      <c r="B107" s="5">
        <v>2509021578</v>
      </c>
      <c r="C107" s="5" t="s">
        <v>1694</v>
      </c>
      <c r="D107" s="5" t="s">
        <v>40</v>
      </c>
      <c r="E107" s="5" t="s">
        <v>41</v>
      </c>
      <c r="F107" s="5" t="s">
        <v>42</v>
      </c>
      <c r="G107" s="5" t="s">
        <v>75</v>
      </c>
      <c r="H107" s="5" t="s">
        <v>1665</v>
      </c>
      <c r="I107" s="5">
        <v>202501152</v>
      </c>
      <c r="J107" s="5"/>
      <c r="K107" s="6">
        <v>45902</v>
      </c>
      <c r="L107" s="6">
        <v>45906</v>
      </c>
      <c r="M107" s="5" t="s">
        <v>53</v>
      </c>
      <c r="N107" s="5" t="s">
        <v>54</v>
      </c>
      <c r="O107" s="5" t="s">
        <v>41</v>
      </c>
      <c r="P107" s="30">
        <f t="shared" si="5"/>
        <v>4</v>
      </c>
      <c r="Q107" s="41">
        <v>3211.4545454545455</v>
      </c>
      <c r="R107" s="41">
        <v>0</v>
      </c>
      <c r="S107" s="41">
        <f t="shared" si="4"/>
        <v>-3211.4545454545455</v>
      </c>
    </row>
    <row r="108" spans="1:19">
      <c r="A108" s="5">
        <v>107</v>
      </c>
      <c r="B108" s="5">
        <v>2509021589</v>
      </c>
      <c r="C108" s="5" t="s">
        <v>1695</v>
      </c>
      <c r="D108" s="5" t="s">
        <v>40</v>
      </c>
      <c r="E108" s="5" t="s">
        <v>41</v>
      </c>
      <c r="F108" s="5" t="s">
        <v>42</v>
      </c>
      <c r="G108" s="5" t="s">
        <v>75</v>
      </c>
      <c r="H108" s="5" t="s">
        <v>1665</v>
      </c>
      <c r="I108" s="5">
        <v>202501153</v>
      </c>
      <c r="J108" s="5"/>
      <c r="K108" s="6">
        <v>45902</v>
      </c>
      <c r="L108" s="6">
        <v>45906</v>
      </c>
      <c r="M108" s="5" t="s">
        <v>53</v>
      </c>
      <c r="N108" s="5" t="s">
        <v>54</v>
      </c>
      <c r="O108" s="5" t="s">
        <v>41</v>
      </c>
      <c r="P108" s="30">
        <f t="shared" si="5"/>
        <v>4</v>
      </c>
      <c r="Q108" s="41">
        <v>3211.4545454545455</v>
      </c>
      <c r="R108" s="41">
        <v>6500</v>
      </c>
      <c r="S108" s="41">
        <f t="shared" si="4"/>
        <v>3288.5454545454545</v>
      </c>
    </row>
    <row r="109" spans="1:19">
      <c r="A109" s="5">
        <v>108</v>
      </c>
      <c r="B109" s="5">
        <v>2509021589</v>
      </c>
      <c r="C109" s="5" t="s">
        <v>1695</v>
      </c>
      <c r="D109" s="5" t="s">
        <v>40</v>
      </c>
      <c r="E109" s="5" t="s">
        <v>41</v>
      </c>
      <c r="F109" s="5" t="s">
        <v>42</v>
      </c>
      <c r="G109" s="5" t="s">
        <v>75</v>
      </c>
      <c r="H109" s="5" t="s">
        <v>1665</v>
      </c>
      <c r="I109" s="5">
        <v>202501154</v>
      </c>
      <c r="J109" s="5"/>
      <c r="K109" s="6">
        <v>45902</v>
      </c>
      <c r="L109" s="6">
        <v>45906</v>
      </c>
      <c r="M109" s="5" t="s">
        <v>53</v>
      </c>
      <c r="N109" s="5" t="s">
        <v>54</v>
      </c>
      <c r="O109" s="5" t="s">
        <v>41</v>
      </c>
      <c r="P109" s="30">
        <f t="shared" si="5"/>
        <v>4</v>
      </c>
      <c r="Q109" s="41">
        <v>3211.4545454545455</v>
      </c>
      <c r="R109" s="41">
        <v>0</v>
      </c>
      <c r="S109" s="41">
        <f t="shared" si="4"/>
        <v>-3211.4545454545455</v>
      </c>
    </row>
    <row r="110" spans="1:19">
      <c r="A110" s="5">
        <v>109</v>
      </c>
      <c r="B110" s="5" t="s">
        <v>1239</v>
      </c>
      <c r="C110" s="5"/>
      <c r="D110" s="5"/>
      <c r="E110" s="5"/>
      <c r="F110" s="5"/>
      <c r="G110" s="5" t="s">
        <v>52</v>
      </c>
      <c r="H110" s="5"/>
      <c r="I110" s="5"/>
      <c r="J110" s="5"/>
      <c r="K110" s="5"/>
      <c r="L110" s="5"/>
      <c r="M110" s="5"/>
      <c r="N110" s="5"/>
      <c r="O110" s="5"/>
      <c r="P110" s="5"/>
      <c r="Q110" s="41">
        <v>3211.4545454545455</v>
      </c>
      <c r="R110" s="41">
        <v>0</v>
      </c>
      <c r="S110" s="41">
        <f t="shared" si="4"/>
        <v>-3211.4545454545455</v>
      </c>
    </row>
    <row r="111" spans="1:19">
      <c r="A111" s="5">
        <v>110</v>
      </c>
      <c r="B111" s="5" t="s">
        <v>1240</v>
      </c>
      <c r="C111" s="5"/>
      <c r="D111" s="5"/>
      <c r="E111" s="5"/>
      <c r="F111" s="5"/>
      <c r="G111" s="5" t="s">
        <v>52</v>
      </c>
      <c r="H111" s="5"/>
      <c r="I111" s="5"/>
      <c r="J111" s="5"/>
      <c r="K111" s="5"/>
      <c r="L111" s="5"/>
      <c r="M111" s="5"/>
      <c r="N111" s="5"/>
      <c r="O111" s="5"/>
      <c r="P111" s="5"/>
      <c r="Q111" s="41">
        <v>3211.4545454545455</v>
      </c>
      <c r="R111" s="41">
        <v>0</v>
      </c>
      <c r="S111" s="41">
        <f t="shared" si="4"/>
        <v>-3211.4545454545455</v>
      </c>
    </row>
    <row r="112" spans="1:19">
      <c r="A112" s="5">
        <v>111</v>
      </c>
      <c r="B112" s="9">
        <v>2508273080</v>
      </c>
      <c r="C112" s="9" t="s">
        <v>1559</v>
      </c>
      <c r="D112" s="9" t="s">
        <v>1560</v>
      </c>
      <c r="E112" s="9" t="s">
        <v>1561</v>
      </c>
      <c r="F112" s="9" t="s">
        <v>202</v>
      </c>
      <c r="G112" s="9" t="s">
        <v>75</v>
      </c>
      <c r="H112" s="9" t="s">
        <v>1696</v>
      </c>
      <c r="I112" s="9" t="s">
        <v>1697</v>
      </c>
      <c r="J112" s="9"/>
      <c r="K112" s="10">
        <v>45903</v>
      </c>
      <c r="L112" s="10">
        <v>45910</v>
      </c>
      <c r="M112" s="9" t="s">
        <v>53</v>
      </c>
      <c r="N112" s="9" t="s">
        <v>94</v>
      </c>
      <c r="O112" s="9" t="s">
        <v>1698</v>
      </c>
      <c r="P112" s="32">
        <f t="shared" ref="P112:P135" si="6">L112-K112</f>
        <v>7</v>
      </c>
      <c r="Q112" s="11">
        <v>3642.4475524475524</v>
      </c>
      <c r="R112" s="11">
        <v>0</v>
      </c>
      <c r="S112" s="11">
        <f t="shared" si="4"/>
        <v>-3642.4475524475524</v>
      </c>
    </row>
    <row r="113" spans="1:19">
      <c r="A113" s="5">
        <v>112</v>
      </c>
      <c r="B113" s="5">
        <v>2509012178</v>
      </c>
      <c r="C113" s="5" t="s">
        <v>1673</v>
      </c>
      <c r="D113" s="5" t="s">
        <v>1261</v>
      </c>
      <c r="E113" s="5" t="s">
        <v>1262</v>
      </c>
      <c r="F113" s="5" t="s">
        <v>71</v>
      </c>
      <c r="G113" s="5" t="s">
        <v>75</v>
      </c>
      <c r="H113" s="5" t="s">
        <v>1696</v>
      </c>
      <c r="I113" s="5" t="s">
        <v>1699</v>
      </c>
      <c r="J113" s="5"/>
      <c r="K113" s="6">
        <v>45901</v>
      </c>
      <c r="L113" s="6">
        <v>45910</v>
      </c>
      <c r="M113" s="5" t="s">
        <v>53</v>
      </c>
      <c r="N113" s="5" t="s">
        <v>54</v>
      </c>
      <c r="O113" s="5" t="s">
        <v>41</v>
      </c>
      <c r="P113" s="30">
        <f t="shared" si="6"/>
        <v>9</v>
      </c>
      <c r="Q113" s="41">
        <v>3642.4475524475524</v>
      </c>
      <c r="R113" s="41">
        <v>0</v>
      </c>
      <c r="S113" s="41">
        <f t="shared" si="4"/>
        <v>-3642.4475524475524</v>
      </c>
    </row>
    <row r="114" spans="1:19">
      <c r="A114" s="5">
        <v>113</v>
      </c>
      <c r="B114" s="5">
        <v>2509023242</v>
      </c>
      <c r="C114" s="5" t="s">
        <v>1681</v>
      </c>
      <c r="D114" s="5" t="s">
        <v>810</v>
      </c>
      <c r="E114" s="5" t="s">
        <v>1682</v>
      </c>
      <c r="F114" s="5" t="s">
        <v>457</v>
      </c>
      <c r="G114" s="5" t="s">
        <v>52</v>
      </c>
      <c r="H114" s="5" t="s">
        <v>1696</v>
      </c>
      <c r="I114" s="5" t="s">
        <v>1700</v>
      </c>
      <c r="J114" s="5"/>
      <c r="K114" s="6">
        <v>45902</v>
      </c>
      <c r="L114" s="6">
        <v>45910</v>
      </c>
      <c r="M114" s="5" t="s">
        <v>53</v>
      </c>
      <c r="N114" s="5" t="s">
        <v>54</v>
      </c>
      <c r="O114" s="5" t="s">
        <v>41</v>
      </c>
      <c r="P114" s="30">
        <f t="shared" si="6"/>
        <v>8</v>
      </c>
      <c r="Q114" s="41">
        <v>3642.4475524475524</v>
      </c>
      <c r="R114" s="41">
        <v>0</v>
      </c>
      <c r="S114" s="41">
        <f t="shared" si="4"/>
        <v>-3642.4475524475524</v>
      </c>
    </row>
    <row r="115" spans="1:19">
      <c r="A115" s="5">
        <v>114</v>
      </c>
      <c r="B115" s="5">
        <v>2509023270</v>
      </c>
      <c r="C115" s="5" t="s">
        <v>1701</v>
      </c>
      <c r="D115" s="5" t="s">
        <v>706</v>
      </c>
      <c r="E115" s="5" t="s">
        <v>707</v>
      </c>
      <c r="F115" s="5" t="s">
        <v>79</v>
      </c>
      <c r="G115" s="5" t="s">
        <v>52</v>
      </c>
      <c r="H115" s="5" t="s">
        <v>1696</v>
      </c>
      <c r="I115" s="5">
        <v>202501155</v>
      </c>
      <c r="J115" s="5"/>
      <c r="K115" s="6">
        <v>45902</v>
      </c>
      <c r="L115" s="6">
        <v>45910</v>
      </c>
      <c r="M115" s="5" t="s">
        <v>53</v>
      </c>
      <c r="N115" s="5" t="s">
        <v>54</v>
      </c>
      <c r="O115" s="5" t="s">
        <v>41</v>
      </c>
      <c r="P115" s="30">
        <f t="shared" si="6"/>
        <v>8</v>
      </c>
      <c r="Q115" s="41">
        <v>3642.4475524475524</v>
      </c>
      <c r="R115" s="41">
        <v>6000</v>
      </c>
      <c r="S115" s="41">
        <f t="shared" si="4"/>
        <v>2357.5524475524476</v>
      </c>
    </row>
    <row r="116" spans="1:19">
      <c r="A116" s="5">
        <v>115</v>
      </c>
      <c r="B116" s="5">
        <v>2509033003</v>
      </c>
      <c r="C116" s="5" t="s">
        <v>1702</v>
      </c>
      <c r="D116" s="5" t="s">
        <v>1209</v>
      </c>
      <c r="E116" s="5" t="s">
        <v>1506</v>
      </c>
      <c r="F116" s="5" t="s">
        <v>51</v>
      </c>
      <c r="G116" s="5" t="s">
        <v>52</v>
      </c>
      <c r="H116" s="5" t="s">
        <v>1696</v>
      </c>
      <c r="I116" s="5">
        <v>202501156</v>
      </c>
      <c r="J116" s="5"/>
      <c r="K116" s="6">
        <v>45903</v>
      </c>
      <c r="L116" s="6">
        <v>45910</v>
      </c>
      <c r="M116" s="5" t="s">
        <v>53</v>
      </c>
      <c r="N116" s="5" t="s">
        <v>54</v>
      </c>
      <c r="O116" s="5" t="s">
        <v>41</v>
      </c>
      <c r="P116" s="30">
        <f t="shared" si="6"/>
        <v>7</v>
      </c>
      <c r="Q116" s="41">
        <v>3642.4475524475524</v>
      </c>
      <c r="R116" s="41">
        <v>5500</v>
      </c>
      <c r="S116" s="41">
        <f t="shared" si="4"/>
        <v>1857.5524475524476</v>
      </c>
    </row>
    <row r="117" spans="1:19">
      <c r="A117" s="5">
        <v>116</v>
      </c>
      <c r="B117" s="5">
        <v>2509033008</v>
      </c>
      <c r="C117" s="5" t="s">
        <v>1703</v>
      </c>
      <c r="D117" s="5" t="s">
        <v>908</v>
      </c>
      <c r="E117" s="5" t="s">
        <v>909</v>
      </c>
      <c r="F117" s="5" t="s">
        <v>362</v>
      </c>
      <c r="G117" s="5" t="s">
        <v>43</v>
      </c>
      <c r="H117" s="5" t="s">
        <v>1696</v>
      </c>
      <c r="I117" s="5">
        <v>202501157</v>
      </c>
      <c r="J117" s="5"/>
      <c r="K117" s="6">
        <v>45903</v>
      </c>
      <c r="L117" s="6">
        <v>45910</v>
      </c>
      <c r="M117" s="5" t="s">
        <v>53</v>
      </c>
      <c r="N117" s="5" t="s">
        <v>54</v>
      </c>
      <c r="O117" s="5" t="s">
        <v>41</v>
      </c>
      <c r="P117" s="30">
        <f t="shared" si="6"/>
        <v>7</v>
      </c>
      <c r="Q117" s="41">
        <v>3642.4475524475524</v>
      </c>
      <c r="R117" s="41">
        <v>10500</v>
      </c>
      <c r="S117" s="41">
        <f t="shared" si="4"/>
        <v>6857.5524475524471</v>
      </c>
    </row>
    <row r="118" spans="1:19">
      <c r="A118" s="5">
        <v>117</v>
      </c>
      <c r="B118" s="5">
        <v>2509033012</v>
      </c>
      <c r="C118" s="5" t="s">
        <v>1704</v>
      </c>
      <c r="D118" s="5" t="s">
        <v>908</v>
      </c>
      <c r="E118" s="5" t="s">
        <v>909</v>
      </c>
      <c r="F118" s="5" t="s">
        <v>362</v>
      </c>
      <c r="G118" s="5" t="s">
        <v>43</v>
      </c>
      <c r="H118" s="5" t="s">
        <v>1696</v>
      </c>
      <c r="I118" s="5">
        <v>202501158</v>
      </c>
      <c r="J118" s="5"/>
      <c r="K118" s="6">
        <v>45903</v>
      </c>
      <c r="L118" s="6">
        <v>45910</v>
      </c>
      <c r="M118" s="5" t="s">
        <v>53</v>
      </c>
      <c r="N118" s="5" t="s">
        <v>54</v>
      </c>
      <c r="O118" s="5" t="s">
        <v>41</v>
      </c>
      <c r="P118" s="30">
        <f t="shared" si="6"/>
        <v>7</v>
      </c>
      <c r="Q118" s="41">
        <v>3642.4475524475524</v>
      </c>
      <c r="R118" s="41">
        <v>10500</v>
      </c>
      <c r="S118" s="41">
        <f t="shared" si="4"/>
        <v>6857.5524475524471</v>
      </c>
    </row>
    <row r="119" spans="1:19">
      <c r="A119" s="5">
        <v>118</v>
      </c>
      <c r="B119" s="5">
        <v>2509033023</v>
      </c>
      <c r="C119" s="5" t="s">
        <v>1705</v>
      </c>
      <c r="D119" s="5" t="s">
        <v>1472</v>
      </c>
      <c r="E119" s="5" t="s">
        <v>1473</v>
      </c>
      <c r="F119" s="5" t="s">
        <v>51</v>
      </c>
      <c r="G119" s="5" t="s">
        <v>43</v>
      </c>
      <c r="H119" s="5" t="s">
        <v>1696</v>
      </c>
      <c r="I119" s="5">
        <v>202501159</v>
      </c>
      <c r="J119" s="5"/>
      <c r="K119" s="6">
        <v>45903</v>
      </c>
      <c r="L119" s="6">
        <v>45910</v>
      </c>
      <c r="M119" s="5" t="s">
        <v>53</v>
      </c>
      <c r="N119" s="5" t="s">
        <v>54</v>
      </c>
      <c r="O119" s="5" t="s">
        <v>41</v>
      </c>
      <c r="P119" s="30">
        <f t="shared" si="6"/>
        <v>7</v>
      </c>
      <c r="Q119" s="41">
        <v>3642.4475524475524</v>
      </c>
      <c r="R119" s="41">
        <v>11000</v>
      </c>
      <c r="S119" s="41">
        <f t="shared" si="4"/>
        <v>7357.5524475524471</v>
      </c>
    </row>
    <row r="120" spans="1:19">
      <c r="A120" s="5">
        <v>119</v>
      </c>
      <c r="B120" s="5">
        <v>2509033025</v>
      </c>
      <c r="C120" s="5" t="s">
        <v>1706</v>
      </c>
      <c r="D120" s="5" t="s">
        <v>309</v>
      </c>
      <c r="E120" s="5" t="s">
        <v>1597</v>
      </c>
      <c r="F120" s="5" t="s">
        <v>51</v>
      </c>
      <c r="G120" s="5" t="s">
        <v>52</v>
      </c>
      <c r="H120" s="5" t="s">
        <v>1696</v>
      </c>
      <c r="I120" s="5">
        <v>202501160</v>
      </c>
      <c r="J120" s="5"/>
      <c r="K120" s="6">
        <v>45903</v>
      </c>
      <c r="L120" s="6">
        <v>45910</v>
      </c>
      <c r="M120" s="5" t="s">
        <v>53</v>
      </c>
      <c r="N120" s="5" t="s">
        <v>54</v>
      </c>
      <c r="O120" s="5" t="s">
        <v>41</v>
      </c>
      <c r="P120" s="30">
        <f t="shared" si="6"/>
        <v>7</v>
      </c>
      <c r="Q120" s="41">
        <v>3642.4475524475524</v>
      </c>
      <c r="R120" s="41">
        <v>5500</v>
      </c>
      <c r="S120" s="41">
        <f t="shared" si="4"/>
        <v>1857.5524475524476</v>
      </c>
    </row>
    <row r="121" spans="1:19">
      <c r="A121" s="5">
        <v>120</v>
      </c>
      <c r="B121" s="5">
        <v>2509033026</v>
      </c>
      <c r="C121" s="5" t="s">
        <v>1707</v>
      </c>
      <c r="D121" s="5" t="s">
        <v>309</v>
      </c>
      <c r="E121" s="5" t="s">
        <v>1597</v>
      </c>
      <c r="F121" s="5" t="s">
        <v>51</v>
      </c>
      <c r="G121" s="5" t="s">
        <v>52</v>
      </c>
      <c r="H121" s="5" t="s">
        <v>1696</v>
      </c>
      <c r="I121" s="5">
        <v>202501161</v>
      </c>
      <c r="J121" s="5"/>
      <c r="K121" s="6">
        <v>45903</v>
      </c>
      <c r="L121" s="6">
        <v>45910</v>
      </c>
      <c r="M121" s="5" t="s">
        <v>53</v>
      </c>
      <c r="N121" s="5" t="s">
        <v>54</v>
      </c>
      <c r="O121" s="5" t="s">
        <v>41</v>
      </c>
      <c r="P121" s="30">
        <f t="shared" si="6"/>
        <v>7</v>
      </c>
      <c r="Q121" s="41">
        <v>3642.4475524475524</v>
      </c>
      <c r="R121" s="41">
        <v>5500</v>
      </c>
      <c r="S121" s="41">
        <f t="shared" si="4"/>
        <v>1857.5524475524476</v>
      </c>
    </row>
    <row r="122" spans="1:19">
      <c r="A122" s="5">
        <v>121</v>
      </c>
      <c r="B122" s="5">
        <v>2509031209</v>
      </c>
      <c r="C122" s="5" t="s">
        <v>1708</v>
      </c>
      <c r="D122" s="5" t="s">
        <v>40</v>
      </c>
      <c r="E122" s="5" t="s">
        <v>41</v>
      </c>
      <c r="F122" s="5" t="s">
        <v>42</v>
      </c>
      <c r="G122" s="5" t="s">
        <v>52</v>
      </c>
      <c r="H122" s="5" t="s">
        <v>1696</v>
      </c>
      <c r="I122" s="5">
        <v>202501163</v>
      </c>
      <c r="J122" s="5"/>
      <c r="K122" s="6">
        <v>45903</v>
      </c>
      <c r="L122" s="6">
        <v>45910</v>
      </c>
      <c r="M122" s="5" t="s">
        <v>53</v>
      </c>
      <c r="N122" s="5" t="s">
        <v>54</v>
      </c>
      <c r="O122" s="5" t="s">
        <v>41</v>
      </c>
      <c r="P122" s="30">
        <f t="shared" si="6"/>
        <v>7</v>
      </c>
      <c r="Q122" s="41">
        <v>3642.4475524475524</v>
      </c>
      <c r="R122" s="41">
        <v>9500</v>
      </c>
      <c r="S122" s="41">
        <f t="shared" si="4"/>
        <v>5857.5524475524471</v>
      </c>
    </row>
    <row r="123" spans="1:19">
      <c r="A123" s="5">
        <v>122</v>
      </c>
      <c r="B123" s="5">
        <v>2509031209</v>
      </c>
      <c r="C123" s="5" t="s">
        <v>1708</v>
      </c>
      <c r="D123" s="5" t="s">
        <v>40</v>
      </c>
      <c r="E123" s="5" t="s">
        <v>41</v>
      </c>
      <c r="F123" s="5" t="s">
        <v>42</v>
      </c>
      <c r="G123" s="5" t="s">
        <v>52</v>
      </c>
      <c r="H123" s="5" t="s">
        <v>1696</v>
      </c>
      <c r="I123" s="5">
        <v>202501164</v>
      </c>
      <c r="J123" s="5"/>
      <c r="K123" s="6">
        <v>45903</v>
      </c>
      <c r="L123" s="6">
        <v>45910</v>
      </c>
      <c r="M123" s="5" t="s">
        <v>53</v>
      </c>
      <c r="N123" s="5" t="s">
        <v>54</v>
      </c>
      <c r="O123" s="5" t="s">
        <v>41</v>
      </c>
      <c r="P123" s="30">
        <f t="shared" si="6"/>
        <v>7</v>
      </c>
      <c r="Q123" s="41">
        <v>3642.4475524475524</v>
      </c>
      <c r="R123" s="41">
        <v>0</v>
      </c>
      <c r="S123" s="41">
        <f t="shared" si="4"/>
        <v>-3642.4475524475524</v>
      </c>
    </row>
    <row r="124" spans="1:19">
      <c r="A124" s="5">
        <v>123</v>
      </c>
      <c r="B124" s="5">
        <v>2509033029</v>
      </c>
      <c r="C124" s="5" t="s">
        <v>1709</v>
      </c>
      <c r="D124" s="5" t="s">
        <v>60</v>
      </c>
      <c r="E124" s="5" t="s">
        <v>61</v>
      </c>
      <c r="F124" s="5" t="s">
        <v>62</v>
      </c>
      <c r="G124" s="5" t="s">
        <v>52</v>
      </c>
      <c r="H124" s="5" t="s">
        <v>1696</v>
      </c>
      <c r="I124" s="5">
        <v>202501165</v>
      </c>
      <c r="J124" s="5"/>
      <c r="K124" s="6">
        <v>45903</v>
      </c>
      <c r="L124" s="6">
        <v>45910</v>
      </c>
      <c r="M124" s="5" t="s">
        <v>53</v>
      </c>
      <c r="N124" s="5" t="s">
        <v>54</v>
      </c>
      <c r="O124" s="5" t="s">
        <v>41</v>
      </c>
      <c r="P124" s="30">
        <f t="shared" si="6"/>
        <v>7</v>
      </c>
      <c r="Q124" s="41">
        <v>3642.4475524475524</v>
      </c>
      <c r="R124" s="41">
        <v>6000</v>
      </c>
      <c r="S124" s="41">
        <f t="shared" si="4"/>
        <v>2357.5524475524476</v>
      </c>
    </row>
    <row r="125" spans="1:19">
      <c r="A125" s="5">
        <v>124</v>
      </c>
      <c r="B125" s="5">
        <v>2509033033</v>
      </c>
      <c r="C125" s="5" t="s">
        <v>1710</v>
      </c>
      <c r="D125" s="5" t="s">
        <v>448</v>
      </c>
      <c r="E125" s="5" t="s">
        <v>635</v>
      </c>
      <c r="F125" s="5" t="s">
        <v>109</v>
      </c>
      <c r="G125" s="5" t="s">
        <v>52</v>
      </c>
      <c r="H125" s="5" t="s">
        <v>1696</v>
      </c>
      <c r="I125" s="5">
        <v>202501166</v>
      </c>
      <c r="J125" s="5"/>
      <c r="K125" s="6">
        <v>45903</v>
      </c>
      <c r="L125" s="6">
        <v>45910</v>
      </c>
      <c r="M125" s="5" t="s">
        <v>53</v>
      </c>
      <c r="N125" s="5" t="s">
        <v>54</v>
      </c>
      <c r="O125" s="5" t="s">
        <v>41</v>
      </c>
      <c r="P125" s="30">
        <f t="shared" si="6"/>
        <v>7</v>
      </c>
      <c r="Q125" s="41">
        <v>3642.4475524475524</v>
      </c>
      <c r="R125" s="41">
        <v>6500</v>
      </c>
      <c r="S125" s="41">
        <f t="shared" si="4"/>
        <v>2857.5524475524476</v>
      </c>
    </row>
    <row r="126" spans="1:19">
      <c r="A126" s="5">
        <v>125</v>
      </c>
      <c r="B126" s="5">
        <v>2509033042</v>
      </c>
      <c r="C126" s="5" t="s">
        <v>1711</v>
      </c>
      <c r="D126" s="5" t="s">
        <v>572</v>
      </c>
      <c r="E126" s="5" t="s">
        <v>1712</v>
      </c>
      <c r="F126" s="5" t="s">
        <v>87</v>
      </c>
      <c r="G126" s="5" t="s">
        <v>52</v>
      </c>
      <c r="H126" s="5" t="s">
        <v>1696</v>
      </c>
      <c r="I126" s="5">
        <v>202501167</v>
      </c>
      <c r="J126" s="5"/>
      <c r="K126" s="6">
        <v>45903</v>
      </c>
      <c r="L126" s="6">
        <v>45910</v>
      </c>
      <c r="M126" s="5" t="s">
        <v>53</v>
      </c>
      <c r="N126" s="5" t="s">
        <v>54</v>
      </c>
      <c r="O126" s="5" t="s">
        <v>41</v>
      </c>
      <c r="P126" s="30">
        <f t="shared" si="6"/>
        <v>7</v>
      </c>
      <c r="Q126" s="41">
        <v>3642.4475524475524</v>
      </c>
      <c r="R126" s="41">
        <v>6000</v>
      </c>
      <c r="S126" s="41">
        <f t="shared" si="4"/>
        <v>2357.5524475524476</v>
      </c>
    </row>
    <row r="127" spans="1:19">
      <c r="A127" s="5">
        <v>126</v>
      </c>
      <c r="B127" s="5">
        <v>2509033055</v>
      </c>
      <c r="C127" s="5" t="s">
        <v>1713</v>
      </c>
      <c r="D127" s="5" t="s">
        <v>86</v>
      </c>
      <c r="E127" s="5" t="s">
        <v>1714</v>
      </c>
      <c r="F127" s="5" t="s">
        <v>87</v>
      </c>
      <c r="G127" s="5" t="s">
        <v>43</v>
      </c>
      <c r="H127" s="5" t="s">
        <v>1696</v>
      </c>
      <c r="I127" s="5">
        <v>202501168</v>
      </c>
      <c r="J127" s="5"/>
      <c r="K127" s="6">
        <v>45903</v>
      </c>
      <c r="L127" s="6">
        <v>45910</v>
      </c>
      <c r="M127" s="5" t="s">
        <v>53</v>
      </c>
      <c r="N127" s="5" t="s">
        <v>54</v>
      </c>
      <c r="O127" s="5" t="s">
        <v>41</v>
      </c>
      <c r="P127" s="30">
        <f t="shared" si="6"/>
        <v>7</v>
      </c>
      <c r="Q127" s="41">
        <v>3642.4475524475524</v>
      </c>
      <c r="R127" s="41">
        <v>11000</v>
      </c>
      <c r="S127" s="41">
        <f t="shared" si="4"/>
        <v>7357.5524475524471</v>
      </c>
    </row>
    <row r="128" spans="1:19">
      <c r="A128" s="5">
        <v>127</v>
      </c>
      <c r="B128" s="5">
        <v>2509033065</v>
      </c>
      <c r="C128" s="5" t="s">
        <v>1715</v>
      </c>
      <c r="D128" s="5" t="s">
        <v>955</v>
      </c>
      <c r="E128" s="5" t="s">
        <v>1195</v>
      </c>
      <c r="F128" s="5" t="s">
        <v>202</v>
      </c>
      <c r="G128" s="5" t="s">
        <v>52</v>
      </c>
      <c r="H128" s="5" t="s">
        <v>1696</v>
      </c>
      <c r="I128" s="5">
        <v>202501169</v>
      </c>
      <c r="J128" s="5"/>
      <c r="K128" s="6">
        <v>45903</v>
      </c>
      <c r="L128" s="6">
        <v>45910</v>
      </c>
      <c r="M128" s="5" t="s">
        <v>53</v>
      </c>
      <c r="N128" s="5" t="s">
        <v>54</v>
      </c>
      <c r="O128" s="5" t="s">
        <v>41</v>
      </c>
      <c r="P128" s="30">
        <f t="shared" si="6"/>
        <v>7</v>
      </c>
      <c r="Q128" s="41">
        <v>3642.4475524475524</v>
      </c>
      <c r="R128" s="41">
        <v>7000</v>
      </c>
      <c r="S128" s="41">
        <f t="shared" si="4"/>
        <v>3357.5524475524476</v>
      </c>
    </row>
    <row r="129" spans="1:19">
      <c r="A129" s="5">
        <v>128</v>
      </c>
      <c r="B129" s="5">
        <v>2509033068</v>
      </c>
      <c r="C129" s="5" t="s">
        <v>1716</v>
      </c>
      <c r="D129" s="5" t="s">
        <v>955</v>
      </c>
      <c r="E129" s="5" t="s">
        <v>1195</v>
      </c>
      <c r="F129" s="5" t="s">
        <v>202</v>
      </c>
      <c r="G129" s="5" t="s">
        <v>52</v>
      </c>
      <c r="H129" s="5" t="s">
        <v>1696</v>
      </c>
      <c r="I129" s="5">
        <v>202501170</v>
      </c>
      <c r="J129" s="5"/>
      <c r="K129" s="6">
        <v>45903</v>
      </c>
      <c r="L129" s="6">
        <v>45910</v>
      </c>
      <c r="M129" s="5" t="s">
        <v>53</v>
      </c>
      <c r="N129" s="5" t="s">
        <v>54</v>
      </c>
      <c r="O129" s="5" t="s">
        <v>41</v>
      </c>
      <c r="P129" s="30">
        <f t="shared" si="6"/>
        <v>7</v>
      </c>
      <c r="Q129" s="41">
        <v>3642.4475524475524</v>
      </c>
      <c r="R129" s="41">
        <v>7000</v>
      </c>
      <c r="S129" s="41">
        <f t="shared" si="4"/>
        <v>3357.5524475524476</v>
      </c>
    </row>
    <row r="130" spans="1:19">
      <c r="A130" s="5">
        <v>129</v>
      </c>
      <c r="B130" s="5">
        <v>2509033069</v>
      </c>
      <c r="C130" s="5" t="s">
        <v>1717</v>
      </c>
      <c r="D130" s="5" t="s">
        <v>955</v>
      </c>
      <c r="E130" s="5" t="s">
        <v>1195</v>
      </c>
      <c r="F130" s="5" t="s">
        <v>202</v>
      </c>
      <c r="G130" s="5" t="s">
        <v>52</v>
      </c>
      <c r="H130" s="5" t="s">
        <v>1696</v>
      </c>
      <c r="I130" s="5">
        <v>202501171</v>
      </c>
      <c r="J130" s="5"/>
      <c r="K130" s="6">
        <v>45903</v>
      </c>
      <c r="L130" s="6">
        <v>45910</v>
      </c>
      <c r="M130" s="5" t="s">
        <v>53</v>
      </c>
      <c r="N130" s="5" t="s">
        <v>54</v>
      </c>
      <c r="O130" s="5" t="s">
        <v>41</v>
      </c>
      <c r="P130" s="30">
        <f t="shared" si="6"/>
        <v>7</v>
      </c>
      <c r="Q130" s="41">
        <v>3642.4475524475524</v>
      </c>
      <c r="R130" s="41">
        <v>7000</v>
      </c>
      <c r="S130" s="41">
        <f t="shared" ref="S130:S193" si="7">R130-Q130</f>
        <v>3357.5524475524476</v>
      </c>
    </row>
    <row r="131" spans="1:19">
      <c r="A131" s="5">
        <v>130</v>
      </c>
      <c r="B131" s="5">
        <v>2509033074</v>
      </c>
      <c r="C131" s="5" t="s">
        <v>1718</v>
      </c>
      <c r="D131" s="5" t="s">
        <v>955</v>
      </c>
      <c r="E131" s="5" t="s">
        <v>1195</v>
      </c>
      <c r="F131" s="5" t="s">
        <v>202</v>
      </c>
      <c r="G131" s="5" t="s">
        <v>52</v>
      </c>
      <c r="H131" s="5" t="s">
        <v>1696</v>
      </c>
      <c r="I131" s="5">
        <v>202501172</v>
      </c>
      <c r="J131" s="5"/>
      <c r="K131" s="6">
        <v>45903</v>
      </c>
      <c r="L131" s="6">
        <v>45910</v>
      </c>
      <c r="M131" s="5" t="s">
        <v>53</v>
      </c>
      <c r="N131" s="5" t="s">
        <v>54</v>
      </c>
      <c r="O131" s="5" t="s">
        <v>41</v>
      </c>
      <c r="P131" s="30">
        <f t="shared" si="6"/>
        <v>7</v>
      </c>
      <c r="Q131" s="41">
        <v>3642.4475524475524</v>
      </c>
      <c r="R131" s="41">
        <v>7000</v>
      </c>
      <c r="S131" s="41">
        <f t="shared" si="7"/>
        <v>3357.5524475524476</v>
      </c>
    </row>
    <row r="132" spans="1:19">
      <c r="A132" s="5">
        <v>131</v>
      </c>
      <c r="B132" s="5">
        <v>2509033080</v>
      </c>
      <c r="C132" s="5" t="s">
        <v>1719</v>
      </c>
      <c r="D132" s="5" t="s">
        <v>955</v>
      </c>
      <c r="E132" s="5" t="s">
        <v>1195</v>
      </c>
      <c r="F132" s="5" t="s">
        <v>202</v>
      </c>
      <c r="G132" s="5" t="s">
        <v>52</v>
      </c>
      <c r="H132" s="5" t="s">
        <v>1696</v>
      </c>
      <c r="I132" s="5">
        <v>202501173</v>
      </c>
      <c r="J132" s="5"/>
      <c r="K132" s="6">
        <v>45903</v>
      </c>
      <c r="L132" s="6">
        <v>45910</v>
      </c>
      <c r="M132" s="5" t="s">
        <v>53</v>
      </c>
      <c r="N132" s="5" t="s">
        <v>54</v>
      </c>
      <c r="O132" s="5" t="s">
        <v>41</v>
      </c>
      <c r="P132" s="30">
        <f t="shared" si="6"/>
        <v>7</v>
      </c>
      <c r="Q132" s="41">
        <v>3642.4475524475524</v>
      </c>
      <c r="R132" s="41">
        <v>7000</v>
      </c>
      <c r="S132" s="41">
        <f t="shared" si="7"/>
        <v>3357.5524475524476</v>
      </c>
    </row>
    <row r="133" spans="1:19">
      <c r="A133" s="5">
        <v>132</v>
      </c>
      <c r="B133" s="5">
        <v>2509033086</v>
      </c>
      <c r="C133" s="5" t="s">
        <v>1720</v>
      </c>
      <c r="D133" s="5" t="s">
        <v>564</v>
      </c>
      <c r="E133" s="5" t="s">
        <v>589</v>
      </c>
      <c r="F133" s="5" t="s">
        <v>71</v>
      </c>
      <c r="G133" s="5" t="s">
        <v>52</v>
      </c>
      <c r="H133" s="5" t="s">
        <v>1696</v>
      </c>
      <c r="I133" s="5">
        <v>202501174</v>
      </c>
      <c r="J133" s="5"/>
      <c r="K133" s="6">
        <v>45903</v>
      </c>
      <c r="L133" s="6">
        <v>45910</v>
      </c>
      <c r="M133" s="5" t="s">
        <v>53</v>
      </c>
      <c r="N133" s="5" t="s">
        <v>54</v>
      </c>
      <c r="O133" s="5" t="s">
        <v>41</v>
      </c>
      <c r="P133" s="30">
        <f t="shared" si="6"/>
        <v>7</v>
      </c>
      <c r="Q133" s="41">
        <v>3642.4475524475524</v>
      </c>
      <c r="R133" s="41">
        <v>8500</v>
      </c>
      <c r="S133" s="41">
        <f t="shared" si="7"/>
        <v>4857.5524475524471</v>
      </c>
    </row>
    <row r="134" spans="1:19">
      <c r="A134" s="5">
        <v>133</v>
      </c>
      <c r="B134" s="5">
        <v>2509033092</v>
      </c>
      <c r="C134" s="5" t="s">
        <v>1721</v>
      </c>
      <c r="D134" s="5" t="s">
        <v>1722</v>
      </c>
      <c r="E134" s="5" t="s">
        <v>1723</v>
      </c>
      <c r="F134" s="5" t="s">
        <v>109</v>
      </c>
      <c r="G134" s="5" t="s">
        <v>43</v>
      </c>
      <c r="H134" s="5" t="s">
        <v>1696</v>
      </c>
      <c r="I134" s="5">
        <v>202501175</v>
      </c>
      <c r="J134" s="5"/>
      <c r="K134" s="6">
        <v>45903</v>
      </c>
      <c r="L134" s="6">
        <v>45910</v>
      </c>
      <c r="M134" s="5" t="s">
        <v>53</v>
      </c>
      <c r="N134" s="5" t="s">
        <v>54</v>
      </c>
      <c r="O134" s="5" t="s">
        <v>41</v>
      </c>
      <c r="P134" s="30">
        <f t="shared" si="6"/>
        <v>7</v>
      </c>
      <c r="Q134" s="41">
        <v>3642.4475524475524</v>
      </c>
      <c r="R134" s="41">
        <v>11500</v>
      </c>
      <c r="S134" s="41">
        <f t="shared" si="7"/>
        <v>7857.5524475524471</v>
      </c>
    </row>
    <row r="135" spans="1:19">
      <c r="A135" s="5">
        <v>134</v>
      </c>
      <c r="B135" s="5">
        <v>2509040877</v>
      </c>
      <c r="C135" s="5" t="s">
        <v>1724</v>
      </c>
      <c r="D135" s="5" t="s">
        <v>474</v>
      </c>
      <c r="E135" s="5" t="s">
        <v>475</v>
      </c>
      <c r="F135" s="5" t="s">
        <v>169</v>
      </c>
      <c r="G135" s="5" t="s">
        <v>75</v>
      </c>
      <c r="H135" s="5" t="s">
        <v>1696</v>
      </c>
      <c r="I135" s="5">
        <v>202501176</v>
      </c>
      <c r="J135" s="5"/>
      <c r="K135" s="6">
        <v>45904</v>
      </c>
      <c r="L135" s="6">
        <v>45910</v>
      </c>
      <c r="M135" s="5" t="s">
        <v>53</v>
      </c>
      <c r="N135" s="5" t="s">
        <v>54</v>
      </c>
      <c r="O135" s="5" t="s">
        <v>41</v>
      </c>
      <c r="P135" s="30">
        <f t="shared" si="6"/>
        <v>6</v>
      </c>
      <c r="Q135" s="41">
        <v>3642.4475524475524</v>
      </c>
      <c r="R135" s="41">
        <v>4500</v>
      </c>
      <c r="S135" s="41">
        <f t="shared" si="7"/>
        <v>857.55244755244757</v>
      </c>
    </row>
    <row r="136" spans="1:19">
      <c r="A136" s="5">
        <v>135</v>
      </c>
      <c r="B136" s="5" t="s">
        <v>1239</v>
      </c>
      <c r="C136" s="5"/>
      <c r="D136" s="5"/>
      <c r="E136" s="5"/>
      <c r="F136" s="5"/>
      <c r="G136" s="5" t="s">
        <v>52</v>
      </c>
      <c r="H136" s="5"/>
      <c r="I136" s="5"/>
      <c r="J136" s="5"/>
      <c r="K136" s="5"/>
      <c r="L136" s="5"/>
      <c r="M136" s="5"/>
      <c r="N136" s="5"/>
      <c r="O136" s="5"/>
      <c r="P136" s="5"/>
      <c r="Q136" s="41">
        <v>3642.4475524475524</v>
      </c>
      <c r="R136" s="41">
        <v>0</v>
      </c>
      <c r="S136" s="41">
        <f t="shared" si="7"/>
        <v>-3642.4475524475524</v>
      </c>
    </row>
    <row r="137" spans="1:19">
      <c r="A137" s="5">
        <v>136</v>
      </c>
      <c r="B137" s="5" t="s">
        <v>1240</v>
      </c>
      <c r="C137" s="5"/>
      <c r="D137" s="5"/>
      <c r="E137" s="5"/>
      <c r="F137" s="5"/>
      <c r="G137" s="5" t="s">
        <v>52</v>
      </c>
      <c r="H137" s="5"/>
      <c r="I137" s="5"/>
      <c r="J137" s="5"/>
      <c r="K137" s="5"/>
      <c r="L137" s="5"/>
      <c r="M137" s="5"/>
      <c r="N137" s="5"/>
      <c r="O137" s="5"/>
      <c r="P137" s="5"/>
      <c r="Q137" s="41">
        <v>3642.4475524475524</v>
      </c>
      <c r="R137" s="41">
        <v>0</v>
      </c>
      <c r="S137" s="41">
        <f t="shared" si="7"/>
        <v>-3642.4475524475524</v>
      </c>
    </row>
    <row r="138" spans="1:19">
      <c r="A138" s="5">
        <v>137</v>
      </c>
      <c r="B138" s="5">
        <v>2509040924</v>
      </c>
      <c r="C138" s="5" t="s">
        <v>1725</v>
      </c>
      <c r="D138" s="5" t="s">
        <v>296</v>
      </c>
      <c r="E138" s="5" t="s">
        <v>1726</v>
      </c>
      <c r="F138" s="5" t="s">
        <v>79</v>
      </c>
      <c r="G138" s="5" t="s">
        <v>52</v>
      </c>
      <c r="H138" s="5" t="s">
        <v>1727</v>
      </c>
      <c r="I138" s="5">
        <v>202501177</v>
      </c>
      <c r="J138" s="5"/>
      <c r="K138" s="6">
        <v>45904</v>
      </c>
      <c r="L138" s="6">
        <v>45910</v>
      </c>
      <c r="M138" s="5" t="s">
        <v>53</v>
      </c>
      <c r="N138" s="5" t="s">
        <v>54</v>
      </c>
      <c r="O138" s="5" t="s">
        <v>41</v>
      </c>
      <c r="P138" s="30">
        <f t="shared" ref="P138:P161" si="8">L138-K138</f>
        <v>6</v>
      </c>
      <c r="Q138" s="41">
        <v>3642.4475524475524</v>
      </c>
      <c r="R138" s="41">
        <v>8500</v>
      </c>
      <c r="S138" s="41">
        <f t="shared" si="7"/>
        <v>4857.5524475524471</v>
      </c>
    </row>
    <row r="139" spans="1:19">
      <c r="A139" s="5">
        <v>138</v>
      </c>
      <c r="B139" s="5">
        <v>2509041421</v>
      </c>
      <c r="C139" s="5" t="s">
        <v>1728</v>
      </c>
      <c r="D139" s="5" t="s">
        <v>97</v>
      </c>
      <c r="E139" s="5" t="s">
        <v>1729</v>
      </c>
      <c r="F139" s="5" t="s">
        <v>71</v>
      </c>
      <c r="G139" s="5" t="s">
        <v>75</v>
      </c>
      <c r="H139" s="5" t="s">
        <v>1727</v>
      </c>
      <c r="I139" s="5">
        <v>202501178</v>
      </c>
      <c r="J139" s="5"/>
      <c r="K139" s="6">
        <v>45904</v>
      </c>
      <c r="L139" s="6">
        <v>45910</v>
      </c>
      <c r="M139" s="5" t="s">
        <v>53</v>
      </c>
      <c r="N139" s="5" t="s">
        <v>54</v>
      </c>
      <c r="O139" s="5" t="s">
        <v>41</v>
      </c>
      <c r="P139" s="30">
        <f t="shared" si="8"/>
        <v>6</v>
      </c>
      <c r="Q139" s="41">
        <v>3642.4475524475524</v>
      </c>
      <c r="R139" s="41">
        <v>4900</v>
      </c>
      <c r="S139" s="41">
        <f t="shared" si="7"/>
        <v>1257.5524475524476</v>
      </c>
    </row>
    <row r="140" spans="1:19">
      <c r="A140" s="5">
        <v>139</v>
      </c>
      <c r="B140" s="5">
        <v>2509041433</v>
      </c>
      <c r="C140" s="5" t="s">
        <v>1730</v>
      </c>
      <c r="D140" s="5" t="s">
        <v>309</v>
      </c>
      <c r="E140" s="5" t="s">
        <v>1597</v>
      </c>
      <c r="F140" s="5" t="s">
        <v>51</v>
      </c>
      <c r="G140" s="5" t="s">
        <v>52</v>
      </c>
      <c r="H140" s="5" t="s">
        <v>1727</v>
      </c>
      <c r="I140" s="5">
        <v>202501179</v>
      </c>
      <c r="J140" s="5"/>
      <c r="K140" s="6">
        <v>45904</v>
      </c>
      <c r="L140" s="6">
        <v>45910</v>
      </c>
      <c r="M140" s="5" t="s">
        <v>53</v>
      </c>
      <c r="N140" s="5" t="s">
        <v>54</v>
      </c>
      <c r="O140" s="5" t="s">
        <v>41</v>
      </c>
      <c r="P140" s="30">
        <f t="shared" si="8"/>
        <v>6</v>
      </c>
      <c r="Q140" s="41">
        <v>3642.4475524475524</v>
      </c>
      <c r="R140" s="41">
        <v>5500</v>
      </c>
      <c r="S140" s="41">
        <f t="shared" si="7"/>
        <v>1857.5524475524476</v>
      </c>
    </row>
    <row r="141" spans="1:19">
      <c r="A141" s="5">
        <v>140</v>
      </c>
      <c r="B141" s="5">
        <v>2509040517</v>
      </c>
      <c r="C141" s="5" t="s">
        <v>1731</v>
      </c>
      <c r="D141" s="5" t="s">
        <v>40</v>
      </c>
      <c r="E141" s="5" t="s">
        <v>41</v>
      </c>
      <c r="F141" s="5" t="s">
        <v>42</v>
      </c>
      <c r="G141" s="5" t="s">
        <v>43</v>
      </c>
      <c r="H141" s="5" t="s">
        <v>1727</v>
      </c>
      <c r="I141" s="5">
        <v>202501180</v>
      </c>
      <c r="J141" s="5"/>
      <c r="K141" s="6">
        <v>45904</v>
      </c>
      <c r="L141" s="6">
        <v>45910</v>
      </c>
      <c r="M141" s="5" t="s">
        <v>53</v>
      </c>
      <c r="N141" s="5" t="s">
        <v>54</v>
      </c>
      <c r="O141" s="5" t="s">
        <v>41</v>
      </c>
      <c r="P141" s="30">
        <f t="shared" si="8"/>
        <v>6</v>
      </c>
      <c r="Q141" s="41">
        <v>3642.4475524475524</v>
      </c>
      <c r="R141" s="41">
        <v>14500</v>
      </c>
      <c r="S141" s="41">
        <f t="shared" si="7"/>
        <v>10857.552447552447</v>
      </c>
    </row>
    <row r="142" spans="1:19">
      <c r="A142" s="5">
        <v>141</v>
      </c>
      <c r="B142" s="5">
        <v>2509040517</v>
      </c>
      <c r="C142" s="5" t="s">
        <v>1731</v>
      </c>
      <c r="D142" s="5" t="s">
        <v>40</v>
      </c>
      <c r="E142" s="5" t="s">
        <v>41</v>
      </c>
      <c r="F142" s="5" t="s">
        <v>42</v>
      </c>
      <c r="G142" s="5" t="s">
        <v>43</v>
      </c>
      <c r="H142" s="5" t="s">
        <v>1727</v>
      </c>
      <c r="I142" s="5">
        <v>202501181</v>
      </c>
      <c r="J142" s="5"/>
      <c r="K142" s="6">
        <v>45904</v>
      </c>
      <c r="L142" s="6">
        <v>45910</v>
      </c>
      <c r="M142" s="5" t="s">
        <v>53</v>
      </c>
      <c r="N142" s="5" t="s">
        <v>54</v>
      </c>
      <c r="O142" s="5" t="s">
        <v>41</v>
      </c>
      <c r="P142" s="30">
        <f t="shared" si="8"/>
        <v>6</v>
      </c>
      <c r="Q142" s="41">
        <v>3642.4475524475524</v>
      </c>
      <c r="R142" s="41">
        <v>0</v>
      </c>
      <c r="S142" s="41">
        <f t="shared" si="7"/>
        <v>-3642.4475524475524</v>
      </c>
    </row>
    <row r="143" spans="1:19">
      <c r="A143" s="5">
        <v>142</v>
      </c>
      <c r="B143" s="5">
        <v>2509042869</v>
      </c>
      <c r="C143" s="5" t="s">
        <v>1732</v>
      </c>
      <c r="D143" s="5" t="s">
        <v>572</v>
      </c>
      <c r="E143" s="5" t="s">
        <v>1733</v>
      </c>
      <c r="F143" s="5" t="s">
        <v>87</v>
      </c>
      <c r="G143" s="5" t="s">
        <v>52</v>
      </c>
      <c r="H143" s="5" t="s">
        <v>1727</v>
      </c>
      <c r="I143" s="5">
        <v>202501182</v>
      </c>
      <c r="J143" s="5"/>
      <c r="K143" s="6">
        <v>45904</v>
      </c>
      <c r="L143" s="6">
        <v>45910</v>
      </c>
      <c r="M143" s="5" t="s">
        <v>53</v>
      </c>
      <c r="N143" s="5" t="s">
        <v>54</v>
      </c>
      <c r="O143" s="5" t="s">
        <v>41</v>
      </c>
      <c r="P143" s="30">
        <f t="shared" si="8"/>
        <v>6</v>
      </c>
      <c r="Q143" s="41">
        <v>3642.4475524475524</v>
      </c>
      <c r="R143" s="41">
        <v>6000</v>
      </c>
      <c r="S143" s="41">
        <f t="shared" si="7"/>
        <v>2357.5524475524476</v>
      </c>
    </row>
    <row r="144" spans="1:19">
      <c r="A144" s="5">
        <v>143</v>
      </c>
      <c r="B144" s="5">
        <v>2508302260</v>
      </c>
      <c r="C144" s="5" t="s">
        <v>1734</v>
      </c>
      <c r="D144" s="5" t="s">
        <v>218</v>
      </c>
      <c r="E144" s="5" t="s">
        <v>219</v>
      </c>
      <c r="F144" s="5" t="s">
        <v>51</v>
      </c>
      <c r="G144" s="5" t="s">
        <v>52</v>
      </c>
      <c r="H144" s="5" t="s">
        <v>1727</v>
      </c>
      <c r="I144" s="5">
        <v>202501183</v>
      </c>
      <c r="J144" s="5"/>
      <c r="K144" s="6">
        <v>45904</v>
      </c>
      <c r="L144" s="6">
        <v>45910</v>
      </c>
      <c r="M144" s="5" t="s">
        <v>53</v>
      </c>
      <c r="N144" s="5" t="s">
        <v>54</v>
      </c>
      <c r="O144" s="5" t="s">
        <v>41</v>
      </c>
      <c r="P144" s="30">
        <f t="shared" si="8"/>
        <v>6</v>
      </c>
      <c r="Q144" s="41">
        <v>3642.4475524475524</v>
      </c>
      <c r="R144" s="41">
        <v>5500</v>
      </c>
      <c r="S144" s="41">
        <f t="shared" si="7"/>
        <v>1857.5524475524476</v>
      </c>
    </row>
    <row r="145" spans="1:19">
      <c r="A145" s="5">
        <v>144</v>
      </c>
      <c r="B145" s="5">
        <v>2509042870</v>
      </c>
      <c r="C145" s="5" t="s">
        <v>1735</v>
      </c>
      <c r="D145" s="5" t="s">
        <v>581</v>
      </c>
      <c r="E145" s="5" t="s">
        <v>1736</v>
      </c>
      <c r="F145" s="5" t="s">
        <v>202</v>
      </c>
      <c r="G145" s="5" t="s">
        <v>75</v>
      </c>
      <c r="H145" s="5" t="s">
        <v>1727</v>
      </c>
      <c r="I145" s="5">
        <v>202501184</v>
      </c>
      <c r="J145" s="5"/>
      <c r="K145" s="6">
        <v>45904</v>
      </c>
      <c r="L145" s="6">
        <v>45910</v>
      </c>
      <c r="M145" s="5" t="s">
        <v>53</v>
      </c>
      <c r="N145" s="5" t="s">
        <v>54</v>
      </c>
      <c r="O145" s="5" t="s">
        <v>41</v>
      </c>
      <c r="P145" s="30">
        <f t="shared" si="8"/>
        <v>6</v>
      </c>
      <c r="Q145" s="41">
        <v>3642.4475524475524</v>
      </c>
      <c r="R145" s="41">
        <v>5900</v>
      </c>
      <c r="S145" s="41">
        <f t="shared" si="7"/>
        <v>2257.5524475524476</v>
      </c>
    </row>
    <row r="146" spans="1:19">
      <c r="A146" s="5">
        <v>145</v>
      </c>
      <c r="B146" s="5">
        <v>2509042871</v>
      </c>
      <c r="C146" s="5" t="s">
        <v>1737</v>
      </c>
      <c r="D146" s="5" t="s">
        <v>599</v>
      </c>
      <c r="E146" s="5" t="s">
        <v>1738</v>
      </c>
      <c r="F146" s="5" t="s">
        <v>169</v>
      </c>
      <c r="G146" s="5" t="s">
        <v>52</v>
      </c>
      <c r="H146" s="5" t="s">
        <v>1727</v>
      </c>
      <c r="I146" s="5">
        <v>202501185</v>
      </c>
      <c r="J146" s="5"/>
      <c r="K146" s="6">
        <v>45904</v>
      </c>
      <c r="L146" s="6">
        <v>45910</v>
      </c>
      <c r="M146" s="5" t="s">
        <v>53</v>
      </c>
      <c r="N146" s="5" t="s">
        <v>54</v>
      </c>
      <c r="O146" s="5" t="s">
        <v>41</v>
      </c>
      <c r="P146" s="30">
        <f t="shared" si="8"/>
        <v>6</v>
      </c>
      <c r="Q146" s="41">
        <v>3642.4475524475524</v>
      </c>
      <c r="R146" s="41">
        <v>7500</v>
      </c>
      <c r="S146" s="41">
        <f t="shared" si="7"/>
        <v>3857.5524475524476</v>
      </c>
    </row>
    <row r="147" spans="1:19">
      <c r="A147" s="5">
        <v>146</v>
      </c>
      <c r="B147" s="5">
        <v>2509050001</v>
      </c>
      <c r="C147" s="5" t="s">
        <v>1739</v>
      </c>
      <c r="D147" s="5" t="s">
        <v>321</v>
      </c>
      <c r="E147" s="5" t="s">
        <v>1740</v>
      </c>
      <c r="F147" s="5" t="s">
        <v>202</v>
      </c>
      <c r="G147" s="5" t="s">
        <v>43</v>
      </c>
      <c r="H147" s="5" t="s">
        <v>1727</v>
      </c>
      <c r="I147" s="5">
        <v>202501186</v>
      </c>
      <c r="J147" s="5"/>
      <c r="K147" s="6">
        <v>45905</v>
      </c>
      <c r="L147" s="6">
        <v>45910</v>
      </c>
      <c r="M147" s="5" t="s">
        <v>53</v>
      </c>
      <c r="N147" s="5" t="s">
        <v>54</v>
      </c>
      <c r="O147" s="5" t="s">
        <v>41</v>
      </c>
      <c r="P147" s="30">
        <f t="shared" si="8"/>
        <v>5</v>
      </c>
      <c r="Q147" s="41">
        <v>3642.4475524475524</v>
      </c>
      <c r="R147" s="41">
        <v>12000</v>
      </c>
      <c r="S147" s="41">
        <f t="shared" si="7"/>
        <v>8357.5524475524471</v>
      </c>
    </row>
    <row r="148" spans="1:19">
      <c r="A148" s="5">
        <v>147</v>
      </c>
      <c r="B148" s="5">
        <v>2509052994</v>
      </c>
      <c r="C148" s="5" t="s">
        <v>1741</v>
      </c>
      <c r="D148" s="5" t="s">
        <v>804</v>
      </c>
      <c r="E148" s="5" t="s">
        <v>805</v>
      </c>
      <c r="F148" s="5" t="s">
        <v>457</v>
      </c>
      <c r="G148" s="5" t="s">
        <v>75</v>
      </c>
      <c r="H148" s="5" t="s">
        <v>1727</v>
      </c>
      <c r="I148" s="5">
        <v>202501187</v>
      </c>
      <c r="J148" s="5"/>
      <c r="K148" s="6">
        <v>45905</v>
      </c>
      <c r="L148" s="6">
        <v>45910</v>
      </c>
      <c r="M148" s="5" t="s">
        <v>53</v>
      </c>
      <c r="N148" s="5" t="s">
        <v>54</v>
      </c>
      <c r="O148" s="5" t="s">
        <v>41</v>
      </c>
      <c r="P148" s="30">
        <f t="shared" si="8"/>
        <v>5</v>
      </c>
      <c r="Q148" s="41">
        <v>3642.4475524475524</v>
      </c>
      <c r="R148" s="41">
        <v>4000</v>
      </c>
      <c r="S148" s="41">
        <f t="shared" si="7"/>
        <v>357.55244755244757</v>
      </c>
    </row>
    <row r="149" spans="1:19">
      <c r="A149" s="5">
        <v>148</v>
      </c>
      <c r="B149" s="5">
        <v>2509052998</v>
      </c>
      <c r="C149" s="5" t="s">
        <v>1742</v>
      </c>
      <c r="D149" s="5" t="s">
        <v>1692</v>
      </c>
      <c r="E149" s="5" t="s">
        <v>1743</v>
      </c>
      <c r="F149" s="5" t="s">
        <v>457</v>
      </c>
      <c r="G149" s="5" t="s">
        <v>52</v>
      </c>
      <c r="H149" s="5" t="s">
        <v>1727</v>
      </c>
      <c r="I149" s="5">
        <v>202501188</v>
      </c>
      <c r="J149" s="5"/>
      <c r="K149" s="6">
        <v>45905</v>
      </c>
      <c r="L149" s="6">
        <v>45910</v>
      </c>
      <c r="M149" s="5" t="s">
        <v>53</v>
      </c>
      <c r="N149" s="5" t="s">
        <v>54</v>
      </c>
      <c r="O149" s="5" t="s">
        <v>41</v>
      </c>
      <c r="P149" s="30">
        <f t="shared" si="8"/>
        <v>5</v>
      </c>
      <c r="Q149" s="41">
        <v>3642.4475524475524</v>
      </c>
      <c r="R149" s="41">
        <v>5200</v>
      </c>
      <c r="S149" s="41">
        <f t="shared" si="7"/>
        <v>1557.5524475524476</v>
      </c>
    </row>
    <row r="150" spans="1:19">
      <c r="A150" s="5">
        <v>149</v>
      </c>
      <c r="B150" s="5">
        <v>2509053004</v>
      </c>
      <c r="C150" s="5" t="s">
        <v>1744</v>
      </c>
      <c r="D150" s="5" t="s">
        <v>908</v>
      </c>
      <c r="E150" s="5" t="s">
        <v>1478</v>
      </c>
      <c r="F150" s="5" t="s">
        <v>362</v>
      </c>
      <c r="G150" s="5" t="s">
        <v>52</v>
      </c>
      <c r="H150" s="5" t="s">
        <v>1727</v>
      </c>
      <c r="I150" s="5">
        <v>202501189</v>
      </c>
      <c r="J150" s="5"/>
      <c r="K150" s="6">
        <v>45905</v>
      </c>
      <c r="L150" s="6">
        <v>45910</v>
      </c>
      <c r="M150" s="5" t="s">
        <v>53</v>
      </c>
      <c r="N150" s="5" t="s">
        <v>54</v>
      </c>
      <c r="O150" s="5" t="s">
        <v>41</v>
      </c>
      <c r="P150" s="30">
        <f t="shared" si="8"/>
        <v>5</v>
      </c>
      <c r="Q150" s="41">
        <v>3642.4475524475524</v>
      </c>
      <c r="R150" s="41">
        <v>5500</v>
      </c>
      <c r="S150" s="41">
        <f t="shared" si="7"/>
        <v>1857.5524475524476</v>
      </c>
    </row>
    <row r="151" spans="1:19">
      <c r="A151" s="5">
        <v>150</v>
      </c>
      <c r="B151" s="13">
        <v>2509053009</v>
      </c>
      <c r="C151" s="13" t="s">
        <v>1745</v>
      </c>
      <c r="D151" s="13" t="s">
        <v>97</v>
      </c>
      <c r="E151" s="13" t="s">
        <v>1746</v>
      </c>
      <c r="F151" s="13" t="s">
        <v>71</v>
      </c>
      <c r="G151" s="13" t="s">
        <v>75</v>
      </c>
      <c r="H151" s="13" t="s">
        <v>1727</v>
      </c>
      <c r="I151" s="13">
        <v>202501190</v>
      </c>
      <c r="J151" s="13"/>
      <c r="K151" s="14">
        <v>45905</v>
      </c>
      <c r="L151" s="14">
        <v>45910</v>
      </c>
      <c r="M151" s="13" t="s">
        <v>45</v>
      </c>
      <c r="N151" s="13" t="s">
        <v>46</v>
      </c>
      <c r="O151" s="13" t="s">
        <v>1523</v>
      </c>
      <c r="P151" s="35">
        <f t="shared" si="8"/>
        <v>5</v>
      </c>
      <c r="Q151" s="15">
        <v>3642.4475524475524</v>
      </c>
      <c r="R151" s="15">
        <v>4900</v>
      </c>
      <c r="S151" s="15">
        <f t="shared" si="7"/>
        <v>1257.5524475524476</v>
      </c>
    </row>
    <row r="152" spans="1:19">
      <c r="A152" s="5">
        <v>151</v>
      </c>
      <c r="B152" s="5">
        <v>2509053018</v>
      </c>
      <c r="C152" s="5" t="s">
        <v>1747</v>
      </c>
      <c r="D152" s="5" t="s">
        <v>309</v>
      </c>
      <c r="E152" s="5" t="s">
        <v>1597</v>
      </c>
      <c r="F152" s="5" t="s">
        <v>51</v>
      </c>
      <c r="G152" s="5" t="s">
        <v>52</v>
      </c>
      <c r="H152" s="5" t="s">
        <v>1727</v>
      </c>
      <c r="I152" s="5">
        <v>202501191</v>
      </c>
      <c r="J152" s="5"/>
      <c r="K152" s="6">
        <v>45905</v>
      </c>
      <c r="L152" s="6">
        <v>45910</v>
      </c>
      <c r="M152" s="5" t="s">
        <v>53</v>
      </c>
      <c r="N152" s="5" t="s">
        <v>54</v>
      </c>
      <c r="O152" s="5" t="s">
        <v>41</v>
      </c>
      <c r="P152" s="30">
        <f t="shared" si="8"/>
        <v>5</v>
      </c>
      <c r="Q152" s="41">
        <v>3642.4475524475524</v>
      </c>
      <c r="R152" s="41">
        <v>5500</v>
      </c>
      <c r="S152" s="41">
        <f t="shared" si="7"/>
        <v>1857.5524475524476</v>
      </c>
    </row>
    <row r="153" spans="1:19">
      <c r="A153" s="5">
        <v>152</v>
      </c>
      <c r="B153" s="5">
        <v>2509053022</v>
      </c>
      <c r="C153" s="5" t="s">
        <v>1748</v>
      </c>
      <c r="D153" s="5" t="s">
        <v>309</v>
      </c>
      <c r="E153" s="5" t="s">
        <v>1597</v>
      </c>
      <c r="F153" s="5" t="s">
        <v>51</v>
      </c>
      <c r="G153" s="5" t="s">
        <v>52</v>
      </c>
      <c r="H153" s="5" t="s">
        <v>1727</v>
      </c>
      <c r="I153" s="5">
        <v>202501192</v>
      </c>
      <c r="J153" s="5"/>
      <c r="K153" s="6">
        <v>45905</v>
      </c>
      <c r="L153" s="6">
        <v>45910</v>
      </c>
      <c r="M153" s="5" t="s">
        <v>53</v>
      </c>
      <c r="N153" s="5" t="s">
        <v>54</v>
      </c>
      <c r="O153" s="5" t="s">
        <v>41</v>
      </c>
      <c r="P153" s="30">
        <f t="shared" si="8"/>
        <v>5</v>
      </c>
      <c r="Q153" s="41">
        <v>3642.4475524475524</v>
      </c>
      <c r="R153" s="41">
        <v>5500</v>
      </c>
      <c r="S153" s="41">
        <f t="shared" si="7"/>
        <v>1857.5524475524476</v>
      </c>
    </row>
    <row r="154" spans="1:19">
      <c r="A154" s="5">
        <v>153</v>
      </c>
      <c r="B154" s="5">
        <v>2509050886</v>
      </c>
      <c r="C154" s="5" t="s">
        <v>1749</v>
      </c>
      <c r="D154" s="5" t="s">
        <v>40</v>
      </c>
      <c r="E154" s="5" t="s">
        <v>41</v>
      </c>
      <c r="F154" s="5" t="s">
        <v>42</v>
      </c>
      <c r="G154" s="5" t="s">
        <v>75</v>
      </c>
      <c r="H154" s="5" t="s">
        <v>1727</v>
      </c>
      <c r="I154" s="5">
        <v>202501193</v>
      </c>
      <c r="J154" s="5"/>
      <c r="K154" s="6">
        <v>45905</v>
      </c>
      <c r="L154" s="6">
        <v>45910</v>
      </c>
      <c r="M154" s="5" t="s">
        <v>53</v>
      </c>
      <c r="N154" s="5" t="s">
        <v>54</v>
      </c>
      <c r="O154" s="5" t="s">
        <v>41</v>
      </c>
      <c r="P154" s="30">
        <f t="shared" si="8"/>
        <v>5</v>
      </c>
      <c r="Q154" s="41">
        <v>3642.4475524475524</v>
      </c>
      <c r="R154" s="41">
        <v>6500</v>
      </c>
      <c r="S154" s="41">
        <f t="shared" si="7"/>
        <v>2857.5524475524476</v>
      </c>
    </row>
    <row r="155" spans="1:19">
      <c r="A155" s="5">
        <v>154</v>
      </c>
      <c r="B155" s="5">
        <v>2509050886</v>
      </c>
      <c r="C155" s="5" t="s">
        <v>1749</v>
      </c>
      <c r="D155" s="5" t="s">
        <v>40</v>
      </c>
      <c r="E155" s="5" t="s">
        <v>41</v>
      </c>
      <c r="F155" s="5" t="s">
        <v>42</v>
      </c>
      <c r="G155" s="5" t="s">
        <v>75</v>
      </c>
      <c r="H155" s="5" t="s">
        <v>1727</v>
      </c>
      <c r="I155" s="5">
        <v>202501194</v>
      </c>
      <c r="J155" s="5"/>
      <c r="K155" s="6">
        <v>45905</v>
      </c>
      <c r="L155" s="6">
        <v>45910</v>
      </c>
      <c r="M155" s="5" t="s">
        <v>53</v>
      </c>
      <c r="N155" s="5" t="s">
        <v>54</v>
      </c>
      <c r="O155" s="5" t="s">
        <v>41</v>
      </c>
      <c r="P155" s="30">
        <f t="shared" si="8"/>
        <v>5</v>
      </c>
      <c r="Q155" s="41">
        <v>3642.4475524475524</v>
      </c>
      <c r="R155" s="41">
        <v>0</v>
      </c>
      <c r="S155" s="41">
        <f t="shared" si="7"/>
        <v>-3642.4475524475524</v>
      </c>
    </row>
    <row r="156" spans="1:19">
      <c r="A156" s="5">
        <v>155</v>
      </c>
      <c r="B156" s="5">
        <v>2509050869</v>
      </c>
      <c r="C156" s="5" t="s">
        <v>1750</v>
      </c>
      <c r="D156" s="5" t="s">
        <v>40</v>
      </c>
      <c r="E156" s="5" t="s">
        <v>41</v>
      </c>
      <c r="F156" s="5" t="s">
        <v>42</v>
      </c>
      <c r="G156" s="5" t="s">
        <v>75</v>
      </c>
      <c r="H156" s="5" t="s">
        <v>1727</v>
      </c>
      <c r="I156" s="5">
        <v>202501195</v>
      </c>
      <c r="J156" s="5"/>
      <c r="K156" s="6">
        <v>45905</v>
      </c>
      <c r="L156" s="6">
        <v>45910</v>
      </c>
      <c r="M156" s="5" t="s">
        <v>53</v>
      </c>
      <c r="N156" s="5" t="s">
        <v>54</v>
      </c>
      <c r="O156" s="5" t="s">
        <v>41</v>
      </c>
      <c r="P156" s="30">
        <f t="shared" si="8"/>
        <v>5</v>
      </c>
      <c r="Q156" s="41">
        <v>3642.4475524475524</v>
      </c>
      <c r="R156" s="41">
        <v>6500</v>
      </c>
      <c r="S156" s="41">
        <f t="shared" si="7"/>
        <v>2857.5524475524476</v>
      </c>
    </row>
    <row r="157" spans="1:19">
      <c r="A157" s="5">
        <v>156</v>
      </c>
      <c r="B157" s="5">
        <v>2509050869</v>
      </c>
      <c r="C157" s="5" t="s">
        <v>1750</v>
      </c>
      <c r="D157" s="5" t="s">
        <v>40</v>
      </c>
      <c r="E157" s="5" t="s">
        <v>41</v>
      </c>
      <c r="F157" s="5" t="s">
        <v>42</v>
      </c>
      <c r="G157" s="5" t="s">
        <v>75</v>
      </c>
      <c r="H157" s="5" t="s">
        <v>1727</v>
      </c>
      <c r="I157" s="5">
        <v>202501196</v>
      </c>
      <c r="J157" s="5"/>
      <c r="K157" s="6">
        <v>45905</v>
      </c>
      <c r="L157" s="6">
        <v>45910</v>
      </c>
      <c r="M157" s="5" t="s">
        <v>53</v>
      </c>
      <c r="N157" s="5" t="s">
        <v>54</v>
      </c>
      <c r="O157" s="5" t="s">
        <v>41</v>
      </c>
      <c r="P157" s="30">
        <f t="shared" si="8"/>
        <v>5</v>
      </c>
      <c r="Q157" s="41">
        <v>3642.4475524475524</v>
      </c>
      <c r="R157" s="41">
        <v>0</v>
      </c>
      <c r="S157" s="41">
        <f t="shared" si="7"/>
        <v>-3642.4475524475524</v>
      </c>
    </row>
    <row r="158" spans="1:19">
      <c r="A158" s="5">
        <v>157</v>
      </c>
      <c r="B158" s="5">
        <v>2509050857</v>
      </c>
      <c r="C158" s="5" t="s">
        <v>1751</v>
      </c>
      <c r="D158" s="5" t="s">
        <v>40</v>
      </c>
      <c r="E158" s="5" t="s">
        <v>41</v>
      </c>
      <c r="F158" s="5" t="s">
        <v>42</v>
      </c>
      <c r="G158" s="5" t="s">
        <v>75</v>
      </c>
      <c r="H158" s="5" t="s">
        <v>1727</v>
      </c>
      <c r="I158" s="5">
        <v>202501197</v>
      </c>
      <c r="J158" s="5"/>
      <c r="K158" s="6">
        <v>45905</v>
      </c>
      <c r="L158" s="6">
        <v>45910</v>
      </c>
      <c r="M158" s="5" t="s">
        <v>53</v>
      </c>
      <c r="N158" s="5" t="s">
        <v>54</v>
      </c>
      <c r="O158" s="5" t="s">
        <v>41</v>
      </c>
      <c r="P158" s="30">
        <f t="shared" si="8"/>
        <v>5</v>
      </c>
      <c r="Q158" s="41">
        <v>3642.4475524475524</v>
      </c>
      <c r="R158" s="41">
        <v>6500</v>
      </c>
      <c r="S158" s="41">
        <f t="shared" si="7"/>
        <v>2857.5524475524476</v>
      </c>
    </row>
    <row r="159" spans="1:19">
      <c r="A159" s="5">
        <v>158</v>
      </c>
      <c r="B159" s="5">
        <v>2509050857</v>
      </c>
      <c r="C159" s="5" t="s">
        <v>1751</v>
      </c>
      <c r="D159" s="5" t="s">
        <v>40</v>
      </c>
      <c r="E159" s="5" t="s">
        <v>41</v>
      </c>
      <c r="F159" s="5" t="s">
        <v>42</v>
      </c>
      <c r="G159" s="5" t="s">
        <v>75</v>
      </c>
      <c r="H159" s="5" t="s">
        <v>1727</v>
      </c>
      <c r="I159" s="5">
        <v>202501198</v>
      </c>
      <c r="J159" s="5"/>
      <c r="K159" s="6">
        <v>45905</v>
      </c>
      <c r="L159" s="6">
        <v>45910</v>
      </c>
      <c r="M159" s="5" t="s">
        <v>53</v>
      </c>
      <c r="N159" s="5" t="s">
        <v>54</v>
      </c>
      <c r="O159" s="5" t="s">
        <v>41</v>
      </c>
      <c r="P159" s="30">
        <f t="shared" si="8"/>
        <v>5</v>
      </c>
      <c r="Q159" s="41">
        <v>3642.4475524475524</v>
      </c>
      <c r="R159" s="41">
        <v>0</v>
      </c>
      <c r="S159" s="41">
        <f t="shared" si="7"/>
        <v>-3642.4475524475524</v>
      </c>
    </row>
    <row r="160" spans="1:19">
      <c r="A160" s="5">
        <v>159</v>
      </c>
      <c r="B160" s="5">
        <v>2509053031</v>
      </c>
      <c r="C160" s="5" t="s">
        <v>1752</v>
      </c>
      <c r="D160" s="5" t="s">
        <v>77</v>
      </c>
      <c r="E160" s="5" t="s">
        <v>78</v>
      </c>
      <c r="F160" s="5" t="s">
        <v>79</v>
      </c>
      <c r="G160" s="5" t="s">
        <v>43</v>
      </c>
      <c r="H160" s="5" t="s">
        <v>1727</v>
      </c>
      <c r="I160" s="5">
        <v>202501199</v>
      </c>
      <c r="J160" s="5"/>
      <c r="K160" s="6">
        <v>45905</v>
      </c>
      <c r="L160" s="6">
        <v>45910</v>
      </c>
      <c r="M160" s="5" t="s">
        <v>53</v>
      </c>
      <c r="N160" s="5" t="s">
        <v>54</v>
      </c>
      <c r="O160" s="5" t="s">
        <v>41</v>
      </c>
      <c r="P160" s="30">
        <f t="shared" si="8"/>
        <v>5</v>
      </c>
      <c r="Q160" s="41">
        <v>3642.4475524475524</v>
      </c>
      <c r="R160" s="41">
        <v>8500</v>
      </c>
      <c r="S160" s="41">
        <f t="shared" si="7"/>
        <v>4857.5524475524471</v>
      </c>
    </row>
    <row r="161" spans="1:19">
      <c r="A161" s="5">
        <v>160</v>
      </c>
      <c r="B161" s="5">
        <v>2509053034</v>
      </c>
      <c r="C161" s="5" t="s">
        <v>1753</v>
      </c>
      <c r="D161" s="5" t="s">
        <v>1282</v>
      </c>
      <c r="E161" s="5" t="s">
        <v>1283</v>
      </c>
      <c r="F161" s="5" t="s">
        <v>62</v>
      </c>
      <c r="G161" s="5" t="s">
        <v>52</v>
      </c>
      <c r="H161" s="5" t="s">
        <v>1727</v>
      </c>
      <c r="I161" s="5">
        <v>202501200</v>
      </c>
      <c r="J161" s="5"/>
      <c r="K161" s="6">
        <v>45905</v>
      </c>
      <c r="L161" s="6">
        <v>45910</v>
      </c>
      <c r="M161" s="5" t="s">
        <v>53</v>
      </c>
      <c r="N161" s="5" t="s">
        <v>54</v>
      </c>
      <c r="O161" s="5" t="s">
        <v>41</v>
      </c>
      <c r="P161" s="30">
        <f t="shared" si="8"/>
        <v>5</v>
      </c>
      <c r="Q161" s="41">
        <v>3642.4475524475524</v>
      </c>
      <c r="R161" s="41">
        <v>5500</v>
      </c>
      <c r="S161" s="41">
        <f t="shared" si="7"/>
        <v>1857.5524475524476</v>
      </c>
    </row>
    <row r="162" spans="1:19">
      <c r="A162" s="5">
        <v>161</v>
      </c>
      <c r="B162" s="5" t="s">
        <v>1239</v>
      </c>
      <c r="C162" s="5"/>
      <c r="D162" s="5"/>
      <c r="E162" s="5"/>
      <c r="F162" s="5"/>
      <c r="G162" s="5" t="s">
        <v>52</v>
      </c>
      <c r="H162" s="5"/>
      <c r="I162" s="5"/>
      <c r="J162" s="5"/>
      <c r="K162" s="5"/>
      <c r="L162" s="5"/>
      <c r="M162" s="5"/>
      <c r="N162" s="5"/>
      <c r="O162" s="5"/>
      <c r="P162" s="5"/>
      <c r="Q162" s="41">
        <v>3642.4475524475524</v>
      </c>
      <c r="R162" s="41">
        <v>0</v>
      </c>
      <c r="S162" s="41">
        <f t="shared" si="7"/>
        <v>-3642.4475524475524</v>
      </c>
    </row>
    <row r="163" spans="1:19">
      <c r="A163" s="5">
        <v>162</v>
      </c>
      <c r="B163" s="5" t="s">
        <v>1240</v>
      </c>
      <c r="C163" s="5"/>
      <c r="D163" s="5"/>
      <c r="E163" s="5"/>
      <c r="F163" s="5"/>
      <c r="G163" s="5" t="s">
        <v>52</v>
      </c>
      <c r="H163" s="5"/>
      <c r="I163" s="5"/>
      <c r="J163" s="5"/>
      <c r="K163" s="5"/>
      <c r="L163" s="5"/>
      <c r="M163" s="5"/>
      <c r="N163" s="5"/>
      <c r="O163" s="5"/>
      <c r="P163" s="5"/>
      <c r="Q163" s="41">
        <v>3642.4475524475502</v>
      </c>
      <c r="R163" s="41">
        <v>0</v>
      </c>
      <c r="S163" s="41">
        <f t="shared" si="7"/>
        <v>-3642.4475524475502</v>
      </c>
    </row>
    <row r="164" spans="1:19">
      <c r="A164" s="5">
        <v>163</v>
      </c>
      <c r="B164" s="26">
        <v>2508241159</v>
      </c>
      <c r="C164" s="26" t="s">
        <v>1520</v>
      </c>
      <c r="D164" s="26" t="s">
        <v>309</v>
      </c>
      <c r="E164" s="26" t="s">
        <v>1597</v>
      </c>
      <c r="F164" s="26" t="s">
        <v>51</v>
      </c>
      <c r="G164" s="26" t="s">
        <v>52</v>
      </c>
      <c r="H164" s="26" t="s">
        <v>1754</v>
      </c>
      <c r="I164" s="26" t="s">
        <v>1755</v>
      </c>
      <c r="J164" s="26"/>
      <c r="K164" s="27">
        <v>45907</v>
      </c>
      <c r="L164" s="27">
        <v>45911</v>
      </c>
      <c r="M164" s="26" t="s">
        <v>45</v>
      </c>
      <c r="N164" s="26" t="s">
        <v>163</v>
      </c>
      <c r="O164" s="26" t="s">
        <v>1603</v>
      </c>
      <c r="P164" s="33">
        <f t="shared" ref="P164:P187" si="9">L164-K164</f>
        <v>4</v>
      </c>
      <c r="Q164" s="28">
        <v>3642.4475524475524</v>
      </c>
      <c r="R164" s="28">
        <v>0</v>
      </c>
      <c r="S164" s="28">
        <f t="shared" si="7"/>
        <v>-3642.4475524475524</v>
      </c>
    </row>
    <row r="165" spans="1:19">
      <c r="A165" s="5">
        <v>164</v>
      </c>
      <c r="B165" s="22">
        <v>2508241165</v>
      </c>
      <c r="C165" s="22" t="s">
        <v>1522</v>
      </c>
      <c r="D165" s="22" t="s">
        <v>309</v>
      </c>
      <c r="E165" s="22" t="s">
        <v>1597</v>
      </c>
      <c r="F165" s="22" t="s">
        <v>51</v>
      </c>
      <c r="G165" s="22" t="s">
        <v>52</v>
      </c>
      <c r="H165" s="22" t="s">
        <v>1754</v>
      </c>
      <c r="I165" s="22" t="s">
        <v>1756</v>
      </c>
      <c r="J165" s="22"/>
      <c r="K165" s="23">
        <v>45907</v>
      </c>
      <c r="L165" s="23">
        <v>45911</v>
      </c>
      <c r="M165" s="22" t="s">
        <v>53</v>
      </c>
      <c r="N165" s="22" t="s">
        <v>54</v>
      </c>
      <c r="O165" s="22" t="s">
        <v>41</v>
      </c>
      <c r="P165" s="34">
        <f t="shared" si="9"/>
        <v>4</v>
      </c>
      <c r="Q165" s="24">
        <v>3642.4475524475524</v>
      </c>
      <c r="R165" s="24">
        <v>0</v>
      </c>
      <c r="S165" s="24">
        <f t="shared" si="7"/>
        <v>-3642.4475524475524</v>
      </c>
    </row>
    <row r="166" spans="1:19">
      <c r="A166" s="5">
        <v>165</v>
      </c>
      <c r="B166" s="5">
        <v>2509053039</v>
      </c>
      <c r="C166" s="5" t="s">
        <v>1757</v>
      </c>
      <c r="D166" s="5" t="s">
        <v>474</v>
      </c>
      <c r="E166" s="5" t="s">
        <v>1758</v>
      </c>
      <c r="F166" s="5" t="s">
        <v>169</v>
      </c>
      <c r="G166" s="5" t="s">
        <v>75</v>
      </c>
      <c r="H166" s="5" t="s">
        <v>1754</v>
      </c>
      <c r="I166" s="5">
        <v>202501201</v>
      </c>
      <c r="J166" s="5"/>
      <c r="K166" s="6">
        <v>45905</v>
      </c>
      <c r="L166" s="6">
        <v>45911</v>
      </c>
      <c r="M166" s="5" t="s">
        <v>53</v>
      </c>
      <c r="N166" s="5" t="s">
        <v>54</v>
      </c>
      <c r="O166" s="5" t="s">
        <v>41</v>
      </c>
      <c r="P166" s="30">
        <f t="shared" si="9"/>
        <v>6</v>
      </c>
      <c r="Q166" s="41">
        <v>3642.4475524475524</v>
      </c>
      <c r="R166" s="41">
        <v>4500</v>
      </c>
      <c r="S166" s="41">
        <f t="shared" si="7"/>
        <v>857.55244755244757</v>
      </c>
    </row>
    <row r="167" spans="1:19">
      <c r="A167" s="5">
        <v>166</v>
      </c>
      <c r="B167" s="5">
        <v>2509053042</v>
      </c>
      <c r="C167" s="5" t="s">
        <v>1759</v>
      </c>
      <c r="D167" s="5" t="s">
        <v>153</v>
      </c>
      <c r="E167" s="5" t="s">
        <v>154</v>
      </c>
      <c r="F167" s="5" t="s">
        <v>141</v>
      </c>
      <c r="G167" s="5" t="s">
        <v>52</v>
      </c>
      <c r="H167" s="5" t="s">
        <v>1754</v>
      </c>
      <c r="I167" s="5">
        <v>202501202</v>
      </c>
      <c r="J167" s="5"/>
      <c r="K167" s="6">
        <v>45905</v>
      </c>
      <c r="L167" s="6">
        <v>45911</v>
      </c>
      <c r="M167" s="5" t="s">
        <v>53</v>
      </c>
      <c r="N167" s="5" t="s">
        <v>54</v>
      </c>
      <c r="O167" s="5" t="s">
        <v>41</v>
      </c>
      <c r="P167" s="30">
        <f t="shared" si="9"/>
        <v>6</v>
      </c>
      <c r="Q167" s="41">
        <v>3642.4475524475524</v>
      </c>
      <c r="R167" s="41">
        <v>5500</v>
      </c>
      <c r="S167" s="41">
        <f t="shared" si="7"/>
        <v>1857.5524475524476</v>
      </c>
    </row>
    <row r="168" spans="1:19">
      <c r="A168" s="5">
        <v>167</v>
      </c>
      <c r="B168" s="5">
        <v>2509061368</v>
      </c>
      <c r="C168" s="5" t="s">
        <v>1760</v>
      </c>
      <c r="D168" s="5" t="s">
        <v>804</v>
      </c>
      <c r="E168" s="5" t="s">
        <v>805</v>
      </c>
      <c r="F168" s="5" t="s">
        <v>457</v>
      </c>
      <c r="G168" s="5" t="s">
        <v>75</v>
      </c>
      <c r="H168" s="5" t="s">
        <v>1754</v>
      </c>
      <c r="I168" s="5">
        <v>202501203</v>
      </c>
      <c r="J168" s="5"/>
      <c r="K168" s="6">
        <v>45906</v>
      </c>
      <c r="L168" s="6">
        <v>45911</v>
      </c>
      <c r="M168" s="5" t="s">
        <v>53</v>
      </c>
      <c r="N168" s="5" t="s">
        <v>54</v>
      </c>
      <c r="O168" s="5" t="s">
        <v>41</v>
      </c>
      <c r="P168" s="30">
        <f t="shared" si="9"/>
        <v>5</v>
      </c>
      <c r="Q168" s="41">
        <v>3642.4475524475524</v>
      </c>
      <c r="R168" s="41">
        <v>4000</v>
      </c>
      <c r="S168" s="41">
        <f t="shared" si="7"/>
        <v>357.55244755244757</v>
      </c>
    </row>
    <row r="169" spans="1:19">
      <c r="A169" s="5">
        <v>168</v>
      </c>
      <c r="B169" s="5">
        <v>2509061373</v>
      </c>
      <c r="C169" s="5" t="s">
        <v>1761</v>
      </c>
      <c r="D169" s="5" t="s">
        <v>1475</v>
      </c>
      <c r="E169" s="5" t="s">
        <v>1476</v>
      </c>
      <c r="F169" s="5" t="s">
        <v>362</v>
      </c>
      <c r="G169" s="5" t="s">
        <v>43</v>
      </c>
      <c r="H169" s="5" t="s">
        <v>1754</v>
      </c>
      <c r="I169" s="5">
        <v>202501204</v>
      </c>
      <c r="J169" s="5"/>
      <c r="K169" s="6">
        <v>45906</v>
      </c>
      <c r="L169" s="6">
        <v>45911</v>
      </c>
      <c r="M169" s="5" t="s">
        <v>53</v>
      </c>
      <c r="N169" s="5" t="s">
        <v>54</v>
      </c>
      <c r="O169" s="5" t="s">
        <v>41</v>
      </c>
      <c r="P169" s="30">
        <f t="shared" si="9"/>
        <v>5</v>
      </c>
      <c r="Q169" s="41">
        <v>3642.4475524475524</v>
      </c>
      <c r="R169" s="41">
        <v>10500</v>
      </c>
      <c r="S169" s="41">
        <f t="shared" si="7"/>
        <v>6857.5524475524471</v>
      </c>
    </row>
    <row r="170" spans="1:19">
      <c r="A170" s="5">
        <v>169</v>
      </c>
      <c r="B170" s="5">
        <v>2509061382</v>
      </c>
      <c r="C170" s="5" t="s">
        <v>1762</v>
      </c>
      <c r="D170" s="5" t="s">
        <v>249</v>
      </c>
      <c r="E170" s="5" t="s">
        <v>1763</v>
      </c>
      <c r="F170" s="5" t="s">
        <v>141</v>
      </c>
      <c r="G170" s="5" t="s">
        <v>52</v>
      </c>
      <c r="H170" s="5" t="s">
        <v>1754</v>
      </c>
      <c r="I170" s="5">
        <v>202501205</v>
      </c>
      <c r="J170" s="5"/>
      <c r="K170" s="6">
        <v>45906</v>
      </c>
      <c r="L170" s="6">
        <v>45911</v>
      </c>
      <c r="M170" s="5" t="s">
        <v>53</v>
      </c>
      <c r="N170" s="5" t="s">
        <v>54</v>
      </c>
      <c r="O170" s="5" t="s">
        <v>41</v>
      </c>
      <c r="P170" s="30">
        <f t="shared" si="9"/>
        <v>5</v>
      </c>
      <c r="Q170" s="41">
        <v>3642.4475524475524</v>
      </c>
      <c r="R170" s="41">
        <v>5500</v>
      </c>
      <c r="S170" s="41">
        <f t="shared" si="7"/>
        <v>1857.5524475524476</v>
      </c>
    </row>
    <row r="171" spans="1:19">
      <c r="A171" s="5">
        <v>170</v>
      </c>
      <c r="B171" s="5">
        <v>2509061393</v>
      </c>
      <c r="C171" s="5" t="s">
        <v>1764</v>
      </c>
      <c r="D171" s="5" t="s">
        <v>1765</v>
      </c>
      <c r="E171" s="5" t="s">
        <v>1766</v>
      </c>
      <c r="F171" s="5" t="s">
        <v>51</v>
      </c>
      <c r="G171" s="5" t="s">
        <v>52</v>
      </c>
      <c r="H171" s="5" t="s">
        <v>1754</v>
      </c>
      <c r="I171" s="5">
        <v>202501206</v>
      </c>
      <c r="J171" s="5"/>
      <c r="K171" s="6">
        <v>45906</v>
      </c>
      <c r="L171" s="6">
        <v>45911</v>
      </c>
      <c r="M171" s="5" t="s">
        <v>53</v>
      </c>
      <c r="N171" s="5" t="s">
        <v>54</v>
      </c>
      <c r="O171" s="5" t="s">
        <v>41</v>
      </c>
      <c r="P171" s="30">
        <f t="shared" si="9"/>
        <v>5</v>
      </c>
      <c r="Q171" s="41">
        <v>3642.4475524475524</v>
      </c>
      <c r="R171" s="41">
        <v>5500</v>
      </c>
      <c r="S171" s="41">
        <f t="shared" si="7"/>
        <v>1857.5524475524476</v>
      </c>
    </row>
    <row r="172" spans="1:19">
      <c r="A172" s="5">
        <v>171</v>
      </c>
      <c r="B172" s="5">
        <v>2509061400</v>
      </c>
      <c r="C172" s="5" t="s">
        <v>1767</v>
      </c>
      <c r="D172" s="5" t="s">
        <v>810</v>
      </c>
      <c r="E172" s="5" t="s">
        <v>1614</v>
      </c>
      <c r="F172" s="5" t="s">
        <v>457</v>
      </c>
      <c r="G172" s="5" t="s">
        <v>52</v>
      </c>
      <c r="H172" s="5" t="s">
        <v>1754</v>
      </c>
      <c r="I172" s="5">
        <v>202501207</v>
      </c>
      <c r="J172" s="5"/>
      <c r="K172" s="6">
        <v>45906</v>
      </c>
      <c r="L172" s="6">
        <v>45911</v>
      </c>
      <c r="M172" s="5" t="s">
        <v>53</v>
      </c>
      <c r="N172" s="5" t="s">
        <v>54</v>
      </c>
      <c r="O172" s="5" t="s">
        <v>41</v>
      </c>
      <c r="P172" s="30">
        <f t="shared" si="9"/>
        <v>5</v>
      </c>
      <c r="Q172" s="41">
        <v>3642.4475524475524</v>
      </c>
      <c r="R172" s="41">
        <v>5200</v>
      </c>
      <c r="S172" s="41">
        <f t="shared" si="7"/>
        <v>1557.5524475524476</v>
      </c>
    </row>
    <row r="173" spans="1:19">
      <c r="A173" s="5">
        <v>172</v>
      </c>
      <c r="B173" s="5">
        <v>2509061403</v>
      </c>
      <c r="C173" s="5" t="s">
        <v>1768</v>
      </c>
      <c r="D173" s="5" t="s">
        <v>309</v>
      </c>
      <c r="E173" s="5" t="s">
        <v>310</v>
      </c>
      <c r="F173" s="5" t="s">
        <v>51</v>
      </c>
      <c r="G173" s="5" t="s">
        <v>52</v>
      </c>
      <c r="H173" s="5" t="s">
        <v>1754</v>
      </c>
      <c r="I173" s="5">
        <v>202501208</v>
      </c>
      <c r="J173" s="5"/>
      <c r="K173" s="6">
        <v>45906</v>
      </c>
      <c r="L173" s="6">
        <v>45911</v>
      </c>
      <c r="M173" s="5" t="s">
        <v>53</v>
      </c>
      <c r="N173" s="5" t="s">
        <v>54</v>
      </c>
      <c r="O173" s="5" t="s">
        <v>41</v>
      </c>
      <c r="P173" s="30">
        <f t="shared" si="9"/>
        <v>5</v>
      </c>
      <c r="Q173" s="41">
        <v>3642.4475524475524</v>
      </c>
      <c r="R173" s="41">
        <v>5500</v>
      </c>
      <c r="S173" s="41">
        <f t="shared" si="7"/>
        <v>1857.5524475524476</v>
      </c>
    </row>
    <row r="174" spans="1:19">
      <c r="A174" s="5">
        <v>173</v>
      </c>
      <c r="B174" s="5">
        <v>2509060788</v>
      </c>
      <c r="C174" s="5" t="s">
        <v>1769</v>
      </c>
      <c r="D174" s="5" t="s">
        <v>40</v>
      </c>
      <c r="E174" s="5" t="s">
        <v>41</v>
      </c>
      <c r="F174" s="5" t="s">
        <v>42</v>
      </c>
      <c r="G174" s="5" t="s">
        <v>52</v>
      </c>
      <c r="H174" s="5" t="s">
        <v>1754</v>
      </c>
      <c r="I174" s="5">
        <v>202501209</v>
      </c>
      <c r="J174" s="5"/>
      <c r="K174" s="6">
        <v>45906</v>
      </c>
      <c r="L174" s="6">
        <v>45911</v>
      </c>
      <c r="M174" s="5" t="s">
        <v>53</v>
      </c>
      <c r="N174" s="5" t="s">
        <v>54</v>
      </c>
      <c r="O174" s="5" t="s">
        <v>41</v>
      </c>
      <c r="P174" s="30">
        <f t="shared" si="9"/>
        <v>5</v>
      </c>
      <c r="Q174" s="41">
        <v>3642.4475524475524</v>
      </c>
      <c r="R174" s="41">
        <v>9500</v>
      </c>
      <c r="S174" s="41">
        <f t="shared" si="7"/>
        <v>5857.5524475524471</v>
      </c>
    </row>
    <row r="175" spans="1:19">
      <c r="A175" s="5">
        <v>174</v>
      </c>
      <c r="B175" s="9">
        <v>2509060788</v>
      </c>
      <c r="C175" s="9" t="s">
        <v>1769</v>
      </c>
      <c r="D175" s="9" t="s">
        <v>40</v>
      </c>
      <c r="E175" s="9" t="s">
        <v>41</v>
      </c>
      <c r="F175" s="9" t="s">
        <v>42</v>
      </c>
      <c r="G175" s="9" t="s">
        <v>52</v>
      </c>
      <c r="H175" s="9" t="s">
        <v>1754</v>
      </c>
      <c r="I175" s="9">
        <v>202501210</v>
      </c>
      <c r="J175" s="9"/>
      <c r="K175" s="10">
        <v>45906</v>
      </c>
      <c r="L175" s="10">
        <v>45911</v>
      </c>
      <c r="M175" s="9" t="s">
        <v>45</v>
      </c>
      <c r="N175" s="9" t="s">
        <v>94</v>
      </c>
      <c r="O175" s="9" t="s">
        <v>1770</v>
      </c>
      <c r="P175" s="32">
        <f t="shared" si="9"/>
        <v>5</v>
      </c>
      <c r="Q175" s="11">
        <v>3642.4475524475524</v>
      </c>
      <c r="R175" s="11">
        <v>0</v>
      </c>
      <c r="S175" s="11">
        <f t="shared" si="7"/>
        <v>-3642.4475524475524</v>
      </c>
    </row>
    <row r="176" spans="1:19">
      <c r="A176" s="5">
        <v>175</v>
      </c>
      <c r="B176" s="5">
        <v>2509070267</v>
      </c>
      <c r="C176" s="5" t="s">
        <v>1771</v>
      </c>
      <c r="D176" s="5" t="s">
        <v>40</v>
      </c>
      <c r="E176" s="5" t="s">
        <v>41</v>
      </c>
      <c r="F176" s="5" t="s">
        <v>42</v>
      </c>
      <c r="G176" s="5" t="s">
        <v>75</v>
      </c>
      <c r="H176" s="5" t="s">
        <v>1754</v>
      </c>
      <c r="I176" s="5">
        <v>202501211</v>
      </c>
      <c r="J176" s="5"/>
      <c r="K176" s="6">
        <v>45907</v>
      </c>
      <c r="L176" s="6">
        <v>45911</v>
      </c>
      <c r="M176" s="5" t="s">
        <v>53</v>
      </c>
      <c r="N176" s="5" t="s">
        <v>54</v>
      </c>
      <c r="O176" s="5" t="s">
        <v>41</v>
      </c>
      <c r="P176" s="30">
        <f t="shared" si="9"/>
        <v>4</v>
      </c>
      <c r="Q176" s="41">
        <v>3642.4475524475524</v>
      </c>
      <c r="R176" s="41">
        <v>6500</v>
      </c>
      <c r="S176" s="41">
        <f t="shared" si="7"/>
        <v>2857.5524475524476</v>
      </c>
    </row>
    <row r="177" spans="1:19">
      <c r="A177" s="5">
        <v>176</v>
      </c>
      <c r="B177" s="9">
        <v>2509070267</v>
      </c>
      <c r="C177" s="9" t="s">
        <v>1771</v>
      </c>
      <c r="D177" s="9" t="s">
        <v>40</v>
      </c>
      <c r="E177" s="9" t="s">
        <v>41</v>
      </c>
      <c r="F177" s="9" t="s">
        <v>42</v>
      </c>
      <c r="G177" s="9" t="s">
        <v>75</v>
      </c>
      <c r="H177" s="9" t="s">
        <v>1754</v>
      </c>
      <c r="I177" s="9">
        <v>202501212</v>
      </c>
      <c r="J177" s="9"/>
      <c r="K177" s="10">
        <v>45907</v>
      </c>
      <c r="L177" s="10">
        <v>45911</v>
      </c>
      <c r="M177" s="9" t="s">
        <v>45</v>
      </c>
      <c r="N177" s="9" t="s">
        <v>94</v>
      </c>
      <c r="O177" s="9" t="s">
        <v>1603</v>
      </c>
      <c r="P177" s="32">
        <f t="shared" si="9"/>
        <v>4</v>
      </c>
      <c r="Q177" s="11">
        <v>3642.4475524475524</v>
      </c>
      <c r="R177" s="11">
        <v>0</v>
      </c>
      <c r="S177" s="11">
        <f t="shared" si="7"/>
        <v>-3642.4475524475524</v>
      </c>
    </row>
    <row r="178" spans="1:19">
      <c r="A178" s="5">
        <v>177</v>
      </c>
      <c r="B178" s="5">
        <v>2509070500</v>
      </c>
      <c r="C178" s="5" t="s">
        <v>1772</v>
      </c>
      <c r="D178" s="5" t="s">
        <v>40</v>
      </c>
      <c r="E178" s="5" t="s">
        <v>41</v>
      </c>
      <c r="F178" s="5" t="s">
        <v>42</v>
      </c>
      <c r="G178" s="5" t="s">
        <v>43</v>
      </c>
      <c r="H178" s="5" t="s">
        <v>1754</v>
      </c>
      <c r="I178" s="5">
        <v>202501213</v>
      </c>
      <c r="J178" s="5"/>
      <c r="K178" s="6">
        <v>45907</v>
      </c>
      <c r="L178" s="6">
        <v>45911</v>
      </c>
      <c r="M178" s="5" t="s">
        <v>53</v>
      </c>
      <c r="N178" s="5" t="s">
        <v>54</v>
      </c>
      <c r="O178" s="5" t="s">
        <v>41</v>
      </c>
      <c r="P178" s="30">
        <f t="shared" si="9"/>
        <v>4</v>
      </c>
      <c r="Q178" s="41">
        <v>3642.4475524475524</v>
      </c>
      <c r="R178" s="41">
        <v>11600</v>
      </c>
      <c r="S178" s="41">
        <f t="shared" si="7"/>
        <v>7957.5524475524471</v>
      </c>
    </row>
    <row r="179" spans="1:19">
      <c r="A179" s="5">
        <v>178</v>
      </c>
      <c r="B179" s="5">
        <v>2509070500</v>
      </c>
      <c r="C179" s="5" t="s">
        <v>1772</v>
      </c>
      <c r="D179" s="5" t="s">
        <v>40</v>
      </c>
      <c r="E179" s="5" t="s">
        <v>41</v>
      </c>
      <c r="F179" s="5" t="s">
        <v>42</v>
      </c>
      <c r="G179" s="5" t="s">
        <v>43</v>
      </c>
      <c r="H179" s="5" t="s">
        <v>1754</v>
      </c>
      <c r="I179" s="5">
        <v>202501214</v>
      </c>
      <c r="J179" s="5"/>
      <c r="K179" s="6">
        <v>45907</v>
      </c>
      <c r="L179" s="6">
        <v>45911</v>
      </c>
      <c r="M179" s="5" t="s">
        <v>53</v>
      </c>
      <c r="N179" s="5" t="s">
        <v>54</v>
      </c>
      <c r="O179" s="5" t="s">
        <v>41</v>
      </c>
      <c r="P179" s="30">
        <f t="shared" si="9"/>
        <v>4</v>
      </c>
      <c r="Q179" s="41">
        <v>3642.4475524475524</v>
      </c>
      <c r="R179" s="41">
        <v>0</v>
      </c>
      <c r="S179" s="41">
        <f t="shared" si="7"/>
        <v>-3642.4475524475524</v>
      </c>
    </row>
    <row r="180" spans="1:19">
      <c r="A180" s="5">
        <v>179</v>
      </c>
      <c r="B180" s="5">
        <v>2509071387</v>
      </c>
      <c r="C180" s="5" t="s">
        <v>1773</v>
      </c>
      <c r="D180" s="5" t="s">
        <v>309</v>
      </c>
      <c r="E180" s="5" t="s">
        <v>310</v>
      </c>
      <c r="F180" s="5" t="s">
        <v>51</v>
      </c>
      <c r="G180" s="5" t="s">
        <v>52</v>
      </c>
      <c r="H180" s="5" t="s">
        <v>1754</v>
      </c>
      <c r="I180" s="5">
        <v>202501215</v>
      </c>
      <c r="J180" s="5"/>
      <c r="K180" s="6">
        <v>45907</v>
      </c>
      <c r="L180" s="6">
        <v>45911</v>
      </c>
      <c r="M180" s="5" t="s">
        <v>53</v>
      </c>
      <c r="N180" s="5" t="s">
        <v>54</v>
      </c>
      <c r="O180" s="5" t="s">
        <v>41</v>
      </c>
      <c r="P180" s="30">
        <f t="shared" si="9"/>
        <v>4</v>
      </c>
      <c r="Q180" s="41">
        <v>3642.4475524475524</v>
      </c>
      <c r="R180" s="41">
        <v>5500</v>
      </c>
      <c r="S180" s="41">
        <f t="shared" si="7"/>
        <v>1857.5524475524476</v>
      </c>
    </row>
    <row r="181" spans="1:19">
      <c r="A181" s="5">
        <v>180</v>
      </c>
      <c r="B181" s="5">
        <v>2509071392</v>
      </c>
      <c r="C181" s="5" t="s">
        <v>1774</v>
      </c>
      <c r="D181" s="5" t="s">
        <v>881</v>
      </c>
      <c r="E181" s="5" t="s">
        <v>1775</v>
      </c>
      <c r="F181" s="5" t="s">
        <v>457</v>
      </c>
      <c r="G181" s="5" t="s">
        <v>52</v>
      </c>
      <c r="H181" s="5" t="s">
        <v>1754</v>
      </c>
      <c r="I181" s="5">
        <v>202501216</v>
      </c>
      <c r="J181" s="5"/>
      <c r="K181" s="6">
        <v>45907</v>
      </c>
      <c r="L181" s="6">
        <v>45911</v>
      </c>
      <c r="M181" s="5" t="s">
        <v>53</v>
      </c>
      <c r="N181" s="5" t="s">
        <v>54</v>
      </c>
      <c r="O181" s="5" t="s">
        <v>41</v>
      </c>
      <c r="P181" s="30">
        <f t="shared" si="9"/>
        <v>4</v>
      </c>
      <c r="Q181" s="41">
        <v>3642.4475524475524</v>
      </c>
      <c r="R181" s="41">
        <v>6000</v>
      </c>
      <c r="S181" s="41">
        <f t="shared" si="7"/>
        <v>2357.5524475524476</v>
      </c>
    </row>
    <row r="182" spans="1:19">
      <c r="A182" s="5">
        <v>181</v>
      </c>
      <c r="B182" s="5">
        <v>2509071398</v>
      </c>
      <c r="C182" s="5" t="s">
        <v>1776</v>
      </c>
      <c r="D182" s="5" t="s">
        <v>405</v>
      </c>
      <c r="E182" s="5" t="s">
        <v>485</v>
      </c>
      <c r="F182" s="5" t="s">
        <v>202</v>
      </c>
      <c r="G182" s="5" t="s">
        <v>52</v>
      </c>
      <c r="H182" s="5" t="s">
        <v>1754</v>
      </c>
      <c r="I182" s="5">
        <v>202501217</v>
      </c>
      <c r="J182" s="5"/>
      <c r="K182" s="6">
        <v>45907</v>
      </c>
      <c r="L182" s="6">
        <v>45911</v>
      </c>
      <c r="M182" s="5" t="s">
        <v>53</v>
      </c>
      <c r="N182" s="5" t="s">
        <v>54</v>
      </c>
      <c r="O182" s="5" t="s">
        <v>41</v>
      </c>
      <c r="P182" s="30">
        <f t="shared" si="9"/>
        <v>4</v>
      </c>
      <c r="Q182" s="41">
        <v>3642.4475524475524</v>
      </c>
      <c r="R182" s="41">
        <v>6450</v>
      </c>
      <c r="S182" s="41">
        <f t="shared" si="7"/>
        <v>2807.5524475524476</v>
      </c>
    </row>
    <row r="183" spans="1:19">
      <c r="A183" s="5">
        <v>182</v>
      </c>
      <c r="B183" s="5">
        <v>2509071404</v>
      </c>
      <c r="C183" s="5" t="s">
        <v>1777</v>
      </c>
      <c r="D183" s="5" t="s">
        <v>83</v>
      </c>
      <c r="E183" s="5" t="s">
        <v>84</v>
      </c>
      <c r="F183" s="5" t="s">
        <v>62</v>
      </c>
      <c r="G183" s="5" t="s">
        <v>43</v>
      </c>
      <c r="H183" s="5" t="s">
        <v>1754</v>
      </c>
      <c r="I183" s="5">
        <v>202501218</v>
      </c>
      <c r="J183" s="5"/>
      <c r="K183" s="6">
        <v>45907</v>
      </c>
      <c r="L183" s="6">
        <v>45911</v>
      </c>
      <c r="M183" s="5" t="s">
        <v>53</v>
      </c>
      <c r="N183" s="5" t="s">
        <v>54</v>
      </c>
      <c r="O183" s="5" t="s">
        <v>41</v>
      </c>
      <c r="P183" s="30">
        <f t="shared" si="9"/>
        <v>4</v>
      </c>
      <c r="Q183" s="41">
        <v>3642.4475524475524</v>
      </c>
      <c r="R183" s="41">
        <v>9000</v>
      </c>
      <c r="S183" s="41">
        <f t="shared" si="7"/>
        <v>5357.5524475524471</v>
      </c>
    </row>
    <row r="184" spans="1:19">
      <c r="A184" s="5">
        <v>183</v>
      </c>
      <c r="B184" s="5">
        <v>2509071409</v>
      </c>
      <c r="C184" s="5" t="s">
        <v>1778</v>
      </c>
      <c r="D184" s="5" t="s">
        <v>83</v>
      </c>
      <c r="E184" s="5" t="s">
        <v>84</v>
      </c>
      <c r="F184" s="5" t="s">
        <v>62</v>
      </c>
      <c r="G184" s="5" t="s">
        <v>52</v>
      </c>
      <c r="H184" s="5" t="s">
        <v>1754</v>
      </c>
      <c r="I184" s="5">
        <v>202501219</v>
      </c>
      <c r="J184" s="5"/>
      <c r="K184" s="6">
        <v>45907</v>
      </c>
      <c r="L184" s="6">
        <v>45911</v>
      </c>
      <c r="M184" s="5" t="s">
        <v>53</v>
      </c>
      <c r="N184" s="5" t="s">
        <v>54</v>
      </c>
      <c r="O184" s="5" t="s">
        <v>41</v>
      </c>
      <c r="P184" s="30">
        <f t="shared" si="9"/>
        <v>4</v>
      </c>
      <c r="Q184" s="41">
        <v>3642.4475524475524</v>
      </c>
      <c r="R184" s="41">
        <v>6000</v>
      </c>
      <c r="S184" s="41">
        <f t="shared" si="7"/>
        <v>2357.5524475524476</v>
      </c>
    </row>
    <row r="185" spans="1:19">
      <c r="A185" s="5">
        <v>184</v>
      </c>
      <c r="B185" s="5">
        <v>2509071413</v>
      </c>
      <c r="C185" s="5" t="s">
        <v>1779</v>
      </c>
      <c r="D185" s="5" t="s">
        <v>83</v>
      </c>
      <c r="E185" s="5" t="s">
        <v>84</v>
      </c>
      <c r="F185" s="5" t="s">
        <v>62</v>
      </c>
      <c r="G185" s="5" t="s">
        <v>52</v>
      </c>
      <c r="H185" s="5" t="s">
        <v>1754</v>
      </c>
      <c r="I185" s="5">
        <v>202501220</v>
      </c>
      <c r="J185" s="5"/>
      <c r="K185" s="6">
        <v>45907</v>
      </c>
      <c r="L185" s="6">
        <v>45911</v>
      </c>
      <c r="M185" s="5" t="s">
        <v>53</v>
      </c>
      <c r="N185" s="5" t="s">
        <v>54</v>
      </c>
      <c r="O185" s="5" t="s">
        <v>41</v>
      </c>
      <c r="P185" s="30">
        <f t="shared" si="9"/>
        <v>4</v>
      </c>
      <c r="Q185" s="41">
        <v>3642.4475524475524</v>
      </c>
      <c r="R185" s="41">
        <v>6000</v>
      </c>
      <c r="S185" s="41">
        <f t="shared" si="7"/>
        <v>2357.5524475524476</v>
      </c>
    </row>
    <row r="186" spans="1:19">
      <c r="A186" s="5">
        <v>185</v>
      </c>
      <c r="B186" s="5">
        <v>2509080161</v>
      </c>
      <c r="C186" s="5" t="s">
        <v>1780</v>
      </c>
      <c r="D186" s="5" t="s">
        <v>64</v>
      </c>
      <c r="E186" s="5" t="s">
        <v>1498</v>
      </c>
      <c r="F186" s="5" t="s">
        <v>66</v>
      </c>
      <c r="G186" s="5" t="s">
        <v>52</v>
      </c>
      <c r="H186" s="5" t="s">
        <v>1754</v>
      </c>
      <c r="I186" s="5">
        <v>202501221</v>
      </c>
      <c r="J186" s="5"/>
      <c r="K186" s="6">
        <v>45908</v>
      </c>
      <c r="L186" s="6">
        <v>45911</v>
      </c>
      <c r="M186" s="5" t="s">
        <v>53</v>
      </c>
      <c r="N186" s="5" t="s">
        <v>54</v>
      </c>
      <c r="O186" s="5" t="s">
        <v>41</v>
      </c>
      <c r="P186" s="30">
        <f t="shared" si="9"/>
        <v>3</v>
      </c>
      <c r="Q186" s="41">
        <v>3642.4475524475524</v>
      </c>
      <c r="R186" s="41">
        <v>5500</v>
      </c>
      <c r="S186" s="41">
        <f t="shared" si="7"/>
        <v>1857.5524475524476</v>
      </c>
    </row>
    <row r="187" spans="1:19">
      <c r="A187" s="5">
        <v>186</v>
      </c>
      <c r="B187" s="5">
        <v>2509080169</v>
      </c>
      <c r="C187" s="5" t="s">
        <v>1781</v>
      </c>
      <c r="D187" s="5" t="s">
        <v>64</v>
      </c>
      <c r="E187" s="5" t="s">
        <v>1498</v>
      </c>
      <c r="F187" s="5" t="s">
        <v>66</v>
      </c>
      <c r="G187" s="5" t="s">
        <v>52</v>
      </c>
      <c r="H187" s="5" t="s">
        <v>1754</v>
      </c>
      <c r="I187" s="5">
        <v>202501222</v>
      </c>
      <c r="J187" s="5"/>
      <c r="K187" s="6">
        <v>45908</v>
      </c>
      <c r="L187" s="6">
        <v>45911</v>
      </c>
      <c r="M187" s="5" t="s">
        <v>53</v>
      </c>
      <c r="N187" s="5" t="s">
        <v>54</v>
      </c>
      <c r="O187" s="5" t="s">
        <v>41</v>
      </c>
      <c r="P187" s="30">
        <f t="shared" si="9"/>
        <v>3</v>
      </c>
      <c r="Q187" s="41">
        <v>3642.4475524475524</v>
      </c>
      <c r="R187" s="41">
        <v>5500</v>
      </c>
      <c r="S187" s="41">
        <f t="shared" si="7"/>
        <v>1857.5524475524476</v>
      </c>
    </row>
    <row r="188" spans="1:19">
      <c r="A188" s="5">
        <v>187</v>
      </c>
      <c r="B188" s="5" t="s">
        <v>1239</v>
      </c>
      <c r="C188" s="5"/>
      <c r="D188" s="5"/>
      <c r="E188" s="5"/>
      <c r="F188" s="5"/>
      <c r="G188" s="5" t="s">
        <v>52</v>
      </c>
      <c r="H188" s="5"/>
      <c r="I188" s="5"/>
      <c r="J188" s="5"/>
      <c r="K188" s="5"/>
      <c r="L188" s="5"/>
      <c r="M188" s="5"/>
      <c r="N188" s="5"/>
      <c r="O188" s="5"/>
      <c r="P188" s="5"/>
      <c r="Q188" s="41">
        <v>3642.4475524475524</v>
      </c>
      <c r="R188" s="41">
        <v>0</v>
      </c>
      <c r="S188" s="41">
        <f t="shared" si="7"/>
        <v>-3642.4475524475524</v>
      </c>
    </row>
    <row r="189" spans="1:19">
      <c r="A189" s="5">
        <v>188</v>
      </c>
      <c r="B189" s="5" t="s">
        <v>1240</v>
      </c>
      <c r="C189" s="5"/>
      <c r="D189" s="5"/>
      <c r="E189" s="5"/>
      <c r="F189" s="5"/>
      <c r="G189" s="5" t="s">
        <v>52</v>
      </c>
      <c r="H189" s="5"/>
      <c r="I189" s="5"/>
      <c r="J189" s="5"/>
      <c r="K189" s="5"/>
      <c r="L189" s="5"/>
      <c r="M189" s="5"/>
      <c r="N189" s="5"/>
      <c r="O189" s="5"/>
      <c r="P189" s="5"/>
      <c r="Q189" s="41">
        <v>3642.4475524475524</v>
      </c>
      <c r="R189" s="41">
        <v>0</v>
      </c>
      <c r="S189" s="41">
        <f t="shared" si="7"/>
        <v>-3642.4475524475524</v>
      </c>
    </row>
    <row r="190" spans="1:19">
      <c r="A190" s="5">
        <v>189</v>
      </c>
      <c r="B190" s="22">
        <v>2508273080</v>
      </c>
      <c r="C190" s="22" t="s">
        <v>1559</v>
      </c>
      <c r="D190" s="22" t="s">
        <v>1560</v>
      </c>
      <c r="E190" s="22" t="s">
        <v>1561</v>
      </c>
      <c r="F190" s="22" t="s">
        <v>202</v>
      </c>
      <c r="G190" s="22" t="s">
        <v>75</v>
      </c>
      <c r="H190" s="22" t="s">
        <v>1782</v>
      </c>
      <c r="I190" s="22" t="s">
        <v>1783</v>
      </c>
      <c r="J190" s="22"/>
      <c r="K190" s="23">
        <v>45903</v>
      </c>
      <c r="L190" s="23">
        <v>45911</v>
      </c>
      <c r="M190" s="22" t="s">
        <v>53</v>
      </c>
      <c r="N190" s="22" t="s">
        <v>54</v>
      </c>
      <c r="O190" s="22" t="s">
        <v>41</v>
      </c>
      <c r="P190" s="34">
        <f t="shared" ref="P190:P213" si="10">L190-K190</f>
        <v>8</v>
      </c>
      <c r="Q190" s="24">
        <v>3642.4475524475524</v>
      </c>
      <c r="R190" s="24">
        <v>0</v>
      </c>
      <c r="S190" s="24">
        <f t="shared" si="7"/>
        <v>-3642.4475524475524</v>
      </c>
    </row>
    <row r="191" spans="1:19">
      <c r="A191" s="5">
        <v>190</v>
      </c>
      <c r="B191" s="22">
        <v>2508292877</v>
      </c>
      <c r="C191" s="22" t="s">
        <v>1601</v>
      </c>
      <c r="D191" s="22" t="s">
        <v>564</v>
      </c>
      <c r="E191" s="22" t="s">
        <v>1443</v>
      </c>
      <c r="F191" s="22" t="s">
        <v>71</v>
      </c>
      <c r="G191" s="22" t="s">
        <v>52</v>
      </c>
      <c r="H191" s="22" t="s">
        <v>1782</v>
      </c>
      <c r="I191" s="22" t="s">
        <v>1784</v>
      </c>
      <c r="J191" s="22"/>
      <c r="K191" s="23">
        <v>45908</v>
      </c>
      <c r="L191" s="23">
        <v>45911</v>
      </c>
      <c r="M191" s="22" t="s">
        <v>53</v>
      </c>
      <c r="N191" s="22" t="s">
        <v>54</v>
      </c>
      <c r="O191" s="22" t="s">
        <v>41</v>
      </c>
      <c r="P191" s="34">
        <f t="shared" si="10"/>
        <v>3</v>
      </c>
      <c r="Q191" s="24">
        <v>3642.4475524475524</v>
      </c>
      <c r="R191" s="24">
        <v>0</v>
      </c>
      <c r="S191" s="24">
        <f t="shared" si="7"/>
        <v>-3642.4475524475524</v>
      </c>
    </row>
    <row r="192" spans="1:19">
      <c r="A192" s="5">
        <v>191</v>
      </c>
      <c r="B192" s="17">
        <v>2508311492</v>
      </c>
      <c r="C192" s="17" t="s">
        <v>1656</v>
      </c>
      <c r="D192" s="17" t="s">
        <v>1514</v>
      </c>
      <c r="E192" s="17" t="s">
        <v>1657</v>
      </c>
      <c r="F192" s="17" t="s">
        <v>71</v>
      </c>
      <c r="G192" s="17" t="s">
        <v>52</v>
      </c>
      <c r="H192" s="17" t="s">
        <v>1782</v>
      </c>
      <c r="I192" s="17" t="s">
        <v>1785</v>
      </c>
      <c r="J192" s="17"/>
      <c r="K192" s="18">
        <v>45908</v>
      </c>
      <c r="L192" s="18">
        <v>45911</v>
      </c>
      <c r="M192" s="17" t="s">
        <v>53</v>
      </c>
      <c r="N192" s="17" t="s">
        <v>480</v>
      </c>
      <c r="O192" s="17" t="s">
        <v>446</v>
      </c>
      <c r="P192" s="31">
        <f t="shared" si="10"/>
        <v>3</v>
      </c>
      <c r="Q192" s="19">
        <v>3642.4475524475524</v>
      </c>
      <c r="R192" s="19">
        <v>0</v>
      </c>
      <c r="S192" s="19">
        <f t="shared" si="7"/>
        <v>-3642.4475524475524</v>
      </c>
    </row>
    <row r="193" spans="1:19">
      <c r="A193" s="5">
        <v>192</v>
      </c>
      <c r="B193" s="5">
        <v>2509080178</v>
      </c>
      <c r="C193" s="5" t="s">
        <v>1786</v>
      </c>
      <c r="D193" s="5" t="s">
        <v>167</v>
      </c>
      <c r="E193" s="5" t="s">
        <v>659</v>
      </c>
      <c r="F193" s="5" t="s">
        <v>169</v>
      </c>
      <c r="G193" s="5" t="s">
        <v>43</v>
      </c>
      <c r="H193" s="5" t="s">
        <v>1782</v>
      </c>
      <c r="I193" s="5">
        <v>202501223</v>
      </c>
      <c r="J193" s="5"/>
      <c r="K193" s="6">
        <v>45908</v>
      </c>
      <c r="L193" s="6">
        <v>45911</v>
      </c>
      <c r="M193" s="5" t="s">
        <v>53</v>
      </c>
      <c r="N193" s="5" t="s">
        <v>54</v>
      </c>
      <c r="O193" s="5" t="s">
        <v>41</v>
      </c>
      <c r="P193" s="30">
        <f t="shared" si="10"/>
        <v>3</v>
      </c>
      <c r="Q193" s="41">
        <v>3642.4475524475524</v>
      </c>
      <c r="R193" s="41">
        <v>11000</v>
      </c>
      <c r="S193" s="41">
        <f t="shared" si="7"/>
        <v>7357.5524475524471</v>
      </c>
    </row>
    <row r="194" spans="1:19">
      <c r="A194" s="5">
        <v>193</v>
      </c>
      <c r="B194" s="5">
        <v>2509082214</v>
      </c>
      <c r="C194" s="5" t="s">
        <v>1787</v>
      </c>
      <c r="D194" s="5" t="s">
        <v>1788</v>
      </c>
      <c r="E194" s="5" t="s">
        <v>1789</v>
      </c>
      <c r="F194" s="5" t="s">
        <v>51</v>
      </c>
      <c r="G194" s="5" t="s">
        <v>52</v>
      </c>
      <c r="H194" s="5" t="s">
        <v>1782</v>
      </c>
      <c r="I194" s="5">
        <v>202501224</v>
      </c>
      <c r="J194" s="5"/>
      <c r="K194" s="6">
        <v>45908</v>
      </c>
      <c r="L194" s="6">
        <v>45911</v>
      </c>
      <c r="M194" s="5" t="s">
        <v>53</v>
      </c>
      <c r="N194" s="5" t="s">
        <v>54</v>
      </c>
      <c r="O194" s="5" t="s">
        <v>41</v>
      </c>
      <c r="P194" s="30">
        <f t="shared" si="10"/>
        <v>3</v>
      </c>
      <c r="Q194" s="41">
        <v>3642.4475524475524</v>
      </c>
      <c r="R194" s="41">
        <v>8000</v>
      </c>
      <c r="S194" s="41">
        <f t="shared" ref="S194:S257" si="11">R194-Q194</f>
        <v>4357.5524475524471</v>
      </c>
    </row>
    <row r="195" spans="1:19">
      <c r="A195" s="5">
        <v>194</v>
      </c>
      <c r="B195" s="9">
        <v>2509082218</v>
      </c>
      <c r="C195" s="9" t="s">
        <v>1790</v>
      </c>
      <c r="D195" s="9" t="s">
        <v>1788</v>
      </c>
      <c r="E195" s="9" t="s">
        <v>1789</v>
      </c>
      <c r="F195" s="9" t="s">
        <v>51</v>
      </c>
      <c r="G195" s="9" t="s">
        <v>52</v>
      </c>
      <c r="H195" s="9" t="s">
        <v>1782</v>
      </c>
      <c r="I195" s="9">
        <v>202501225</v>
      </c>
      <c r="J195" s="9"/>
      <c r="K195" s="10">
        <v>45908</v>
      </c>
      <c r="L195" s="10">
        <v>45911</v>
      </c>
      <c r="M195" s="9" t="s">
        <v>45</v>
      </c>
      <c r="N195" s="9" t="s">
        <v>94</v>
      </c>
      <c r="O195" s="9" t="s">
        <v>1667</v>
      </c>
      <c r="P195" s="32">
        <f t="shared" si="10"/>
        <v>3</v>
      </c>
      <c r="Q195" s="11">
        <v>3642.4475524475524</v>
      </c>
      <c r="R195" s="11">
        <v>8000</v>
      </c>
      <c r="S195" s="11">
        <f t="shared" si="11"/>
        <v>4357.5524475524471</v>
      </c>
    </row>
    <row r="196" spans="1:19">
      <c r="A196" s="5">
        <v>195</v>
      </c>
      <c r="B196" s="5">
        <v>2509082220</v>
      </c>
      <c r="C196" s="5" t="s">
        <v>1791</v>
      </c>
      <c r="D196" s="5" t="s">
        <v>393</v>
      </c>
      <c r="E196" s="5" t="s">
        <v>394</v>
      </c>
      <c r="F196" s="5" t="s">
        <v>202</v>
      </c>
      <c r="G196" s="5" t="s">
        <v>43</v>
      </c>
      <c r="H196" s="5" t="s">
        <v>1782</v>
      </c>
      <c r="I196" s="5">
        <v>202501226</v>
      </c>
      <c r="J196" s="5"/>
      <c r="K196" s="6">
        <v>45908</v>
      </c>
      <c r="L196" s="6">
        <v>45911</v>
      </c>
      <c r="M196" s="5" t="s">
        <v>53</v>
      </c>
      <c r="N196" s="5" t="s">
        <v>54</v>
      </c>
      <c r="O196" s="5" t="s">
        <v>41</v>
      </c>
      <c r="P196" s="30">
        <f t="shared" si="10"/>
        <v>3</v>
      </c>
      <c r="Q196" s="41">
        <v>3642.4475524475524</v>
      </c>
      <c r="R196" s="41">
        <v>13500</v>
      </c>
      <c r="S196" s="41">
        <f t="shared" si="11"/>
        <v>9857.5524475524471</v>
      </c>
    </row>
    <row r="197" spans="1:19">
      <c r="A197" s="5">
        <v>196</v>
      </c>
      <c r="B197" s="9">
        <v>2509082222</v>
      </c>
      <c r="C197" s="9" t="s">
        <v>1792</v>
      </c>
      <c r="D197" s="9" t="s">
        <v>528</v>
      </c>
      <c r="E197" s="9" t="s">
        <v>1793</v>
      </c>
      <c r="F197" s="9" t="s">
        <v>202</v>
      </c>
      <c r="G197" s="9" t="s">
        <v>52</v>
      </c>
      <c r="H197" s="9" t="s">
        <v>1782</v>
      </c>
      <c r="I197" s="9">
        <v>202501227</v>
      </c>
      <c r="J197" s="9"/>
      <c r="K197" s="10">
        <v>45908</v>
      </c>
      <c r="L197" s="10">
        <v>45911</v>
      </c>
      <c r="M197" s="9" t="s">
        <v>53</v>
      </c>
      <c r="N197" s="9" t="s">
        <v>94</v>
      </c>
      <c r="O197" s="9" t="s">
        <v>1794</v>
      </c>
      <c r="P197" s="32">
        <f t="shared" si="10"/>
        <v>3</v>
      </c>
      <c r="Q197" s="11">
        <v>3642.4475524475524</v>
      </c>
      <c r="R197" s="11">
        <v>7500</v>
      </c>
      <c r="S197" s="11">
        <f t="shared" si="11"/>
        <v>3857.5524475524476</v>
      </c>
    </row>
    <row r="198" spans="1:19">
      <c r="A198" s="5">
        <v>197</v>
      </c>
      <c r="B198" s="5">
        <v>2509082223</v>
      </c>
      <c r="C198" s="5" t="s">
        <v>1795</v>
      </c>
      <c r="D198" s="5" t="s">
        <v>775</v>
      </c>
      <c r="E198" s="5" t="s">
        <v>1451</v>
      </c>
      <c r="F198" s="5" t="s">
        <v>202</v>
      </c>
      <c r="G198" s="5" t="s">
        <v>52</v>
      </c>
      <c r="H198" s="5" t="s">
        <v>1782</v>
      </c>
      <c r="I198" s="5">
        <v>202501228</v>
      </c>
      <c r="J198" s="5"/>
      <c r="K198" s="6">
        <v>45908</v>
      </c>
      <c r="L198" s="6">
        <v>45911</v>
      </c>
      <c r="M198" s="5" t="s">
        <v>53</v>
      </c>
      <c r="N198" s="5" t="s">
        <v>54</v>
      </c>
      <c r="O198" s="5" t="s">
        <v>41</v>
      </c>
      <c r="P198" s="30">
        <f t="shared" si="10"/>
        <v>3</v>
      </c>
      <c r="Q198" s="41">
        <v>3642.4475524475524</v>
      </c>
      <c r="R198" s="41">
        <v>8500</v>
      </c>
      <c r="S198" s="41">
        <f t="shared" si="11"/>
        <v>4857.5524475524471</v>
      </c>
    </row>
    <row r="199" spans="1:19">
      <c r="A199" s="5">
        <v>198</v>
      </c>
      <c r="B199" s="5">
        <v>2509082224</v>
      </c>
      <c r="C199" s="5" t="s">
        <v>1796</v>
      </c>
      <c r="D199" s="5" t="s">
        <v>631</v>
      </c>
      <c r="E199" s="5" t="s">
        <v>1797</v>
      </c>
      <c r="F199" s="5" t="s">
        <v>87</v>
      </c>
      <c r="G199" s="5" t="s">
        <v>52</v>
      </c>
      <c r="H199" s="5" t="s">
        <v>1782</v>
      </c>
      <c r="I199" s="5">
        <v>202501229</v>
      </c>
      <c r="J199" s="5"/>
      <c r="K199" s="6">
        <v>45908</v>
      </c>
      <c r="L199" s="6">
        <v>45911</v>
      </c>
      <c r="M199" s="5" t="s">
        <v>53</v>
      </c>
      <c r="N199" s="5" t="s">
        <v>54</v>
      </c>
      <c r="O199" s="5" t="s">
        <v>41</v>
      </c>
      <c r="P199" s="30">
        <f t="shared" si="10"/>
        <v>3</v>
      </c>
      <c r="Q199" s="41">
        <v>3642.4475524475524</v>
      </c>
      <c r="R199" s="41">
        <v>8000</v>
      </c>
      <c r="S199" s="41">
        <f t="shared" si="11"/>
        <v>4357.5524475524471</v>
      </c>
    </row>
    <row r="200" spans="1:19">
      <c r="A200" s="5">
        <v>199</v>
      </c>
      <c r="B200" s="5">
        <v>2509082225</v>
      </c>
      <c r="C200" s="5" t="s">
        <v>1798</v>
      </c>
      <c r="D200" s="5" t="s">
        <v>631</v>
      </c>
      <c r="E200" s="5" t="s">
        <v>1799</v>
      </c>
      <c r="F200" s="5" t="s">
        <v>87</v>
      </c>
      <c r="G200" s="5" t="s">
        <v>52</v>
      </c>
      <c r="H200" s="5" t="s">
        <v>1782</v>
      </c>
      <c r="I200" s="5">
        <v>202501230</v>
      </c>
      <c r="J200" s="5"/>
      <c r="K200" s="6">
        <v>45908</v>
      </c>
      <c r="L200" s="6">
        <v>45911</v>
      </c>
      <c r="M200" s="5" t="s">
        <v>53</v>
      </c>
      <c r="N200" s="5" t="s">
        <v>54</v>
      </c>
      <c r="O200" s="5" t="s">
        <v>41</v>
      </c>
      <c r="P200" s="30">
        <f t="shared" si="10"/>
        <v>3</v>
      </c>
      <c r="Q200" s="41">
        <v>3642.4475524475524</v>
      </c>
      <c r="R200" s="41">
        <v>8000</v>
      </c>
      <c r="S200" s="41">
        <f t="shared" si="11"/>
        <v>4357.5524475524471</v>
      </c>
    </row>
    <row r="201" spans="1:19">
      <c r="A201" s="5">
        <v>200</v>
      </c>
      <c r="B201" s="9">
        <v>2509080344</v>
      </c>
      <c r="C201" s="9" t="s">
        <v>1800</v>
      </c>
      <c r="D201" s="9" t="s">
        <v>40</v>
      </c>
      <c r="E201" s="9" t="s">
        <v>41</v>
      </c>
      <c r="F201" s="9" t="s">
        <v>42</v>
      </c>
      <c r="G201" s="9" t="s">
        <v>75</v>
      </c>
      <c r="H201" s="9" t="s">
        <v>1782</v>
      </c>
      <c r="I201" s="9">
        <v>202501231</v>
      </c>
      <c r="J201" s="9"/>
      <c r="K201" s="10">
        <v>45908</v>
      </c>
      <c r="L201" s="10">
        <v>45911</v>
      </c>
      <c r="M201" s="9" t="s">
        <v>45</v>
      </c>
      <c r="N201" s="9" t="s">
        <v>94</v>
      </c>
      <c r="O201" s="9" t="s">
        <v>1667</v>
      </c>
      <c r="P201" s="32">
        <f t="shared" si="10"/>
        <v>3</v>
      </c>
      <c r="Q201" s="11">
        <v>3642.4475524475524</v>
      </c>
      <c r="R201" s="11">
        <v>6500</v>
      </c>
      <c r="S201" s="11">
        <f t="shared" si="11"/>
        <v>2857.5524475524476</v>
      </c>
    </row>
    <row r="202" spans="1:19">
      <c r="A202" s="5">
        <v>201</v>
      </c>
      <c r="B202" s="5">
        <v>2509080344</v>
      </c>
      <c r="C202" s="5" t="s">
        <v>1800</v>
      </c>
      <c r="D202" s="5" t="s">
        <v>40</v>
      </c>
      <c r="E202" s="5" t="s">
        <v>41</v>
      </c>
      <c r="F202" s="5" t="s">
        <v>42</v>
      </c>
      <c r="G202" s="5" t="s">
        <v>75</v>
      </c>
      <c r="H202" s="5" t="s">
        <v>1782</v>
      </c>
      <c r="I202" s="5">
        <v>202501232</v>
      </c>
      <c r="J202" s="5"/>
      <c r="K202" s="6">
        <v>45908</v>
      </c>
      <c r="L202" s="6">
        <v>45911</v>
      </c>
      <c r="M202" s="5" t="s">
        <v>53</v>
      </c>
      <c r="N202" s="5" t="s">
        <v>54</v>
      </c>
      <c r="O202" s="5" t="s">
        <v>41</v>
      </c>
      <c r="P202" s="30">
        <f t="shared" si="10"/>
        <v>3</v>
      </c>
      <c r="Q202" s="41">
        <v>3642.4475524475524</v>
      </c>
      <c r="R202" s="41">
        <v>0</v>
      </c>
      <c r="S202" s="41">
        <f t="shared" si="11"/>
        <v>-3642.4475524475524</v>
      </c>
    </row>
    <row r="203" spans="1:19">
      <c r="A203" s="5">
        <v>202</v>
      </c>
      <c r="B203" s="5">
        <v>2509080344</v>
      </c>
      <c r="C203" s="5" t="s">
        <v>1801</v>
      </c>
      <c r="D203" s="5" t="s">
        <v>40</v>
      </c>
      <c r="E203" s="5" t="s">
        <v>41</v>
      </c>
      <c r="F203" s="5" t="s">
        <v>42</v>
      </c>
      <c r="G203" s="5" t="s">
        <v>75</v>
      </c>
      <c r="H203" s="5" t="s">
        <v>1782</v>
      </c>
      <c r="I203" s="5">
        <v>202501233</v>
      </c>
      <c r="J203" s="5"/>
      <c r="K203" s="6">
        <v>45908</v>
      </c>
      <c r="L203" s="6">
        <v>45911</v>
      </c>
      <c r="M203" s="5" t="s">
        <v>53</v>
      </c>
      <c r="N203" s="5" t="s">
        <v>54</v>
      </c>
      <c r="O203" s="5" t="s">
        <v>41</v>
      </c>
      <c r="P203" s="30">
        <f t="shared" si="10"/>
        <v>3</v>
      </c>
      <c r="Q203" s="41">
        <v>3642.4475524475524</v>
      </c>
      <c r="R203" s="41">
        <v>6500</v>
      </c>
      <c r="S203" s="41">
        <f t="shared" si="11"/>
        <v>2857.5524475524476</v>
      </c>
    </row>
    <row r="204" spans="1:19">
      <c r="A204" s="5">
        <v>203</v>
      </c>
      <c r="B204" s="5">
        <v>2509080344</v>
      </c>
      <c r="C204" s="5" t="s">
        <v>1801</v>
      </c>
      <c r="D204" s="5" t="s">
        <v>40</v>
      </c>
      <c r="E204" s="5" t="s">
        <v>41</v>
      </c>
      <c r="F204" s="5" t="s">
        <v>42</v>
      </c>
      <c r="G204" s="5" t="s">
        <v>75</v>
      </c>
      <c r="H204" s="5" t="s">
        <v>1782</v>
      </c>
      <c r="I204" s="5">
        <v>202501234</v>
      </c>
      <c r="J204" s="5"/>
      <c r="K204" s="6">
        <v>45908</v>
      </c>
      <c r="L204" s="6">
        <v>45911</v>
      </c>
      <c r="M204" s="5" t="s">
        <v>53</v>
      </c>
      <c r="N204" s="5" t="s">
        <v>54</v>
      </c>
      <c r="O204" s="5" t="s">
        <v>41</v>
      </c>
      <c r="P204" s="30">
        <f t="shared" si="10"/>
        <v>3</v>
      </c>
      <c r="Q204" s="41">
        <v>3642.4475524475524</v>
      </c>
      <c r="R204" s="41">
        <v>0</v>
      </c>
      <c r="S204" s="41">
        <f t="shared" si="11"/>
        <v>-3642.4475524475524</v>
      </c>
    </row>
    <row r="205" spans="1:19">
      <c r="A205" s="5">
        <v>204</v>
      </c>
      <c r="B205" s="5">
        <v>2509082227</v>
      </c>
      <c r="C205" s="5" t="s">
        <v>1802</v>
      </c>
      <c r="D205" s="5" t="s">
        <v>748</v>
      </c>
      <c r="E205" s="5" t="s">
        <v>1590</v>
      </c>
      <c r="F205" s="5" t="s">
        <v>51</v>
      </c>
      <c r="G205" s="5" t="s">
        <v>52</v>
      </c>
      <c r="H205" s="5" t="s">
        <v>1782</v>
      </c>
      <c r="I205" s="5">
        <v>202501235</v>
      </c>
      <c r="J205" s="5"/>
      <c r="K205" s="6">
        <v>45908</v>
      </c>
      <c r="L205" s="6">
        <v>45911</v>
      </c>
      <c r="M205" s="5" t="s">
        <v>53</v>
      </c>
      <c r="N205" s="5" t="s">
        <v>54</v>
      </c>
      <c r="O205" s="5" t="s">
        <v>41</v>
      </c>
      <c r="P205" s="30">
        <f t="shared" si="10"/>
        <v>3</v>
      </c>
      <c r="Q205" s="41">
        <v>3642.4475524475524</v>
      </c>
      <c r="R205" s="41">
        <v>6000</v>
      </c>
      <c r="S205" s="41">
        <f t="shared" si="11"/>
        <v>2357.5524475524476</v>
      </c>
    </row>
    <row r="206" spans="1:19">
      <c r="A206" s="5">
        <v>205</v>
      </c>
      <c r="B206" s="9">
        <v>2509082229</v>
      </c>
      <c r="C206" s="9" t="s">
        <v>1803</v>
      </c>
      <c r="D206" s="9" t="s">
        <v>86</v>
      </c>
      <c r="E206" s="9" t="s">
        <v>1714</v>
      </c>
      <c r="F206" s="9" t="s">
        <v>87</v>
      </c>
      <c r="G206" s="9" t="s">
        <v>43</v>
      </c>
      <c r="H206" s="9" t="s">
        <v>1782</v>
      </c>
      <c r="I206" s="9">
        <v>202501236</v>
      </c>
      <c r="J206" s="9"/>
      <c r="K206" s="10">
        <v>45908</v>
      </c>
      <c r="L206" s="10">
        <v>45911</v>
      </c>
      <c r="M206" s="9" t="s">
        <v>45</v>
      </c>
      <c r="N206" s="9" t="s">
        <v>94</v>
      </c>
      <c r="O206" s="9" t="s">
        <v>1667</v>
      </c>
      <c r="P206" s="32">
        <f t="shared" si="10"/>
        <v>3</v>
      </c>
      <c r="Q206" s="11">
        <v>3642.4475524475524</v>
      </c>
      <c r="R206" s="11">
        <v>11000</v>
      </c>
      <c r="S206" s="11">
        <f t="shared" si="11"/>
        <v>7357.5524475524471</v>
      </c>
    </row>
    <row r="207" spans="1:19">
      <c r="A207" s="5">
        <v>206</v>
      </c>
      <c r="B207" s="5">
        <v>2509082231</v>
      </c>
      <c r="C207" s="5" t="s">
        <v>1804</v>
      </c>
      <c r="D207" s="5" t="s">
        <v>86</v>
      </c>
      <c r="E207" s="5" t="s">
        <v>1714</v>
      </c>
      <c r="F207" s="5" t="s">
        <v>87</v>
      </c>
      <c r="G207" s="5" t="s">
        <v>75</v>
      </c>
      <c r="H207" s="5" t="s">
        <v>1782</v>
      </c>
      <c r="I207" s="5">
        <v>202501237</v>
      </c>
      <c r="J207" s="5"/>
      <c r="K207" s="6">
        <v>45908</v>
      </c>
      <c r="L207" s="6">
        <v>45911</v>
      </c>
      <c r="M207" s="5" t="s">
        <v>53</v>
      </c>
      <c r="N207" s="5" t="s">
        <v>54</v>
      </c>
      <c r="O207" s="5" t="s">
        <v>41</v>
      </c>
      <c r="P207" s="30">
        <f t="shared" si="10"/>
        <v>3</v>
      </c>
      <c r="Q207" s="41">
        <v>3642.4475524475524</v>
      </c>
      <c r="R207" s="41">
        <v>4500</v>
      </c>
      <c r="S207" s="41">
        <f t="shared" si="11"/>
        <v>857.55244755244757</v>
      </c>
    </row>
    <row r="208" spans="1:19">
      <c r="A208" s="5">
        <v>207</v>
      </c>
      <c r="B208" s="5">
        <v>2509082233</v>
      </c>
      <c r="C208" s="5" t="s">
        <v>1805</v>
      </c>
      <c r="D208" s="5" t="s">
        <v>1261</v>
      </c>
      <c r="E208" s="5" t="s">
        <v>1806</v>
      </c>
      <c r="F208" s="5" t="s">
        <v>71</v>
      </c>
      <c r="G208" s="5" t="s">
        <v>75</v>
      </c>
      <c r="H208" s="5" t="s">
        <v>1782</v>
      </c>
      <c r="I208" s="5">
        <v>202501238</v>
      </c>
      <c r="J208" s="5"/>
      <c r="K208" s="6">
        <v>45908</v>
      </c>
      <c r="L208" s="6">
        <v>45911</v>
      </c>
      <c r="M208" s="5" t="s">
        <v>53</v>
      </c>
      <c r="N208" s="5" t="s">
        <v>54</v>
      </c>
      <c r="O208" s="5" t="s">
        <v>41</v>
      </c>
      <c r="P208" s="30">
        <f t="shared" si="10"/>
        <v>3</v>
      </c>
      <c r="Q208" s="41">
        <v>3642.4475524475524</v>
      </c>
      <c r="R208" s="41">
        <v>4500</v>
      </c>
      <c r="S208" s="41">
        <f t="shared" si="11"/>
        <v>857.55244755244757</v>
      </c>
    </row>
    <row r="209" spans="1:19">
      <c r="A209" s="5">
        <v>208</v>
      </c>
      <c r="B209" s="5">
        <v>2509082236</v>
      </c>
      <c r="C209" s="5" t="s">
        <v>1807</v>
      </c>
      <c r="D209" s="5" t="s">
        <v>257</v>
      </c>
      <c r="E209" s="5" t="s">
        <v>1808</v>
      </c>
      <c r="F209" s="5" t="s">
        <v>62</v>
      </c>
      <c r="G209" s="5" t="s">
        <v>52</v>
      </c>
      <c r="H209" s="5" t="s">
        <v>1782</v>
      </c>
      <c r="I209" s="5">
        <v>202501239</v>
      </c>
      <c r="J209" s="5"/>
      <c r="K209" s="6">
        <v>45908</v>
      </c>
      <c r="L209" s="6">
        <v>45911</v>
      </c>
      <c r="M209" s="5" t="s">
        <v>53</v>
      </c>
      <c r="N209" s="5" t="s">
        <v>54</v>
      </c>
      <c r="O209" s="5" t="s">
        <v>41</v>
      </c>
      <c r="P209" s="30">
        <f t="shared" si="10"/>
        <v>3</v>
      </c>
      <c r="Q209" s="41">
        <v>3642.4475524475524</v>
      </c>
      <c r="R209" s="41">
        <v>5100</v>
      </c>
      <c r="S209" s="41">
        <f t="shared" si="11"/>
        <v>1457.5524475524476</v>
      </c>
    </row>
    <row r="210" spans="1:19">
      <c r="A210" s="5">
        <v>209</v>
      </c>
      <c r="B210" s="5">
        <v>2509082238</v>
      </c>
      <c r="C210" s="5" t="s">
        <v>1809</v>
      </c>
      <c r="D210" s="5" t="s">
        <v>257</v>
      </c>
      <c r="E210" s="5" t="s">
        <v>1808</v>
      </c>
      <c r="F210" s="5" t="s">
        <v>62</v>
      </c>
      <c r="G210" s="5" t="s">
        <v>52</v>
      </c>
      <c r="H210" s="5" t="s">
        <v>1782</v>
      </c>
      <c r="I210" s="5">
        <v>202501240</v>
      </c>
      <c r="J210" s="5"/>
      <c r="K210" s="6">
        <v>45908</v>
      </c>
      <c r="L210" s="6">
        <v>45911</v>
      </c>
      <c r="M210" s="5" t="s">
        <v>53</v>
      </c>
      <c r="N210" s="5" t="s">
        <v>54</v>
      </c>
      <c r="O210" s="5" t="s">
        <v>41</v>
      </c>
      <c r="P210" s="30">
        <f t="shared" si="10"/>
        <v>3</v>
      </c>
      <c r="Q210" s="41">
        <v>3642.4475524475524</v>
      </c>
      <c r="R210" s="41">
        <v>5100</v>
      </c>
      <c r="S210" s="41">
        <f t="shared" si="11"/>
        <v>1457.5524475524476</v>
      </c>
    </row>
    <row r="211" spans="1:19">
      <c r="A211" s="5">
        <v>210</v>
      </c>
      <c r="B211" s="5">
        <v>2509082240</v>
      </c>
      <c r="C211" s="5" t="s">
        <v>1810</v>
      </c>
      <c r="D211" s="5" t="s">
        <v>564</v>
      </c>
      <c r="E211" s="5" t="s">
        <v>565</v>
      </c>
      <c r="F211" s="5" t="s">
        <v>71</v>
      </c>
      <c r="G211" s="5" t="s">
        <v>75</v>
      </c>
      <c r="H211" s="5" t="s">
        <v>1782</v>
      </c>
      <c r="I211" s="5">
        <v>202501241</v>
      </c>
      <c r="J211" s="5"/>
      <c r="K211" s="6">
        <v>45908</v>
      </c>
      <c r="L211" s="6">
        <v>45911</v>
      </c>
      <c r="M211" s="5" t="s">
        <v>53</v>
      </c>
      <c r="N211" s="5" t="s">
        <v>54</v>
      </c>
      <c r="O211" s="5" t="s">
        <v>41</v>
      </c>
      <c r="P211" s="30">
        <f t="shared" si="10"/>
        <v>3</v>
      </c>
      <c r="Q211" s="41">
        <v>3642.4475524475524</v>
      </c>
      <c r="R211" s="41">
        <v>6500</v>
      </c>
      <c r="S211" s="41">
        <f t="shared" si="11"/>
        <v>2857.5524475524476</v>
      </c>
    </row>
    <row r="212" spans="1:19">
      <c r="A212" s="5">
        <v>211</v>
      </c>
      <c r="B212" s="5">
        <v>2509082243</v>
      </c>
      <c r="C212" s="5" t="s">
        <v>1811</v>
      </c>
      <c r="D212" s="5" t="s">
        <v>1629</v>
      </c>
      <c r="E212" s="5" t="s">
        <v>1812</v>
      </c>
      <c r="F212" s="5" t="s">
        <v>141</v>
      </c>
      <c r="G212" s="5" t="s">
        <v>52</v>
      </c>
      <c r="H212" s="5" t="s">
        <v>1782</v>
      </c>
      <c r="I212" s="5">
        <v>202501242</v>
      </c>
      <c r="J212" s="5"/>
      <c r="K212" s="6">
        <v>45908</v>
      </c>
      <c r="L212" s="6">
        <v>45911</v>
      </c>
      <c r="M212" s="5" t="s">
        <v>53</v>
      </c>
      <c r="N212" s="5" t="s">
        <v>54</v>
      </c>
      <c r="O212" s="5" t="s">
        <v>41</v>
      </c>
      <c r="P212" s="30">
        <f t="shared" si="10"/>
        <v>3</v>
      </c>
      <c r="Q212" s="41">
        <v>3642.4475524475524</v>
      </c>
      <c r="R212" s="41">
        <v>5500</v>
      </c>
      <c r="S212" s="41">
        <f t="shared" si="11"/>
        <v>1857.5524475524476</v>
      </c>
    </row>
    <row r="213" spans="1:19">
      <c r="A213" s="5">
        <v>212</v>
      </c>
      <c r="B213" s="5">
        <v>2509082245</v>
      </c>
      <c r="C213" s="5" t="s">
        <v>1813</v>
      </c>
      <c r="D213" s="5" t="s">
        <v>858</v>
      </c>
      <c r="E213" s="5" t="s">
        <v>1814</v>
      </c>
      <c r="F213" s="5" t="s">
        <v>169</v>
      </c>
      <c r="G213" s="5" t="s">
        <v>43</v>
      </c>
      <c r="H213" s="5" t="s">
        <v>1782</v>
      </c>
      <c r="I213" s="5">
        <v>202501243</v>
      </c>
      <c r="J213" s="5"/>
      <c r="K213" s="6">
        <v>45908</v>
      </c>
      <c r="L213" s="6">
        <v>45911</v>
      </c>
      <c r="M213" s="5" t="s">
        <v>53</v>
      </c>
      <c r="N213" s="5" t="s">
        <v>54</v>
      </c>
      <c r="O213" s="5" t="s">
        <v>41</v>
      </c>
      <c r="P213" s="30">
        <f t="shared" si="10"/>
        <v>3</v>
      </c>
      <c r="Q213" s="41">
        <v>3642.4475524475524</v>
      </c>
      <c r="R213" s="41">
        <v>11000</v>
      </c>
      <c r="S213" s="41">
        <f t="shared" si="11"/>
        <v>7357.5524475524471</v>
      </c>
    </row>
    <row r="214" spans="1:19">
      <c r="A214" s="5">
        <v>213</v>
      </c>
      <c r="B214" s="5" t="s">
        <v>1239</v>
      </c>
      <c r="C214" s="5"/>
      <c r="D214" s="5"/>
      <c r="E214" s="5"/>
      <c r="F214" s="5"/>
      <c r="G214" s="5" t="s">
        <v>52</v>
      </c>
      <c r="H214" s="5"/>
      <c r="I214" s="5"/>
      <c r="J214" s="5"/>
      <c r="K214" s="5"/>
      <c r="L214" s="5"/>
      <c r="M214" s="5"/>
      <c r="N214" s="5"/>
      <c r="O214" s="5"/>
      <c r="P214" s="5"/>
      <c r="Q214" s="41">
        <v>3642.4475524475524</v>
      </c>
      <c r="R214" s="41">
        <v>0</v>
      </c>
      <c r="S214" s="41">
        <f t="shared" si="11"/>
        <v>-3642.4475524475524</v>
      </c>
    </row>
    <row r="215" spans="1:19">
      <c r="A215" s="5">
        <v>214</v>
      </c>
      <c r="B215" s="5" t="s">
        <v>1240</v>
      </c>
      <c r="C215" s="5"/>
      <c r="D215" s="5"/>
      <c r="E215" s="5"/>
      <c r="F215" s="5"/>
      <c r="G215" s="5" t="s">
        <v>52</v>
      </c>
      <c r="H215" s="5"/>
      <c r="I215" s="5"/>
      <c r="J215" s="5"/>
      <c r="K215" s="5"/>
      <c r="L215" s="5"/>
      <c r="M215" s="5"/>
      <c r="N215" s="5"/>
      <c r="O215" s="5"/>
      <c r="P215" s="5"/>
      <c r="Q215" s="41">
        <v>3642.4475524475524</v>
      </c>
      <c r="R215" s="41">
        <v>0</v>
      </c>
      <c r="S215" s="41">
        <f t="shared" si="11"/>
        <v>-3642.4475524475524</v>
      </c>
    </row>
    <row r="216" spans="1:19">
      <c r="A216" s="5">
        <v>215</v>
      </c>
      <c r="B216" s="22">
        <v>2509082218</v>
      </c>
      <c r="C216" s="22" t="s">
        <v>1790</v>
      </c>
      <c r="D216" s="22" t="s">
        <v>1788</v>
      </c>
      <c r="E216" s="22" t="s">
        <v>1789</v>
      </c>
      <c r="F216" s="22" t="s">
        <v>51</v>
      </c>
      <c r="G216" s="22" t="s">
        <v>52</v>
      </c>
      <c r="H216" s="22" t="s">
        <v>1815</v>
      </c>
      <c r="I216" s="22" t="s">
        <v>1816</v>
      </c>
      <c r="J216" s="22"/>
      <c r="K216" s="23">
        <v>45908</v>
      </c>
      <c r="L216" s="23">
        <v>45913</v>
      </c>
      <c r="M216" s="22" t="s">
        <v>53</v>
      </c>
      <c r="N216" s="22" t="s">
        <v>54</v>
      </c>
      <c r="O216" s="22" t="s">
        <v>41</v>
      </c>
      <c r="P216" s="34">
        <f t="shared" ref="P216:P243" si="12">L216-K216</f>
        <v>5</v>
      </c>
      <c r="Q216" s="24">
        <v>3211.4545454545455</v>
      </c>
      <c r="R216" s="24">
        <v>0</v>
      </c>
      <c r="S216" s="24">
        <f t="shared" si="11"/>
        <v>-3211.4545454545455</v>
      </c>
    </row>
    <row r="217" spans="1:19">
      <c r="A217" s="5">
        <v>216</v>
      </c>
      <c r="B217" s="22">
        <v>2509082222</v>
      </c>
      <c r="C217" s="22" t="s">
        <v>1792</v>
      </c>
      <c r="D217" s="22" t="s">
        <v>528</v>
      </c>
      <c r="E217" s="22" t="s">
        <v>1793</v>
      </c>
      <c r="F217" s="22" t="s">
        <v>202</v>
      </c>
      <c r="G217" s="22" t="s">
        <v>52</v>
      </c>
      <c r="H217" s="22" t="s">
        <v>1815</v>
      </c>
      <c r="I217" s="22" t="s">
        <v>1817</v>
      </c>
      <c r="J217" s="22"/>
      <c r="K217" s="23">
        <v>45908</v>
      </c>
      <c r="L217" s="23">
        <v>45913</v>
      </c>
      <c r="M217" s="22" t="s">
        <v>53</v>
      </c>
      <c r="N217" s="22" t="s">
        <v>54</v>
      </c>
      <c r="O217" s="22" t="s">
        <v>41</v>
      </c>
      <c r="P217" s="34">
        <f t="shared" si="12"/>
        <v>5</v>
      </c>
      <c r="Q217" s="24">
        <v>3211.4545454545455</v>
      </c>
      <c r="R217" s="24">
        <v>0</v>
      </c>
      <c r="S217" s="24">
        <f t="shared" si="11"/>
        <v>-3211.4545454545455</v>
      </c>
    </row>
    <row r="218" spans="1:19">
      <c r="A218" s="5">
        <v>217</v>
      </c>
      <c r="B218" s="22">
        <v>2509082229</v>
      </c>
      <c r="C218" s="22" t="s">
        <v>1803</v>
      </c>
      <c r="D218" s="22" t="s">
        <v>86</v>
      </c>
      <c r="E218" s="22" t="s">
        <v>1714</v>
      </c>
      <c r="F218" s="22" t="s">
        <v>87</v>
      </c>
      <c r="G218" s="22" t="s">
        <v>43</v>
      </c>
      <c r="H218" s="22" t="s">
        <v>1815</v>
      </c>
      <c r="I218" s="22" t="s">
        <v>1818</v>
      </c>
      <c r="J218" s="22"/>
      <c r="K218" s="23">
        <v>45908</v>
      </c>
      <c r="L218" s="23">
        <v>45913</v>
      </c>
      <c r="M218" s="22" t="s">
        <v>53</v>
      </c>
      <c r="N218" s="22" t="s">
        <v>54</v>
      </c>
      <c r="O218" s="22" t="s">
        <v>41</v>
      </c>
      <c r="P218" s="34">
        <f t="shared" si="12"/>
        <v>5</v>
      </c>
      <c r="Q218" s="24">
        <v>3211.4545454545455</v>
      </c>
      <c r="R218" s="24">
        <v>0</v>
      </c>
      <c r="S218" s="24">
        <f t="shared" si="11"/>
        <v>-3211.4545454545455</v>
      </c>
    </row>
    <row r="219" spans="1:19">
      <c r="A219" s="5">
        <v>218</v>
      </c>
      <c r="B219" s="5">
        <v>2509093003</v>
      </c>
      <c r="C219" s="5" t="s">
        <v>1819</v>
      </c>
      <c r="D219" s="5" t="s">
        <v>733</v>
      </c>
      <c r="E219" s="5" t="s">
        <v>1820</v>
      </c>
      <c r="F219" s="5" t="s">
        <v>51</v>
      </c>
      <c r="G219" s="5" t="s">
        <v>75</v>
      </c>
      <c r="H219" s="5" t="s">
        <v>1815</v>
      </c>
      <c r="I219" s="5">
        <v>202501244</v>
      </c>
      <c r="J219" s="5"/>
      <c r="K219" s="6">
        <v>45909</v>
      </c>
      <c r="L219" s="6">
        <v>45913</v>
      </c>
      <c r="M219" s="5" t="s">
        <v>53</v>
      </c>
      <c r="N219" s="5" t="s">
        <v>54</v>
      </c>
      <c r="O219" s="5" t="s">
        <v>41</v>
      </c>
      <c r="P219" s="30">
        <f t="shared" si="12"/>
        <v>4</v>
      </c>
      <c r="Q219" s="41">
        <v>3211.4545454545455</v>
      </c>
      <c r="R219" s="41">
        <v>4500</v>
      </c>
      <c r="S219" s="41">
        <f t="shared" si="11"/>
        <v>1288.5454545454545</v>
      </c>
    </row>
    <row r="220" spans="1:19">
      <c r="A220" s="5">
        <v>219</v>
      </c>
      <c r="B220" s="5">
        <v>2509093011</v>
      </c>
      <c r="C220" s="5" t="s">
        <v>1821</v>
      </c>
      <c r="D220" s="5" t="s">
        <v>139</v>
      </c>
      <c r="E220" s="5" t="s">
        <v>140</v>
      </c>
      <c r="F220" s="5" t="s">
        <v>141</v>
      </c>
      <c r="G220" s="5" t="s">
        <v>52</v>
      </c>
      <c r="H220" s="5" t="s">
        <v>1815</v>
      </c>
      <c r="I220" s="5">
        <v>202501245</v>
      </c>
      <c r="J220" s="5"/>
      <c r="K220" s="6">
        <v>45909</v>
      </c>
      <c r="L220" s="6">
        <v>45913</v>
      </c>
      <c r="M220" s="5" t="s">
        <v>53</v>
      </c>
      <c r="N220" s="5" t="s">
        <v>54</v>
      </c>
      <c r="O220" s="5" t="s">
        <v>41</v>
      </c>
      <c r="P220" s="30">
        <f t="shared" si="12"/>
        <v>4</v>
      </c>
      <c r="Q220" s="41">
        <v>3211.4545454545455</v>
      </c>
      <c r="R220" s="41">
        <v>6000</v>
      </c>
      <c r="S220" s="41">
        <f t="shared" si="11"/>
        <v>2788.5454545454545</v>
      </c>
    </row>
    <row r="221" spans="1:19">
      <c r="A221" s="5">
        <v>220</v>
      </c>
      <c r="B221" s="5">
        <v>2509093016</v>
      </c>
      <c r="C221" s="5" t="s">
        <v>1822</v>
      </c>
      <c r="D221" s="5" t="s">
        <v>296</v>
      </c>
      <c r="E221" s="5" t="s">
        <v>1726</v>
      </c>
      <c r="F221" s="5" t="s">
        <v>79</v>
      </c>
      <c r="G221" s="5" t="s">
        <v>52</v>
      </c>
      <c r="H221" s="5" t="s">
        <v>1815</v>
      </c>
      <c r="I221" s="5">
        <v>202501246</v>
      </c>
      <c r="J221" s="5"/>
      <c r="K221" s="6">
        <v>45909</v>
      </c>
      <c r="L221" s="6">
        <v>45913</v>
      </c>
      <c r="M221" s="5" t="s">
        <v>53</v>
      </c>
      <c r="N221" s="5" t="s">
        <v>54</v>
      </c>
      <c r="O221" s="5" t="s">
        <v>41</v>
      </c>
      <c r="P221" s="30">
        <f t="shared" si="12"/>
        <v>4</v>
      </c>
      <c r="Q221" s="41">
        <v>3211.4545454545455</v>
      </c>
      <c r="R221" s="41">
        <v>8500</v>
      </c>
      <c r="S221" s="41">
        <f t="shared" si="11"/>
        <v>5288.545454545454</v>
      </c>
    </row>
    <row r="222" spans="1:19">
      <c r="A222" s="5">
        <v>221</v>
      </c>
      <c r="B222" s="5">
        <v>2509093021</v>
      </c>
      <c r="C222" s="5" t="s">
        <v>1823</v>
      </c>
      <c r="D222" s="5" t="s">
        <v>49</v>
      </c>
      <c r="E222" s="5" t="s">
        <v>50</v>
      </c>
      <c r="F222" s="5" t="s">
        <v>51</v>
      </c>
      <c r="G222" s="5" t="s">
        <v>75</v>
      </c>
      <c r="H222" s="5" t="s">
        <v>1815</v>
      </c>
      <c r="I222" s="5">
        <v>202501247</v>
      </c>
      <c r="J222" s="5"/>
      <c r="K222" s="6">
        <v>45909</v>
      </c>
      <c r="L222" s="6">
        <v>45913</v>
      </c>
      <c r="M222" s="5" t="s">
        <v>53</v>
      </c>
      <c r="N222" s="5" t="s">
        <v>54</v>
      </c>
      <c r="O222" s="5" t="s">
        <v>41</v>
      </c>
      <c r="P222" s="30">
        <f t="shared" si="12"/>
        <v>4</v>
      </c>
      <c r="Q222" s="41">
        <v>3211.4545454545455</v>
      </c>
      <c r="R222" s="41">
        <v>4500</v>
      </c>
      <c r="S222" s="41">
        <f t="shared" si="11"/>
        <v>1288.5454545454545</v>
      </c>
    </row>
    <row r="223" spans="1:19">
      <c r="A223" s="5">
        <v>222</v>
      </c>
      <c r="B223" s="5">
        <v>2509093029</v>
      </c>
      <c r="C223" s="5" t="s">
        <v>1824</v>
      </c>
      <c r="D223" s="5" t="s">
        <v>528</v>
      </c>
      <c r="E223" s="5" t="s">
        <v>1825</v>
      </c>
      <c r="F223" s="5" t="s">
        <v>202</v>
      </c>
      <c r="G223" s="5" t="s">
        <v>52</v>
      </c>
      <c r="H223" s="5" t="s">
        <v>1815</v>
      </c>
      <c r="I223" s="5">
        <v>202501248</v>
      </c>
      <c r="J223" s="5"/>
      <c r="K223" s="6">
        <v>45909</v>
      </c>
      <c r="L223" s="6">
        <v>45913</v>
      </c>
      <c r="M223" s="5" t="s">
        <v>53</v>
      </c>
      <c r="N223" s="5" t="s">
        <v>54</v>
      </c>
      <c r="O223" s="5" t="s">
        <v>41</v>
      </c>
      <c r="P223" s="30">
        <f t="shared" si="12"/>
        <v>4</v>
      </c>
      <c r="Q223" s="41">
        <v>3211.4545454545455</v>
      </c>
      <c r="R223" s="41">
        <v>7500</v>
      </c>
      <c r="S223" s="41">
        <f t="shared" si="11"/>
        <v>4288.545454545454</v>
      </c>
    </row>
    <row r="224" spans="1:19">
      <c r="A224" s="5">
        <v>223</v>
      </c>
      <c r="B224" s="5">
        <v>2509093034</v>
      </c>
      <c r="C224" s="5" t="s">
        <v>1826</v>
      </c>
      <c r="D224" s="5" t="s">
        <v>564</v>
      </c>
      <c r="E224" s="5" t="s">
        <v>1827</v>
      </c>
      <c r="F224" s="5" t="s">
        <v>71</v>
      </c>
      <c r="G224" s="5" t="s">
        <v>75</v>
      </c>
      <c r="H224" s="5" t="s">
        <v>1815</v>
      </c>
      <c r="I224" s="5">
        <v>202501249</v>
      </c>
      <c r="J224" s="5"/>
      <c r="K224" s="6">
        <v>45909</v>
      </c>
      <c r="L224" s="6">
        <v>45913</v>
      </c>
      <c r="M224" s="5" t="s">
        <v>53</v>
      </c>
      <c r="N224" s="5" t="s">
        <v>54</v>
      </c>
      <c r="O224" s="5" t="s">
        <v>41</v>
      </c>
      <c r="P224" s="30">
        <f t="shared" si="12"/>
        <v>4</v>
      </c>
      <c r="Q224" s="41">
        <v>3211.4545454545455</v>
      </c>
      <c r="R224" s="41">
        <v>6500</v>
      </c>
      <c r="S224" s="41">
        <f t="shared" si="11"/>
        <v>3288.5454545454545</v>
      </c>
    </row>
    <row r="225" spans="1:19">
      <c r="A225" s="5">
        <v>224</v>
      </c>
      <c r="B225" s="5">
        <v>2509093040</v>
      </c>
      <c r="C225" s="5" t="s">
        <v>1828</v>
      </c>
      <c r="D225" s="5" t="s">
        <v>564</v>
      </c>
      <c r="E225" s="5" t="s">
        <v>1827</v>
      </c>
      <c r="F225" s="5" t="s">
        <v>71</v>
      </c>
      <c r="G225" s="5" t="s">
        <v>52</v>
      </c>
      <c r="H225" s="5" t="s">
        <v>1815</v>
      </c>
      <c r="I225" s="5">
        <v>202501250</v>
      </c>
      <c r="J225" s="5"/>
      <c r="K225" s="6">
        <v>45909</v>
      </c>
      <c r="L225" s="6">
        <v>45913</v>
      </c>
      <c r="M225" s="5" t="s">
        <v>53</v>
      </c>
      <c r="N225" s="5" t="s">
        <v>54</v>
      </c>
      <c r="O225" s="5" t="s">
        <v>41</v>
      </c>
      <c r="P225" s="30">
        <f t="shared" si="12"/>
        <v>4</v>
      </c>
      <c r="Q225" s="41">
        <v>3211.4545454545455</v>
      </c>
      <c r="R225" s="41">
        <v>8500</v>
      </c>
      <c r="S225" s="41">
        <f t="shared" si="11"/>
        <v>5288.545454545454</v>
      </c>
    </row>
    <row r="226" spans="1:19">
      <c r="A226" s="5">
        <v>225</v>
      </c>
      <c r="B226" s="5">
        <v>2509093045</v>
      </c>
      <c r="C226" s="5" t="s">
        <v>1829</v>
      </c>
      <c r="D226" s="5" t="s">
        <v>107</v>
      </c>
      <c r="E226" s="5" t="s">
        <v>205</v>
      </c>
      <c r="F226" s="5" t="s">
        <v>109</v>
      </c>
      <c r="G226" s="5" t="s">
        <v>75</v>
      </c>
      <c r="H226" s="5" t="s">
        <v>1815</v>
      </c>
      <c r="I226" s="5">
        <v>202501251</v>
      </c>
      <c r="J226" s="5"/>
      <c r="K226" s="6">
        <v>45909</v>
      </c>
      <c r="L226" s="6">
        <v>45913</v>
      </c>
      <c r="M226" s="5" t="s">
        <v>53</v>
      </c>
      <c r="N226" s="5" t="s">
        <v>54</v>
      </c>
      <c r="O226" s="5" t="s">
        <v>41</v>
      </c>
      <c r="P226" s="30">
        <f t="shared" si="12"/>
        <v>4</v>
      </c>
      <c r="Q226" s="41">
        <v>3211.4545454545455</v>
      </c>
      <c r="R226" s="41">
        <v>4500</v>
      </c>
      <c r="S226" s="41">
        <f t="shared" si="11"/>
        <v>1288.5454545454545</v>
      </c>
    </row>
    <row r="227" spans="1:19">
      <c r="A227" s="5">
        <v>226</v>
      </c>
      <c r="B227" s="5">
        <v>2509093052</v>
      </c>
      <c r="C227" s="5" t="s">
        <v>1830</v>
      </c>
      <c r="D227" s="5" t="s">
        <v>257</v>
      </c>
      <c r="E227" s="5" t="s">
        <v>1808</v>
      </c>
      <c r="F227" s="5" t="s">
        <v>62</v>
      </c>
      <c r="G227" s="5" t="s">
        <v>52</v>
      </c>
      <c r="H227" s="5" t="s">
        <v>1815</v>
      </c>
      <c r="I227" s="5">
        <v>202501252</v>
      </c>
      <c r="J227" s="5"/>
      <c r="K227" s="6">
        <v>45909</v>
      </c>
      <c r="L227" s="6">
        <v>45913</v>
      </c>
      <c r="M227" s="5" t="s">
        <v>53</v>
      </c>
      <c r="N227" s="5" t="s">
        <v>54</v>
      </c>
      <c r="O227" s="5" t="s">
        <v>41</v>
      </c>
      <c r="P227" s="30">
        <f t="shared" si="12"/>
        <v>4</v>
      </c>
      <c r="Q227" s="41">
        <v>3211.4545454545455</v>
      </c>
      <c r="R227" s="41">
        <v>5100</v>
      </c>
      <c r="S227" s="41">
        <f t="shared" si="11"/>
        <v>1888.5454545454545</v>
      </c>
    </row>
    <row r="228" spans="1:19">
      <c r="A228" s="5">
        <v>227</v>
      </c>
      <c r="B228" s="9">
        <v>2509093062</v>
      </c>
      <c r="C228" s="9" t="s">
        <v>1831</v>
      </c>
      <c r="D228" s="9" t="s">
        <v>97</v>
      </c>
      <c r="E228" s="9" t="s">
        <v>98</v>
      </c>
      <c r="F228" s="9" t="s">
        <v>71</v>
      </c>
      <c r="G228" s="9" t="s">
        <v>75</v>
      </c>
      <c r="H228" s="9" t="s">
        <v>1815</v>
      </c>
      <c r="I228" s="9">
        <v>202501253</v>
      </c>
      <c r="J228" s="9"/>
      <c r="K228" s="10">
        <v>45909</v>
      </c>
      <c r="L228" s="10">
        <v>45913</v>
      </c>
      <c r="M228" s="9" t="s">
        <v>45</v>
      </c>
      <c r="N228" s="9" t="s">
        <v>94</v>
      </c>
      <c r="O228" s="9" t="s">
        <v>1667</v>
      </c>
      <c r="P228" s="32">
        <f t="shared" si="12"/>
        <v>4</v>
      </c>
      <c r="Q228" s="11">
        <v>3211.4545454545455</v>
      </c>
      <c r="R228" s="11">
        <v>4900</v>
      </c>
      <c r="S228" s="11">
        <f t="shared" si="11"/>
        <v>1688.5454545454545</v>
      </c>
    </row>
    <row r="229" spans="1:19">
      <c r="A229" s="5">
        <v>228</v>
      </c>
      <c r="B229" s="5">
        <v>2509093064</v>
      </c>
      <c r="C229" s="5" t="s">
        <v>1832</v>
      </c>
      <c r="D229" s="5" t="s">
        <v>73</v>
      </c>
      <c r="E229" s="5" t="s">
        <v>1833</v>
      </c>
      <c r="F229" s="5" t="s">
        <v>71</v>
      </c>
      <c r="G229" s="5" t="s">
        <v>52</v>
      </c>
      <c r="H229" s="5" t="s">
        <v>1815</v>
      </c>
      <c r="I229" s="5">
        <v>202501254</v>
      </c>
      <c r="J229" s="5"/>
      <c r="K229" s="6">
        <v>45909</v>
      </c>
      <c r="L229" s="6">
        <v>45913</v>
      </c>
      <c r="M229" s="5" t="s">
        <v>53</v>
      </c>
      <c r="N229" s="5" t="s">
        <v>54</v>
      </c>
      <c r="O229" s="5" t="s">
        <v>41</v>
      </c>
      <c r="P229" s="30">
        <f t="shared" si="12"/>
        <v>4</v>
      </c>
      <c r="Q229" s="41">
        <v>3211.4545454545455</v>
      </c>
      <c r="R229" s="41">
        <v>8000</v>
      </c>
      <c r="S229" s="41">
        <f t="shared" si="11"/>
        <v>4788.545454545454</v>
      </c>
    </row>
    <row r="230" spans="1:19">
      <c r="A230" s="5">
        <v>229</v>
      </c>
      <c r="B230" s="5">
        <v>2509093068</v>
      </c>
      <c r="C230" s="5" t="s">
        <v>1834</v>
      </c>
      <c r="D230" s="5" t="s">
        <v>444</v>
      </c>
      <c r="E230" s="5" t="s">
        <v>1835</v>
      </c>
      <c r="F230" s="5" t="s">
        <v>109</v>
      </c>
      <c r="G230" s="5" t="s">
        <v>52</v>
      </c>
      <c r="H230" s="5" t="s">
        <v>1815</v>
      </c>
      <c r="I230" s="5">
        <v>202501255</v>
      </c>
      <c r="J230" s="5"/>
      <c r="K230" s="6">
        <v>45909</v>
      </c>
      <c r="L230" s="6">
        <v>45913</v>
      </c>
      <c r="M230" s="5" t="s">
        <v>53</v>
      </c>
      <c r="N230" s="5" t="s">
        <v>54</v>
      </c>
      <c r="O230" s="5" t="s">
        <v>41</v>
      </c>
      <c r="P230" s="30">
        <f t="shared" si="12"/>
        <v>4</v>
      </c>
      <c r="Q230" s="41">
        <v>3211.4545454545455</v>
      </c>
      <c r="R230" s="41">
        <v>5950</v>
      </c>
      <c r="S230" s="41">
        <f t="shared" si="11"/>
        <v>2738.5454545454545</v>
      </c>
    </row>
    <row r="231" spans="1:19">
      <c r="A231" s="5">
        <v>230</v>
      </c>
      <c r="B231" s="5">
        <v>2509103093</v>
      </c>
      <c r="C231" s="5" t="s">
        <v>1836</v>
      </c>
      <c r="D231" s="5" t="s">
        <v>918</v>
      </c>
      <c r="E231" s="5" t="s">
        <v>1837</v>
      </c>
      <c r="F231" s="5" t="s">
        <v>51</v>
      </c>
      <c r="G231" s="5" t="s">
        <v>52</v>
      </c>
      <c r="H231" s="5" t="s">
        <v>1815</v>
      </c>
      <c r="I231" s="5">
        <v>202501256</v>
      </c>
      <c r="J231" s="5"/>
      <c r="K231" s="6">
        <v>45910</v>
      </c>
      <c r="L231" s="6">
        <v>45913</v>
      </c>
      <c r="M231" s="5" t="s">
        <v>53</v>
      </c>
      <c r="N231" s="5" t="s">
        <v>54</v>
      </c>
      <c r="O231" s="5" t="s">
        <v>41</v>
      </c>
      <c r="P231" s="30">
        <f t="shared" si="12"/>
        <v>3</v>
      </c>
      <c r="Q231" s="41">
        <v>3211.4545454545455</v>
      </c>
      <c r="R231" s="41">
        <v>5500</v>
      </c>
      <c r="S231" s="41">
        <f t="shared" si="11"/>
        <v>2288.5454545454545</v>
      </c>
    </row>
    <row r="232" spans="1:19">
      <c r="A232" s="5">
        <v>231</v>
      </c>
      <c r="B232" s="5">
        <v>2509103102</v>
      </c>
      <c r="C232" s="5" t="s">
        <v>1838</v>
      </c>
      <c r="D232" s="5" t="s">
        <v>1765</v>
      </c>
      <c r="E232" s="5" t="s">
        <v>1766</v>
      </c>
      <c r="F232" s="5" t="s">
        <v>51</v>
      </c>
      <c r="G232" s="5" t="s">
        <v>75</v>
      </c>
      <c r="H232" s="5" t="s">
        <v>1815</v>
      </c>
      <c r="I232" s="5">
        <v>202501257</v>
      </c>
      <c r="J232" s="5"/>
      <c r="K232" s="6">
        <v>45910</v>
      </c>
      <c r="L232" s="6">
        <v>45913</v>
      </c>
      <c r="M232" s="5" t="s">
        <v>53</v>
      </c>
      <c r="N232" s="5" t="s">
        <v>54</v>
      </c>
      <c r="O232" s="5" t="s">
        <v>41</v>
      </c>
      <c r="P232" s="30">
        <f t="shared" si="12"/>
        <v>3</v>
      </c>
      <c r="Q232" s="41">
        <v>3211.4545454545455</v>
      </c>
      <c r="R232" s="41">
        <v>4900</v>
      </c>
      <c r="S232" s="41">
        <f t="shared" si="11"/>
        <v>1688.5454545454545</v>
      </c>
    </row>
    <row r="233" spans="1:19">
      <c r="A233" s="5">
        <v>232</v>
      </c>
      <c r="B233" s="5">
        <v>2509103104</v>
      </c>
      <c r="C233" s="5" t="s">
        <v>1839</v>
      </c>
      <c r="D233" s="5" t="s">
        <v>1209</v>
      </c>
      <c r="E233" s="5" t="s">
        <v>1210</v>
      </c>
      <c r="F233" s="5" t="s">
        <v>51</v>
      </c>
      <c r="G233" s="5" t="s">
        <v>52</v>
      </c>
      <c r="H233" s="5" t="s">
        <v>1815</v>
      </c>
      <c r="I233" s="5">
        <v>202501258</v>
      </c>
      <c r="J233" s="5"/>
      <c r="K233" s="6">
        <v>45910</v>
      </c>
      <c r="L233" s="6">
        <v>45913</v>
      </c>
      <c r="M233" s="5" t="s">
        <v>53</v>
      </c>
      <c r="N233" s="5" t="s">
        <v>54</v>
      </c>
      <c r="O233" s="5" t="s">
        <v>41</v>
      </c>
      <c r="P233" s="30">
        <f t="shared" si="12"/>
        <v>3</v>
      </c>
      <c r="Q233" s="41">
        <v>3211.4545454545455</v>
      </c>
      <c r="R233" s="41">
        <v>5500</v>
      </c>
      <c r="S233" s="41">
        <f t="shared" si="11"/>
        <v>2288.5454545454545</v>
      </c>
    </row>
    <row r="234" spans="1:19">
      <c r="A234" s="5">
        <v>233</v>
      </c>
      <c r="B234" s="5">
        <v>2509103112</v>
      </c>
      <c r="C234" s="5" t="s">
        <v>1840</v>
      </c>
      <c r="D234" s="5" t="s">
        <v>1475</v>
      </c>
      <c r="E234" s="5" t="s">
        <v>1476</v>
      </c>
      <c r="F234" s="5" t="s">
        <v>362</v>
      </c>
      <c r="G234" s="5" t="s">
        <v>52</v>
      </c>
      <c r="H234" s="5" t="s">
        <v>1815</v>
      </c>
      <c r="I234" s="5">
        <v>202501259</v>
      </c>
      <c r="J234" s="5"/>
      <c r="K234" s="6">
        <v>45910</v>
      </c>
      <c r="L234" s="6">
        <v>45913</v>
      </c>
      <c r="M234" s="5" t="s">
        <v>53</v>
      </c>
      <c r="N234" s="5" t="s">
        <v>54</v>
      </c>
      <c r="O234" s="5" t="s">
        <v>41</v>
      </c>
      <c r="P234" s="30">
        <f t="shared" si="12"/>
        <v>3</v>
      </c>
      <c r="Q234" s="41">
        <v>3211.4545454545455</v>
      </c>
      <c r="R234" s="41">
        <v>5500</v>
      </c>
      <c r="S234" s="41">
        <f t="shared" si="11"/>
        <v>2288.5454545454545</v>
      </c>
    </row>
    <row r="235" spans="1:19">
      <c r="A235" s="5">
        <v>234</v>
      </c>
      <c r="B235" s="5">
        <v>2509103118</v>
      </c>
      <c r="C235" s="5" t="s">
        <v>1841</v>
      </c>
      <c r="D235" s="5" t="s">
        <v>804</v>
      </c>
      <c r="E235" s="5" t="s">
        <v>805</v>
      </c>
      <c r="F235" s="5" t="s">
        <v>457</v>
      </c>
      <c r="G235" s="5" t="s">
        <v>43</v>
      </c>
      <c r="H235" s="5" t="s">
        <v>1815</v>
      </c>
      <c r="I235" s="5">
        <v>202501260</v>
      </c>
      <c r="J235" s="5"/>
      <c r="K235" s="6">
        <v>45910</v>
      </c>
      <c r="L235" s="6">
        <v>45913</v>
      </c>
      <c r="M235" s="5" t="s">
        <v>53</v>
      </c>
      <c r="N235" s="5" t="s">
        <v>54</v>
      </c>
      <c r="O235" s="5" t="s">
        <v>41</v>
      </c>
      <c r="P235" s="30">
        <f t="shared" si="12"/>
        <v>3</v>
      </c>
      <c r="Q235" s="41">
        <v>3211.4545454545455</v>
      </c>
      <c r="R235" s="41">
        <v>11000</v>
      </c>
      <c r="S235" s="41">
        <f t="shared" si="11"/>
        <v>7788.545454545454</v>
      </c>
    </row>
    <row r="236" spans="1:19">
      <c r="A236" s="5">
        <v>235</v>
      </c>
      <c r="B236" s="5">
        <v>2509103123</v>
      </c>
      <c r="C236" s="5" t="s">
        <v>1842</v>
      </c>
      <c r="D236" s="5" t="s">
        <v>393</v>
      </c>
      <c r="E236" s="5" t="s">
        <v>394</v>
      </c>
      <c r="F236" s="5" t="s">
        <v>202</v>
      </c>
      <c r="G236" s="5" t="s">
        <v>43</v>
      </c>
      <c r="H236" s="5" t="s">
        <v>1815</v>
      </c>
      <c r="I236" s="5">
        <v>202501261</v>
      </c>
      <c r="J236" s="5"/>
      <c r="K236" s="6">
        <v>45910</v>
      </c>
      <c r="L236" s="6">
        <v>45913</v>
      </c>
      <c r="M236" s="5" t="s">
        <v>53</v>
      </c>
      <c r="N236" s="5" t="s">
        <v>54</v>
      </c>
      <c r="O236" s="5" t="s">
        <v>41</v>
      </c>
      <c r="P236" s="30">
        <f t="shared" si="12"/>
        <v>3</v>
      </c>
      <c r="Q236" s="41">
        <v>3211.4545454545455</v>
      </c>
      <c r="R236" s="41">
        <v>13500</v>
      </c>
      <c r="S236" s="41">
        <f t="shared" si="11"/>
        <v>10288.545454545454</v>
      </c>
    </row>
    <row r="237" spans="1:19">
      <c r="A237" s="5">
        <v>236</v>
      </c>
      <c r="B237" s="9">
        <v>2509103126</v>
      </c>
      <c r="C237" s="9" t="s">
        <v>1843</v>
      </c>
      <c r="D237" s="9" t="s">
        <v>215</v>
      </c>
      <c r="E237" s="9" t="s">
        <v>216</v>
      </c>
      <c r="F237" s="9" t="s">
        <v>109</v>
      </c>
      <c r="G237" s="9" t="s">
        <v>52</v>
      </c>
      <c r="H237" s="9" t="s">
        <v>1815</v>
      </c>
      <c r="I237" s="9">
        <v>202501262</v>
      </c>
      <c r="J237" s="9"/>
      <c r="K237" s="10">
        <v>45910</v>
      </c>
      <c r="L237" s="10">
        <v>45913</v>
      </c>
      <c r="M237" s="9" t="s">
        <v>53</v>
      </c>
      <c r="N237" s="9" t="s">
        <v>94</v>
      </c>
      <c r="O237" s="9" t="s">
        <v>1844</v>
      </c>
      <c r="P237" s="32">
        <f t="shared" si="12"/>
        <v>3</v>
      </c>
      <c r="Q237" s="11">
        <v>3211.4545454545455</v>
      </c>
      <c r="R237" s="11">
        <v>6000</v>
      </c>
      <c r="S237" s="11">
        <f t="shared" si="11"/>
        <v>2788.5454545454545</v>
      </c>
    </row>
    <row r="238" spans="1:19">
      <c r="A238" s="5">
        <v>237</v>
      </c>
      <c r="B238" s="5">
        <v>2509103131</v>
      </c>
      <c r="C238" s="5" t="s">
        <v>1845</v>
      </c>
      <c r="D238" s="5" t="s">
        <v>345</v>
      </c>
      <c r="E238" s="5" t="s">
        <v>1846</v>
      </c>
      <c r="F238" s="5" t="s">
        <v>66</v>
      </c>
      <c r="G238" s="5" t="s">
        <v>75</v>
      </c>
      <c r="H238" s="5" t="s">
        <v>1815</v>
      </c>
      <c r="I238" s="5">
        <v>202501263</v>
      </c>
      <c r="J238" s="5"/>
      <c r="K238" s="6">
        <v>45910</v>
      </c>
      <c r="L238" s="6">
        <v>45913</v>
      </c>
      <c r="M238" s="5" t="s">
        <v>53</v>
      </c>
      <c r="N238" s="5" t="s">
        <v>54</v>
      </c>
      <c r="O238" s="5" t="s">
        <v>41</v>
      </c>
      <c r="P238" s="30">
        <f t="shared" si="12"/>
        <v>3</v>
      </c>
      <c r="Q238" s="41">
        <v>3211.4545454545455</v>
      </c>
      <c r="R238" s="41">
        <v>2500</v>
      </c>
      <c r="S238" s="41">
        <f t="shared" si="11"/>
        <v>-711.4545454545455</v>
      </c>
    </row>
    <row r="239" spans="1:19">
      <c r="A239" s="5">
        <v>238</v>
      </c>
      <c r="B239" s="5">
        <v>2509103136</v>
      </c>
      <c r="C239" s="5" t="s">
        <v>1847</v>
      </c>
      <c r="D239" s="5" t="s">
        <v>345</v>
      </c>
      <c r="E239" s="5" t="s">
        <v>1846</v>
      </c>
      <c r="F239" s="5" t="s">
        <v>66</v>
      </c>
      <c r="G239" s="5" t="s">
        <v>52</v>
      </c>
      <c r="H239" s="5" t="s">
        <v>1815</v>
      </c>
      <c r="I239" s="5">
        <v>202501264</v>
      </c>
      <c r="J239" s="5"/>
      <c r="K239" s="6">
        <v>45910</v>
      </c>
      <c r="L239" s="6">
        <v>45913</v>
      </c>
      <c r="M239" s="5" t="s">
        <v>53</v>
      </c>
      <c r="N239" s="5" t="s">
        <v>54</v>
      </c>
      <c r="O239" s="5" t="s">
        <v>41</v>
      </c>
      <c r="P239" s="30">
        <f t="shared" si="12"/>
        <v>3</v>
      </c>
      <c r="Q239" s="41">
        <v>3211.4545454545455</v>
      </c>
      <c r="R239" s="41">
        <v>6000</v>
      </c>
      <c r="S239" s="41">
        <f t="shared" si="11"/>
        <v>2788.5454545454545</v>
      </c>
    </row>
    <row r="240" spans="1:19">
      <c r="A240" s="5">
        <v>239</v>
      </c>
      <c r="B240" s="5">
        <v>2509103141</v>
      </c>
      <c r="C240" s="5" t="s">
        <v>1848</v>
      </c>
      <c r="D240" s="5" t="s">
        <v>86</v>
      </c>
      <c r="E240" s="5" t="s">
        <v>1714</v>
      </c>
      <c r="F240" s="5" t="s">
        <v>87</v>
      </c>
      <c r="G240" s="5" t="s">
        <v>75</v>
      </c>
      <c r="H240" s="5" t="s">
        <v>1815</v>
      </c>
      <c r="I240" s="5">
        <v>202501265</v>
      </c>
      <c r="J240" s="5"/>
      <c r="K240" s="6">
        <v>45910</v>
      </c>
      <c r="L240" s="6">
        <v>45913</v>
      </c>
      <c r="M240" s="5" t="s">
        <v>53</v>
      </c>
      <c r="N240" s="5" t="s">
        <v>54</v>
      </c>
      <c r="O240" s="5" t="s">
        <v>41</v>
      </c>
      <c r="P240" s="30">
        <f t="shared" si="12"/>
        <v>3</v>
      </c>
      <c r="Q240" s="41">
        <v>3211.4545454545455</v>
      </c>
      <c r="R240" s="41">
        <v>4500</v>
      </c>
      <c r="S240" s="41">
        <f t="shared" si="11"/>
        <v>1288.5454545454545</v>
      </c>
    </row>
    <row r="241" spans="1:19">
      <c r="A241" s="5">
        <v>240</v>
      </c>
      <c r="B241" s="5">
        <v>2509103152</v>
      </c>
      <c r="C241" s="5" t="s">
        <v>1849</v>
      </c>
      <c r="D241" s="5" t="s">
        <v>440</v>
      </c>
      <c r="E241" s="5" t="s">
        <v>1850</v>
      </c>
      <c r="F241" s="5" t="s">
        <v>169</v>
      </c>
      <c r="G241" s="5" t="s">
        <v>52</v>
      </c>
      <c r="H241" s="5" t="s">
        <v>1815</v>
      </c>
      <c r="I241" s="5">
        <v>202501266</v>
      </c>
      <c r="J241" s="5"/>
      <c r="K241" s="6">
        <v>45910</v>
      </c>
      <c r="L241" s="6">
        <v>45913</v>
      </c>
      <c r="M241" s="5" t="s">
        <v>53</v>
      </c>
      <c r="N241" s="5" t="s">
        <v>54</v>
      </c>
      <c r="O241" s="5" t="s">
        <v>41</v>
      </c>
      <c r="P241" s="30">
        <f t="shared" si="12"/>
        <v>3</v>
      </c>
      <c r="Q241" s="41">
        <v>3211.4545454545455</v>
      </c>
      <c r="R241" s="41">
        <v>5500</v>
      </c>
      <c r="S241" s="41">
        <f t="shared" si="11"/>
        <v>2288.5454545454545</v>
      </c>
    </row>
    <row r="242" spans="1:19">
      <c r="A242" s="5">
        <v>241</v>
      </c>
      <c r="B242" s="5">
        <v>2509103157</v>
      </c>
      <c r="C242" s="5" t="s">
        <v>1851</v>
      </c>
      <c r="D242" s="5" t="s">
        <v>599</v>
      </c>
      <c r="E242" s="5" t="s">
        <v>1852</v>
      </c>
      <c r="F242" s="5" t="s">
        <v>169</v>
      </c>
      <c r="G242" s="5" t="s">
        <v>75</v>
      </c>
      <c r="H242" s="5" t="s">
        <v>1815</v>
      </c>
      <c r="I242" s="5">
        <v>202501267</v>
      </c>
      <c r="J242" s="5"/>
      <c r="K242" s="6">
        <v>45910</v>
      </c>
      <c r="L242" s="6">
        <v>45913</v>
      </c>
      <c r="M242" s="5" t="s">
        <v>53</v>
      </c>
      <c r="N242" s="5" t="s">
        <v>54</v>
      </c>
      <c r="O242" s="5" t="s">
        <v>41</v>
      </c>
      <c r="P242" s="30">
        <f t="shared" si="12"/>
        <v>3</v>
      </c>
      <c r="Q242" s="41">
        <v>3211.4545454545455</v>
      </c>
      <c r="R242" s="41">
        <v>5000</v>
      </c>
      <c r="S242" s="41">
        <f t="shared" si="11"/>
        <v>1788.5454545454545</v>
      </c>
    </row>
    <row r="243" spans="1:19">
      <c r="A243" s="5">
        <v>242</v>
      </c>
      <c r="B243" s="5">
        <v>2509103160</v>
      </c>
      <c r="C243" s="5" t="s">
        <v>1853</v>
      </c>
      <c r="D243" s="5" t="s">
        <v>572</v>
      </c>
      <c r="E243" s="5" t="s">
        <v>1854</v>
      </c>
      <c r="F243" s="5" t="s">
        <v>87</v>
      </c>
      <c r="G243" s="5" t="s">
        <v>52</v>
      </c>
      <c r="H243" s="5" t="s">
        <v>1815</v>
      </c>
      <c r="I243" s="5">
        <v>202501268</v>
      </c>
      <c r="J243" s="5"/>
      <c r="K243" s="6">
        <v>45910</v>
      </c>
      <c r="L243" s="6">
        <v>45913</v>
      </c>
      <c r="M243" s="5" t="s">
        <v>53</v>
      </c>
      <c r="N243" s="5" t="s">
        <v>54</v>
      </c>
      <c r="O243" s="5" t="s">
        <v>41</v>
      </c>
      <c r="P243" s="30">
        <f t="shared" si="12"/>
        <v>3</v>
      </c>
      <c r="Q243" s="41">
        <v>3211.4545454545455</v>
      </c>
      <c r="R243" s="41">
        <v>6000</v>
      </c>
      <c r="S243" s="41">
        <f t="shared" si="11"/>
        <v>2788.5454545454545</v>
      </c>
    </row>
    <row r="244" spans="1:19">
      <c r="A244" s="5">
        <v>243</v>
      </c>
      <c r="B244" s="5" t="s">
        <v>1239</v>
      </c>
      <c r="C244" s="5"/>
      <c r="D244" s="5"/>
      <c r="E244" s="5"/>
      <c r="F244" s="5"/>
      <c r="G244" s="5" t="s">
        <v>52</v>
      </c>
      <c r="H244" s="5"/>
      <c r="I244" s="5"/>
      <c r="J244" s="5"/>
      <c r="K244" s="5"/>
      <c r="L244" s="5"/>
      <c r="M244" s="5"/>
      <c r="N244" s="5"/>
      <c r="O244" s="5"/>
      <c r="P244" s="5"/>
      <c r="Q244" s="41">
        <v>3211.4545454545455</v>
      </c>
      <c r="R244" s="41">
        <v>0</v>
      </c>
      <c r="S244" s="41">
        <f t="shared" si="11"/>
        <v>-3211.4545454545455</v>
      </c>
    </row>
    <row r="245" spans="1:19">
      <c r="A245" s="5">
        <v>244</v>
      </c>
      <c r="B245" s="5" t="s">
        <v>1240</v>
      </c>
      <c r="C245" s="5"/>
      <c r="D245" s="5"/>
      <c r="E245" s="5"/>
      <c r="F245" s="5"/>
      <c r="G245" s="5" t="s">
        <v>52</v>
      </c>
      <c r="H245" s="5"/>
      <c r="I245" s="5"/>
      <c r="J245" s="5"/>
      <c r="K245" s="5"/>
      <c r="L245" s="5"/>
      <c r="M245" s="5"/>
      <c r="N245" s="5"/>
      <c r="O245" s="5"/>
      <c r="P245" s="5"/>
      <c r="Q245" s="41">
        <v>3211.4545454545455</v>
      </c>
      <c r="R245" s="41">
        <v>0</v>
      </c>
      <c r="S245" s="41">
        <f t="shared" si="11"/>
        <v>-3211.4545454545455</v>
      </c>
    </row>
    <row r="246" spans="1:19">
      <c r="A246" s="5">
        <v>245</v>
      </c>
      <c r="B246" s="22">
        <v>2509093062</v>
      </c>
      <c r="C246" s="22" t="s">
        <v>1831</v>
      </c>
      <c r="D246" s="22" t="s">
        <v>97</v>
      </c>
      <c r="E246" s="22" t="s">
        <v>98</v>
      </c>
      <c r="F246" s="22" t="s">
        <v>71</v>
      </c>
      <c r="G246" s="22" t="s">
        <v>75</v>
      </c>
      <c r="H246" s="22" t="s">
        <v>1855</v>
      </c>
      <c r="I246" s="22" t="s">
        <v>1856</v>
      </c>
      <c r="J246" s="22"/>
      <c r="K246" s="23">
        <v>45909</v>
      </c>
      <c r="L246" s="23">
        <v>45916</v>
      </c>
      <c r="M246" s="22" t="s">
        <v>53</v>
      </c>
      <c r="N246" s="22" t="s">
        <v>54</v>
      </c>
      <c r="O246" s="22" t="s">
        <v>41</v>
      </c>
      <c r="P246" s="34">
        <f t="shared" ref="P246:P267" si="13">L246-K246</f>
        <v>7</v>
      </c>
      <c r="Q246" s="24">
        <v>3911.818181818182</v>
      </c>
      <c r="R246" s="24">
        <v>0</v>
      </c>
      <c r="S246" s="24">
        <f t="shared" si="11"/>
        <v>-3911.818181818182</v>
      </c>
    </row>
    <row r="247" spans="1:19">
      <c r="A247" s="5">
        <v>246</v>
      </c>
      <c r="B247" s="17">
        <v>2509103126</v>
      </c>
      <c r="C247" s="17" t="s">
        <v>1843</v>
      </c>
      <c r="D247" s="17" t="s">
        <v>215</v>
      </c>
      <c r="E247" s="17" t="s">
        <v>216</v>
      </c>
      <c r="F247" s="17" t="s">
        <v>109</v>
      </c>
      <c r="G247" s="17" t="s">
        <v>52</v>
      </c>
      <c r="H247" s="17" t="s">
        <v>1855</v>
      </c>
      <c r="I247" s="17" t="s">
        <v>1857</v>
      </c>
      <c r="J247" s="17"/>
      <c r="K247" s="18">
        <v>45910</v>
      </c>
      <c r="L247" s="18">
        <v>45916</v>
      </c>
      <c r="M247" s="17" t="s">
        <v>53</v>
      </c>
      <c r="N247" s="17" t="s">
        <v>480</v>
      </c>
      <c r="O247" s="17" t="s">
        <v>1107</v>
      </c>
      <c r="P247" s="31">
        <f t="shared" si="13"/>
        <v>6</v>
      </c>
      <c r="Q247" s="19">
        <v>3911.818181818182</v>
      </c>
      <c r="R247" s="19">
        <v>0</v>
      </c>
      <c r="S247" s="19">
        <f t="shared" si="11"/>
        <v>-3911.818181818182</v>
      </c>
    </row>
    <row r="248" spans="1:19">
      <c r="A248" s="5">
        <v>247</v>
      </c>
      <c r="B248" s="5">
        <v>2509110183</v>
      </c>
      <c r="C248" s="5" t="s">
        <v>1858</v>
      </c>
      <c r="D248" s="5" t="s">
        <v>40</v>
      </c>
      <c r="E248" s="5" t="s">
        <v>41</v>
      </c>
      <c r="F248" s="5" t="s">
        <v>42</v>
      </c>
      <c r="G248" s="5" t="s">
        <v>43</v>
      </c>
      <c r="H248" s="5" t="s">
        <v>1855</v>
      </c>
      <c r="I248" s="5">
        <v>202501269</v>
      </c>
      <c r="J248" s="5"/>
      <c r="K248" s="6">
        <v>45911</v>
      </c>
      <c r="L248" s="6">
        <v>45916</v>
      </c>
      <c r="M248" s="5" t="s">
        <v>53</v>
      </c>
      <c r="N248" s="5" t="s">
        <v>54</v>
      </c>
      <c r="O248" s="5" t="s">
        <v>41</v>
      </c>
      <c r="P248" s="30">
        <f t="shared" si="13"/>
        <v>5</v>
      </c>
      <c r="Q248" s="41">
        <v>3911.818181818182</v>
      </c>
      <c r="R248" s="41">
        <v>14500</v>
      </c>
      <c r="S248" s="41">
        <f t="shared" si="11"/>
        <v>10588.181818181818</v>
      </c>
    </row>
    <row r="249" spans="1:19">
      <c r="A249" s="5">
        <v>248</v>
      </c>
      <c r="B249" s="5">
        <v>2509110183</v>
      </c>
      <c r="C249" s="5" t="s">
        <v>1858</v>
      </c>
      <c r="D249" s="5" t="s">
        <v>40</v>
      </c>
      <c r="E249" s="5" t="s">
        <v>41</v>
      </c>
      <c r="F249" s="5" t="s">
        <v>42</v>
      </c>
      <c r="G249" s="5" t="s">
        <v>43</v>
      </c>
      <c r="H249" s="5" t="s">
        <v>1855</v>
      </c>
      <c r="I249" s="5">
        <v>202501270</v>
      </c>
      <c r="J249" s="5"/>
      <c r="K249" s="6">
        <v>45911</v>
      </c>
      <c r="L249" s="6">
        <v>45916</v>
      </c>
      <c r="M249" s="5" t="s">
        <v>53</v>
      </c>
      <c r="N249" s="5" t="s">
        <v>54</v>
      </c>
      <c r="O249" s="5" t="s">
        <v>41</v>
      </c>
      <c r="P249" s="30">
        <f t="shared" si="13"/>
        <v>5</v>
      </c>
      <c r="Q249" s="41">
        <v>3911.818181818182</v>
      </c>
      <c r="R249" s="41">
        <v>0</v>
      </c>
      <c r="S249" s="41">
        <f t="shared" si="11"/>
        <v>-3911.818181818182</v>
      </c>
    </row>
    <row r="250" spans="1:19">
      <c r="A250" s="5">
        <v>249</v>
      </c>
      <c r="B250" s="5">
        <v>2509113013</v>
      </c>
      <c r="C250" s="5" t="s">
        <v>1859</v>
      </c>
      <c r="D250" s="5" t="s">
        <v>77</v>
      </c>
      <c r="E250" s="5" t="s">
        <v>78</v>
      </c>
      <c r="F250" s="5" t="s">
        <v>79</v>
      </c>
      <c r="G250" s="5" t="s">
        <v>43</v>
      </c>
      <c r="H250" s="5" t="s">
        <v>1855</v>
      </c>
      <c r="I250" s="5">
        <v>202501271</v>
      </c>
      <c r="J250" s="5"/>
      <c r="K250" s="6">
        <v>45911</v>
      </c>
      <c r="L250" s="6">
        <v>45916</v>
      </c>
      <c r="M250" s="5" t="s">
        <v>53</v>
      </c>
      <c r="N250" s="5" t="s">
        <v>54</v>
      </c>
      <c r="O250" s="5" t="s">
        <v>41</v>
      </c>
      <c r="P250" s="30">
        <f t="shared" si="13"/>
        <v>5</v>
      </c>
      <c r="Q250" s="41">
        <v>3911.818181818182</v>
      </c>
      <c r="R250" s="41">
        <v>8500</v>
      </c>
      <c r="S250" s="41">
        <f t="shared" si="11"/>
        <v>4588.181818181818</v>
      </c>
    </row>
    <row r="251" spans="1:19">
      <c r="A251" s="5">
        <v>250</v>
      </c>
      <c r="B251" s="5">
        <v>2509113015</v>
      </c>
      <c r="C251" s="5" t="s">
        <v>1860</v>
      </c>
      <c r="D251" s="5" t="s">
        <v>77</v>
      </c>
      <c r="E251" s="5" t="s">
        <v>78</v>
      </c>
      <c r="F251" s="5" t="s">
        <v>79</v>
      </c>
      <c r="G251" s="5" t="s">
        <v>52</v>
      </c>
      <c r="H251" s="5" t="s">
        <v>1855</v>
      </c>
      <c r="I251" s="5">
        <v>202501272</v>
      </c>
      <c r="J251" s="5"/>
      <c r="K251" s="6">
        <v>45911</v>
      </c>
      <c r="L251" s="6">
        <v>45916</v>
      </c>
      <c r="M251" s="5" t="s">
        <v>53</v>
      </c>
      <c r="N251" s="5" t="s">
        <v>54</v>
      </c>
      <c r="O251" s="5" t="s">
        <v>41</v>
      </c>
      <c r="P251" s="30">
        <f t="shared" si="13"/>
        <v>5</v>
      </c>
      <c r="Q251" s="41">
        <v>3911.818181818182</v>
      </c>
      <c r="R251" s="41">
        <v>5500</v>
      </c>
      <c r="S251" s="41">
        <f t="shared" si="11"/>
        <v>1588.181818181818</v>
      </c>
    </row>
    <row r="252" spans="1:19">
      <c r="A252" s="5">
        <v>251</v>
      </c>
      <c r="B252" s="5">
        <v>2509113018</v>
      </c>
      <c r="C252" s="5" t="s">
        <v>1861</v>
      </c>
      <c r="D252" s="5" t="s">
        <v>309</v>
      </c>
      <c r="E252" s="5" t="s">
        <v>310</v>
      </c>
      <c r="F252" s="5" t="s">
        <v>51</v>
      </c>
      <c r="G252" s="5" t="s">
        <v>52</v>
      </c>
      <c r="H252" s="5" t="s">
        <v>1855</v>
      </c>
      <c r="I252" s="5">
        <v>202501273</v>
      </c>
      <c r="J252" s="5"/>
      <c r="K252" s="6">
        <v>45911</v>
      </c>
      <c r="L252" s="6">
        <v>45916</v>
      </c>
      <c r="M252" s="5" t="s">
        <v>53</v>
      </c>
      <c r="N252" s="5" t="s">
        <v>54</v>
      </c>
      <c r="O252" s="5" t="s">
        <v>41</v>
      </c>
      <c r="P252" s="30">
        <f t="shared" si="13"/>
        <v>5</v>
      </c>
      <c r="Q252" s="41">
        <v>3911.818181818182</v>
      </c>
      <c r="R252" s="41">
        <v>5500</v>
      </c>
      <c r="S252" s="41">
        <f t="shared" si="11"/>
        <v>1588.181818181818</v>
      </c>
    </row>
    <row r="253" spans="1:19">
      <c r="A253" s="5">
        <v>252</v>
      </c>
      <c r="B253" s="5">
        <v>2509113020</v>
      </c>
      <c r="C253" s="5" t="s">
        <v>1862</v>
      </c>
      <c r="D253" s="5" t="s">
        <v>564</v>
      </c>
      <c r="E253" s="5" t="s">
        <v>1443</v>
      </c>
      <c r="F253" s="5" t="s">
        <v>71</v>
      </c>
      <c r="G253" s="5" t="s">
        <v>52</v>
      </c>
      <c r="H253" s="5" t="s">
        <v>1855</v>
      </c>
      <c r="I253" s="5">
        <v>202501274</v>
      </c>
      <c r="J253" s="5"/>
      <c r="K253" s="6">
        <v>45911</v>
      </c>
      <c r="L253" s="6">
        <v>45916</v>
      </c>
      <c r="M253" s="5" t="s">
        <v>53</v>
      </c>
      <c r="N253" s="5" t="s">
        <v>54</v>
      </c>
      <c r="O253" s="5" t="s">
        <v>41</v>
      </c>
      <c r="P253" s="30">
        <f t="shared" si="13"/>
        <v>5</v>
      </c>
      <c r="Q253" s="41">
        <v>3911.818181818182</v>
      </c>
      <c r="R253" s="41">
        <v>8500</v>
      </c>
      <c r="S253" s="41">
        <f t="shared" si="11"/>
        <v>4588.181818181818</v>
      </c>
    </row>
    <row r="254" spans="1:19">
      <c r="A254" s="5">
        <v>253</v>
      </c>
      <c r="B254" s="5">
        <v>2509113021</v>
      </c>
      <c r="C254" s="5" t="s">
        <v>1863</v>
      </c>
      <c r="D254" s="5" t="s">
        <v>564</v>
      </c>
      <c r="E254" s="5" t="s">
        <v>1443</v>
      </c>
      <c r="F254" s="5" t="s">
        <v>71</v>
      </c>
      <c r="G254" s="5" t="s">
        <v>52</v>
      </c>
      <c r="H254" s="5" t="s">
        <v>1855</v>
      </c>
      <c r="I254" s="5">
        <v>202501275</v>
      </c>
      <c r="J254" s="5"/>
      <c r="K254" s="6">
        <v>45911</v>
      </c>
      <c r="L254" s="6">
        <v>45916</v>
      </c>
      <c r="M254" s="5" t="s">
        <v>53</v>
      </c>
      <c r="N254" s="5" t="s">
        <v>54</v>
      </c>
      <c r="O254" s="5" t="s">
        <v>41</v>
      </c>
      <c r="P254" s="30">
        <f t="shared" si="13"/>
        <v>5</v>
      </c>
      <c r="Q254" s="41">
        <v>3911.818181818182</v>
      </c>
      <c r="R254" s="41">
        <v>8500</v>
      </c>
      <c r="S254" s="41">
        <f t="shared" si="11"/>
        <v>4588.181818181818</v>
      </c>
    </row>
    <row r="255" spans="1:19">
      <c r="A255" s="5">
        <v>254</v>
      </c>
      <c r="B255" s="5">
        <v>2509113022</v>
      </c>
      <c r="C255" s="5" t="s">
        <v>1864</v>
      </c>
      <c r="D255" s="5" t="s">
        <v>97</v>
      </c>
      <c r="E255" s="5" t="s">
        <v>1746</v>
      </c>
      <c r="F255" s="5" t="s">
        <v>71</v>
      </c>
      <c r="G255" s="5" t="s">
        <v>75</v>
      </c>
      <c r="H255" s="5" t="s">
        <v>1855</v>
      </c>
      <c r="I255" s="5">
        <v>202501276</v>
      </c>
      <c r="J255" s="5"/>
      <c r="K255" s="6">
        <v>45911</v>
      </c>
      <c r="L255" s="6">
        <v>45916</v>
      </c>
      <c r="M255" s="5" t="s">
        <v>53</v>
      </c>
      <c r="N255" s="5" t="s">
        <v>54</v>
      </c>
      <c r="O255" s="5" t="s">
        <v>41</v>
      </c>
      <c r="P255" s="30">
        <f t="shared" si="13"/>
        <v>5</v>
      </c>
      <c r="Q255" s="41">
        <v>3911.818181818182</v>
      </c>
      <c r="R255" s="41">
        <v>4900</v>
      </c>
      <c r="S255" s="41">
        <f t="shared" si="11"/>
        <v>988.18181818181802</v>
      </c>
    </row>
    <row r="256" spans="1:19">
      <c r="A256" s="5">
        <v>255</v>
      </c>
      <c r="B256" s="5">
        <v>2509113023</v>
      </c>
      <c r="C256" s="5" t="s">
        <v>1865</v>
      </c>
      <c r="D256" s="5" t="s">
        <v>564</v>
      </c>
      <c r="E256" s="5" t="s">
        <v>771</v>
      </c>
      <c r="F256" s="5" t="s">
        <v>71</v>
      </c>
      <c r="G256" s="5" t="s">
        <v>75</v>
      </c>
      <c r="H256" s="5" t="s">
        <v>1855</v>
      </c>
      <c r="I256" s="5">
        <v>202501277</v>
      </c>
      <c r="J256" s="5"/>
      <c r="K256" s="6">
        <v>45911</v>
      </c>
      <c r="L256" s="6">
        <v>45916</v>
      </c>
      <c r="M256" s="5" t="s">
        <v>53</v>
      </c>
      <c r="N256" s="5" t="s">
        <v>54</v>
      </c>
      <c r="O256" s="5" t="s">
        <v>41</v>
      </c>
      <c r="P256" s="30">
        <f t="shared" si="13"/>
        <v>5</v>
      </c>
      <c r="Q256" s="41">
        <v>3911.818181818182</v>
      </c>
      <c r="R256" s="41">
        <v>6500</v>
      </c>
      <c r="S256" s="41">
        <f t="shared" si="11"/>
        <v>2588.181818181818</v>
      </c>
    </row>
    <row r="257" spans="1:19">
      <c r="A257" s="5">
        <v>256</v>
      </c>
      <c r="B257" s="5">
        <v>2509111777</v>
      </c>
      <c r="C257" s="5" t="s">
        <v>1866</v>
      </c>
      <c r="D257" s="5" t="s">
        <v>40</v>
      </c>
      <c r="E257" s="5" t="s">
        <v>41</v>
      </c>
      <c r="F257" s="5" t="s">
        <v>42</v>
      </c>
      <c r="G257" s="5" t="s">
        <v>43</v>
      </c>
      <c r="H257" s="5" t="s">
        <v>1855</v>
      </c>
      <c r="I257" s="5">
        <v>202501278</v>
      </c>
      <c r="J257" s="5"/>
      <c r="K257" s="6">
        <v>45911</v>
      </c>
      <c r="L257" s="6">
        <v>45916</v>
      </c>
      <c r="M257" s="5" t="s">
        <v>53</v>
      </c>
      <c r="N257" s="5" t="s">
        <v>54</v>
      </c>
      <c r="O257" s="5" t="s">
        <v>41</v>
      </c>
      <c r="P257" s="30">
        <f t="shared" si="13"/>
        <v>5</v>
      </c>
      <c r="Q257" s="41">
        <v>3911.818181818182</v>
      </c>
      <c r="R257" s="41">
        <v>14500</v>
      </c>
      <c r="S257" s="41">
        <f t="shared" si="11"/>
        <v>10588.181818181818</v>
      </c>
    </row>
    <row r="258" spans="1:19">
      <c r="A258" s="5">
        <v>257</v>
      </c>
      <c r="B258" s="5">
        <v>2509111777</v>
      </c>
      <c r="C258" s="5" t="s">
        <v>1866</v>
      </c>
      <c r="D258" s="5" t="s">
        <v>40</v>
      </c>
      <c r="E258" s="5" t="s">
        <v>41</v>
      </c>
      <c r="F258" s="5" t="s">
        <v>42</v>
      </c>
      <c r="G258" s="5" t="s">
        <v>43</v>
      </c>
      <c r="H258" s="5" t="s">
        <v>1855</v>
      </c>
      <c r="I258" s="5">
        <v>202501279</v>
      </c>
      <c r="J258" s="5"/>
      <c r="K258" s="6">
        <v>45911</v>
      </c>
      <c r="L258" s="6">
        <v>45916</v>
      </c>
      <c r="M258" s="5" t="s">
        <v>53</v>
      </c>
      <c r="N258" s="5" t="s">
        <v>54</v>
      </c>
      <c r="O258" s="5" t="s">
        <v>41</v>
      </c>
      <c r="P258" s="30">
        <f t="shared" si="13"/>
        <v>5</v>
      </c>
      <c r="Q258" s="41">
        <v>3911.818181818182</v>
      </c>
      <c r="R258" s="41">
        <v>0</v>
      </c>
      <c r="S258" s="41">
        <f t="shared" ref="S258:S321" si="14">R258-Q258</f>
        <v>-3911.818181818182</v>
      </c>
    </row>
    <row r="259" spans="1:19">
      <c r="A259" s="5">
        <v>258</v>
      </c>
      <c r="B259" s="5">
        <v>2509113024</v>
      </c>
      <c r="C259" s="5" t="s">
        <v>1867</v>
      </c>
      <c r="D259" s="5" t="s">
        <v>440</v>
      </c>
      <c r="E259" s="5" t="s">
        <v>441</v>
      </c>
      <c r="F259" s="5" t="s">
        <v>169</v>
      </c>
      <c r="G259" s="5" t="s">
        <v>52</v>
      </c>
      <c r="H259" s="5" t="s">
        <v>1855</v>
      </c>
      <c r="I259" s="5">
        <v>202501280</v>
      </c>
      <c r="J259" s="5"/>
      <c r="K259" s="6">
        <v>45911</v>
      </c>
      <c r="L259" s="6">
        <v>45916</v>
      </c>
      <c r="M259" s="5" t="s">
        <v>53</v>
      </c>
      <c r="N259" s="5" t="s">
        <v>54</v>
      </c>
      <c r="O259" s="5" t="s">
        <v>41</v>
      </c>
      <c r="P259" s="30">
        <f t="shared" si="13"/>
        <v>5</v>
      </c>
      <c r="Q259" s="41">
        <v>3911.818181818182</v>
      </c>
      <c r="R259" s="41">
        <v>5500</v>
      </c>
      <c r="S259" s="41">
        <f t="shared" si="14"/>
        <v>1588.181818181818</v>
      </c>
    </row>
    <row r="260" spans="1:19">
      <c r="A260" s="5">
        <v>259</v>
      </c>
      <c r="B260" s="5">
        <v>2509121657</v>
      </c>
      <c r="C260" s="5" t="s">
        <v>1868</v>
      </c>
      <c r="D260" s="5" t="s">
        <v>444</v>
      </c>
      <c r="E260" s="5" t="s">
        <v>1835</v>
      </c>
      <c r="F260" s="5" t="s">
        <v>109</v>
      </c>
      <c r="G260" s="5" t="s">
        <v>52</v>
      </c>
      <c r="H260" s="5" t="s">
        <v>1855</v>
      </c>
      <c r="I260" s="5">
        <v>202501281</v>
      </c>
      <c r="J260" s="5"/>
      <c r="K260" s="6">
        <v>45912</v>
      </c>
      <c r="L260" s="6">
        <v>45916</v>
      </c>
      <c r="M260" s="5" t="s">
        <v>53</v>
      </c>
      <c r="N260" s="5" t="s">
        <v>54</v>
      </c>
      <c r="O260" s="5" t="s">
        <v>41</v>
      </c>
      <c r="P260" s="30">
        <f t="shared" si="13"/>
        <v>4</v>
      </c>
      <c r="Q260" s="41">
        <v>3911.818181818182</v>
      </c>
      <c r="R260" s="41">
        <v>5950</v>
      </c>
      <c r="S260" s="41">
        <f t="shared" si="14"/>
        <v>2038.181818181818</v>
      </c>
    </row>
    <row r="261" spans="1:19">
      <c r="A261" s="5">
        <v>260</v>
      </c>
      <c r="B261" s="5">
        <v>2509121659</v>
      </c>
      <c r="C261" s="5" t="s">
        <v>1869</v>
      </c>
      <c r="D261" s="5" t="s">
        <v>444</v>
      </c>
      <c r="E261" s="5" t="s">
        <v>1835</v>
      </c>
      <c r="F261" s="5" t="s">
        <v>109</v>
      </c>
      <c r="G261" s="5" t="s">
        <v>52</v>
      </c>
      <c r="H261" s="5" t="s">
        <v>1855</v>
      </c>
      <c r="I261" s="5">
        <v>202501282</v>
      </c>
      <c r="J261" s="5"/>
      <c r="K261" s="6">
        <v>45912</v>
      </c>
      <c r="L261" s="6">
        <v>45916</v>
      </c>
      <c r="M261" s="5" t="s">
        <v>53</v>
      </c>
      <c r="N261" s="5" t="s">
        <v>54</v>
      </c>
      <c r="O261" s="5" t="s">
        <v>41</v>
      </c>
      <c r="P261" s="30">
        <f t="shared" si="13"/>
        <v>4</v>
      </c>
      <c r="Q261" s="41">
        <v>3911.818181818182</v>
      </c>
      <c r="R261" s="41">
        <v>5950</v>
      </c>
      <c r="S261" s="41">
        <f t="shared" si="14"/>
        <v>2038.181818181818</v>
      </c>
    </row>
    <row r="262" spans="1:19">
      <c r="A262" s="5">
        <v>261</v>
      </c>
      <c r="B262" s="5">
        <v>2509121663</v>
      </c>
      <c r="C262" s="5" t="s">
        <v>1870</v>
      </c>
      <c r="D262" s="5" t="s">
        <v>1662</v>
      </c>
      <c r="E262" s="5" t="s">
        <v>1318</v>
      </c>
      <c r="F262" s="5" t="s">
        <v>58</v>
      </c>
      <c r="G262" s="5" t="s">
        <v>52</v>
      </c>
      <c r="H262" s="5" t="s">
        <v>1855</v>
      </c>
      <c r="I262" s="5">
        <v>202501283</v>
      </c>
      <c r="J262" s="5"/>
      <c r="K262" s="6">
        <v>45912</v>
      </c>
      <c r="L262" s="6">
        <v>45916</v>
      </c>
      <c r="M262" s="5" t="s">
        <v>53</v>
      </c>
      <c r="N262" s="5" t="s">
        <v>54</v>
      </c>
      <c r="O262" s="5" t="s">
        <v>41</v>
      </c>
      <c r="P262" s="30">
        <f t="shared" si="13"/>
        <v>4</v>
      </c>
      <c r="Q262" s="41">
        <v>3911.818181818182</v>
      </c>
      <c r="R262" s="41">
        <v>5500</v>
      </c>
      <c r="S262" s="41">
        <f t="shared" si="14"/>
        <v>1588.181818181818</v>
      </c>
    </row>
    <row r="263" spans="1:19">
      <c r="A263" s="5">
        <v>262</v>
      </c>
      <c r="B263" s="5">
        <v>2509121665</v>
      </c>
      <c r="C263" s="5" t="s">
        <v>1871</v>
      </c>
      <c r="D263" s="5" t="s">
        <v>564</v>
      </c>
      <c r="E263" s="5" t="s">
        <v>1872</v>
      </c>
      <c r="F263" s="5" t="s">
        <v>71</v>
      </c>
      <c r="G263" s="5" t="s">
        <v>75</v>
      </c>
      <c r="H263" s="5" t="s">
        <v>1855</v>
      </c>
      <c r="I263" s="5">
        <v>202501284</v>
      </c>
      <c r="J263" s="5"/>
      <c r="K263" s="6">
        <v>45912</v>
      </c>
      <c r="L263" s="6">
        <v>45916</v>
      </c>
      <c r="M263" s="5" t="s">
        <v>53</v>
      </c>
      <c r="N263" s="5" t="s">
        <v>54</v>
      </c>
      <c r="O263" s="5" t="s">
        <v>41</v>
      </c>
      <c r="P263" s="30">
        <f t="shared" si="13"/>
        <v>4</v>
      </c>
      <c r="Q263" s="41">
        <v>3911.818181818182</v>
      </c>
      <c r="R263" s="41">
        <v>6500</v>
      </c>
      <c r="S263" s="41">
        <f t="shared" si="14"/>
        <v>2588.181818181818</v>
      </c>
    </row>
    <row r="264" spans="1:19">
      <c r="A264" s="5">
        <v>263</v>
      </c>
      <c r="B264" s="5">
        <v>2509121668</v>
      </c>
      <c r="C264" s="5" t="s">
        <v>1873</v>
      </c>
      <c r="D264" s="5" t="s">
        <v>77</v>
      </c>
      <c r="E264" s="5" t="s">
        <v>1874</v>
      </c>
      <c r="F264" s="5" t="s">
        <v>79</v>
      </c>
      <c r="G264" s="5" t="s">
        <v>43</v>
      </c>
      <c r="H264" s="5" t="s">
        <v>1855</v>
      </c>
      <c r="I264" s="5">
        <v>202501285</v>
      </c>
      <c r="J264" s="5"/>
      <c r="K264" s="6">
        <v>45912</v>
      </c>
      <c r="L264" s="6">
        <v>45916</v>
      </c>
      <c r="M264" s="5" t="s">
        <v>53</v>
      </c>
      <c r="N264" s="5" t="s">
        <v>54</v>
      </c>
      <c r="O264" s="5" t="s">
        <v>41</v>
      </c>
      <c r="P264" s="30">
        <f t="shared" si="13"/>
        <v>4</v>
      </c>
      <c r="Q264" s="41">
        <v>3911.818181818182</v>
      </c>
      <c r="R264" s="41">
        <v>8500</v>
      </c>
      <c r="S264" s="41">
        <f t="shared" si="14"/>
        <v>4588.181818181818</v>
      </c>
    </row>
    <row r="265" spans="1:19">
      <c r="A265" s="5">
        <v>264</v>
      </c>
      <c r="B265" s="5">
        <v>2509121672</v>
      </c>
      <c r="C265" s="5" t="s">
        <v>1875</v>
      </c>
      <c r="D265" s="5" t="s">
        <v>405</v>
      </c>
      <c r="E265" s="5" t="s">
        <v>526</v>
      </c>
      <c r="F265" s="5" t="s">
        <v>202</v>
      </c>
      <c r="G265" s="5" t="s">
        <v>52</v>
      </c>
      <c r="H265" s="5" t="s">
        <v>1855</v>
      </c>
      <c r="I265" s="5">
        <v>202501286</v>
      </c>
      <c r="J265" s="5"/>
      <c r="K265" s="6">
        <v>45912</v>
      </c>
      <c r="L265" s="6">
        <v>45916</v>
      </c>
      <c r="M265" s="5" t="s">
        <v>53</v>
      </c>
      <c r="N265" s="5" t="s">
        <v>54</v>
      </c>
      <c r="O265" s="5" t="s">
        <v>41</v>
      </c>
      <c r="P265" s="30">
        <f t="shared" si="13"/>
        <v>4</v>
      </c>
      <c r="Q265" s="41">
        <v>3911.818181818182</v>
      </c>
      <c r="R265" s="41">
        <v>6450</v>
      </c>
      <c r="S265" s="41">
        <f t="shared" si="14"/>
        <v>2538.181818181818</v>
      </c>
    </row>
    <row r="266" spans="1:19">
      <c r="A266" s="5">
        <v>265</v>
      </c>
      <c r="B266" s="5">
        <v>2509123002</v>
      </c>
      <c r="C266" s="5" t="s">
        <v>1876</v>
      </c>
      <c r="D266" s="5" t="s">
        <v>1282</v>
      </c>
      <c r="E266" s="5" t="s">
        <v>1877</v>
      </c>
      <c r="F266" s="5" t="s">
        <v>62</v>
      </c>
      <c r="G266" s="5" t="s">
        <v>52</v>
      </c>
      <c r="H266" s="5" t="s">
        <v>1855</v>
      </c>
      <c r="I266" s="5">
        <v>202501287</v>
      </c>
      <c r="J266" s="5"/>
      <c r="K266" s="6">
        <v>45912</v>
      </c>
      <c r="L266" s="6">
        <v>45916</v>
      </c>
      <c r="M266" s="5" t="s">
        <v>53</v>
      </c>
      <c r="N266" s="5" t="s">
        <v>54</v>
      </c>
      <c r="O266" s="5" t="s">
        <v>41</v>
      </c>
      <c r="P266" s="30">
        <f t="shared" si="13"/>
        <v>4</v>
      </c>
      <c r="Q266" s="41">
        <v>3911.818181818182</v>
      </c>
      <c r="R266" s="41">
        <v>5500</v>
      </c>
      <c r="S266" s="41">
        <f t="shared" si="14"/>
        <v>1588.181818181818</v>
      </c>
    </row>
    <row r="267" spans="1:19">
      <c r="A267" s="5">
        <v>266</v>
      </c>
      <c r="B267" s="5">
        <v>2509123004</v>
      </c>
      <c r="C267" s="5" t="s">
        <v>1878</v>
      </c>
      <c r="D267" s="5" t="s">
        <v>376</v>
      </c>
      <c r="E267" s="5" t="s">
        <v>1879</v>
      </c>
      <c r="F267" s="5" t="s">
        <v>71</v>
      </c>
      <c r="G267" s="5" t="s">
        <v>52</v>
      </c>
      <c r="H267" s="5" t="s">
        <v>1855</v>
      </c>
      <c r="I267" s="5">
        <v>202501288</v>
      </c>
      <c r="J267" s="5"/>
      <c r="K267" s="6">
        <v>45912</v>
      </c>
      <c r="L267" s="6">
        <v>45916</v>
      </c>
      <c r="M267" s="5" t="s">
        <v>53</v>
      </c>
      <c r="N267" s="5" t="s">
        <v>54</v>
      </c>
      <c r="O267" s="5" t="s">
        <v>41</v>
      </c>
      <c r="P267" s="30">
        <f t="shared" si="13"/>
        <v>4</v>
      </c>
      <c r="Q267" s="41">
        <v>3911.818181818182</v>
      </c>
      <c r="R267" s="41">
        <v>5950</v>
      </c>
      <c r="S267" s="41">
        <f t="shared" si="14"/>
        <v>2038.181818181818</v>
      </c>
    </row>
    <row r="268" spans="1:19">
      <c r="A268" s="5">
        <v>267</v>
      </c>
      <c r="B268" s="5" t="s">
        <v>1239</v>
      </c>
      <c r="C268" s="5"/>
      <c r="D268" s="5"/>
      <c r="E268" s="5"/>
      <c r="F268" s="5"/>
      <c r="G268" s="5" t="s">
        <v>52</v>
      </c>
      <c r="H268" s="5"/>
      <c r="I268" s="5"/>
      <c r="J268" s="5"/>
      <c r="K268" s="5"/>
      <c r="L268" s="5"/>
      <c r="M268" s="5"/>
      <c r="N268" s="5"/>
      <c r="O268" s="5"/>
      <c r="P268" s="5"/>
      <c r="Q268" s="41">
        <v>3911.818181818182</v>
      </c>
      <c r="R268" s="41">
        <v>0</v>
      </c>
      <c r="S268" s="41">
        <f t="shared" si="14"/>
        <v>-3911.818181818182</v>
      </c>
    </row>
    <row r="269" spans="1:19">
      <c r="A269" s="5">
        <v>268</v>
      </c>
      <c r="B269" s="5" t="s">
        <v>1240</v>
      </c>
      <c r="C269" s="5"/>
      <c r="D269" s="5"/>
      <c r="E269" s="5"/>
      <c r="F269" s="5"/>
      <c r="G269" s="5" t="s">
        <v>52</v>
      </c>
      <c r="H269" s="5"/>
      <c r="I269" s="5"/>
      <c r="J269" s="5"/>
      <c r="K269" s="5"/>
      <c r="L269" s="5"/>
      <c r="M269" s="5"/>
      <c r="N269" s="5"/>
      <c r="O269" s="5"/>
      <c r="P269" s="5"/>
      <c r="Q269" s="41">
        <v>3911.818181818182</v>
      </c>
      <c r="R269" s="41">
        <v>0</v>
      </c>
      <c r="S269" s="41">
        <f t="shared" si="14"/>
        <v>-3911.818181818182</v>
      </c>
    </row>
    <row r="270" spans="1:19">
      <c r="A270" s="5">
        <v>269</v>
      </c>
      <c r="B270" s="5">
        <v>2509123022</v>
      </c>
      <c r="C270" s="5" t="s">
        <v>1880</v>
      </c>
      <c r="D270" s="5" t="s">
        <v>581</v>
      </c>
      <c r="E270" s="5" t="s">
        <v>1881</v>
      </c>
      <c r="F270" s="5" t="s">
        <v>202</v>
      </c>
      <c r="G270" s="5" t="s">
        <v>75</v>
      </c>
      <c r="H270" s="5" t="s">
        <v>1882</v>
      </c>
      <c r="I270" s="5">
        <v>202501289</v>
      </c>
      <c r="J270" s="5"/>
      <c r="K270" s="6">
        <v>45912</v>
      </c>
      <c r="L270" s="6">
        <v>45918</v>
      </c>
      <c r="M270" s="5" t="s">
        <v>53</v>
      </c>
      <c r="N270" s="5" t="s">
        <v>54</v>
      </c>
      <c r="O270" s="5" t="s">
        <v>41</v>
      </c>
      <c r="P270" s="30">
        <f t="shared" ref="P270:P291" si="15">L270-K270</f>
        <v>6</v>
      </c>
      <c r="Q270" s="41">
        <v>3911.818181818182</v>
      </c>
      <c r="R270" s="41">
        <v>5900</v>
      </c>
      <c r="S270" s="41">
        <f t="shared" si="14"/>
        <v>1988.181818181818</v>
      </c>
    </row>
    <row r="271" spans="1:19">
      <c r="A271" s="5">
        <v>270</v>
      </c>
      <c r="B271" s="5">
        <v>2509123030</v>
      </c>
      <c r="C271" s="5" t="s">
        <v>1883</v>
      </c>
      <c r="D271" s="5" t="s">
        <v>1629</v>
      </c>
      <c r="E271" s="5" t="s">
        <v>1630</v>
      </c>
      <c r="F271" s="5" t="s">
        <v>141</v>
      </c>
      <c r="G271" s="5" t="s">
        <v>52</v>
      </c>
      <c r="H271" s="5" t="s">
        <v>1882</v>
      </c>
      <c r="I271" s="5">
        <v>202501290</v>
      </c>
      <c r="J271" s="5"/>
      <c r="K271" s="6">
        <v>45912</v>
      </c>
      <c r="L271" s="6">
        <v>45918</v>
      </c>
      <c r="M271" s="5" t="s">
        <v>53</v>
      </c>
      <c r="N271" s="5" t="s">
        <v>54</v>
      </c>
      <c r="O271" s="5" t="s">
        <v>41</v>
      </c>
      <c r="P271" s="30">
        <f t="shared" si="15"/>
        <v>6</v>
      </c>
      <c r="Q271" s="41">
        <v>3911.818181818182</v>
      </c>
      <c r="R271" s="41">
        <v>5500</v>
      </c>
      <c r="S271" s="41">
        <f t="shared" si="14"/>
        <v>1588.181818181818</v>
      </c>
    </row>
    <row r="272" spans="1:19">
      <c r="A272" s="5">
        <v>271</v>
      </c>
      <c r="B272" s="5">
        <v>2509130017</v>
      </c>
      <c r="C272" s="5" t="s">
        <v>1884</v>
      </c>
      <c r="D272" s="5" t="s">
        <v>40</v>
      </c>
      <c r="E272" s="5" t="s">
        <v>41</v>
      </c>
      <c r="F272" s="5" t="s">
        <v>42</v>
      </c>
      <c r="G272" s="5" t="s">
        <v>43</v>
      </c>
      <c r="H272" s="5" t="s">
        <v>1882</v>
      </c>
      <c r="I272" s="5">
        <v>202501291</v>
      </c>
      <c r="J272" s="5"/>
      <c r="K272" s="6">
        <v>45913</v>
      </c>
      <c r="L272" s="6">
        <v>45918</v>
      </c>
      <c r="M272" s="5" t="s">
        <v>53</v>
      </c>
      <c r="N272" s="5" t="s">
        <v>54</v>
      </c>
      <c r="O272" s="5" t="s">
        <v>41</v>
      </c>
      <c r="P272" s="30">
        <f t="shared" si="15"/>
        <v>5</v>
      </c>
      <c r="Q272" s="41">
        <v>3911.818181818182</v>
      </c>
      <c r="R272" s="41">
        <v>14500</v>
      </c>
      <c r="S272" s="41">
        <f t="shared" si="14"/>
        <v>10588.181818181818</v>
      </c>
    </row>
    <row r="273" spans="1:19">
      <c r="A273" s="5">
        <v>272</v>
      </c>
      <c r="B273" s="5">
        <v>2509131154</v>
      </c>
      <c r="C273" s="5" t="s">
        <v>1885</v>
      </c>
      <c r="D273" s="5" t="s">
        <v>514</v>
      </c>
      <c r="E273" s="5" t="s">
        <v>41</v>
      </c>
      <c r="F273" s="5" t="s">
        <v>516</v>
      </c>
      <c r="G273" s="5" t="s">
        <v>43</v>
      </c>
      <c r="H273" s="5" t="s">
        <v>1882</v>
      </c>
      <c r="I273" s="5">
        <v>202501292</v>
      </c>
      <c r="J273" s="5"/>
      <c r="K273" s="6">
        <v>45913</v>
      </c>
      <c r="L273" s="6">
        <v>45918</v>
      </c>
      <c r="M273" s="5" t="s">
        <v>53</v>
      </c>
      <c r="N273" s="5" t="s">
        <v>54</v>
      </c>
      <c r="O273" s="5" t="s">
        <v>41</v>
      </c>
      <c r="P273" s="30">
        <f t="shared" si="15"/>
        <v>5</v>
      </c>
      <c r="Q273" s="41">
        <v>3911.818181818182</v>
      </c>
      <c r="R273" s="41">
        <v>13500</v>
      </c>
      <c r="S273" s="41">
        <f t="shared" si="14"/>
        <v>9588.181818181818</v>
      </c>
    </row>
    <row r="274" spans="1:19">
      <c r="A274" s="5">
        <v>273</v>
      </c>
      <c r="B274" s="5">
        <v>2509131165</v>
      </c>
      <c r="C274" s="5" t="s">
        <v>1886</v>
      </c>
      <c r="D274" s="5" t="s">
        <v>77</v>
      </c>
      <c r="E274" s="5" t="s">
        <v>1874</v>
      </c>
      <c r="F274" s="5" t="s">
        <v>79</v>
      </c>
      <c r="G274" s="5" t="s">
        <v>52</v>
      </c>
      <c r="H274" s="5" t="s">
        <v>1882</v>
      </c>
      <c r="I274" s="5">
        <v>202501293</v>
      </c>
      <c r="J274" s="5"/>
      <c r="K274" s="6">
        <v>45913</v>
      </c>
      <c r="L274" s="6">
        <v>45918</v>
      </c>
      <c r="M274" s="5" t="s">
        <v>53</v>
      </c>
      <c r="N274" s="5" t="s">
        <v>54</v>
      </c>
      <c r="O274" s="5" t="s">
        <v>41</v>
      </c>
      <c r="P274" s="30">
        <f t="shared" si="15"/>
        <v>5</v>
      </c>
      <c r="Q274" s="41">
        <v>3911.818181818182</v>
      </c>
      <c r="R274" s="41">
        <v>5500</v>
      </c>
      <c r="S274" s="41">
        <f t="shared" si="14"/>
        <v>1588.181818181818</v>
      </c>
    </row>
    <row r="275" spans="1:19">
      <c r="A275" s="5">
        <v>274</v>
      </c>
      <c r="B275" s="5">
        <v>2509131179</v>
      </c>
      <c r="C275" s="5" t="s">
        <v>1887</v>
      </c>
      <c r="D275" s="5" t="s">
        <v>810</v>
      </c>
      <c r="E275" s="5" t="s">
        <v>1888</v>
      </c>
      <c r="F275" s="5" t="s">
        <v>457</v>
      </c>
      <c r="G275" s="5" t="s">
        <v>52</v>
      </c>
      <c r="H275" s="5" t="s">
        <v>1882</v>
      </c>
      <c r="I275" s="5">
        <v>202501294</v>
      </c>
      <c r="J275" s="5"/>
      <c r="K275" s="6">
        <v>45913</v>
      </c>
      <c r="L275" s="6">
        <v>45918</v>
      </c>
      <c r="M275" s="5" t="s">
        <v>53</v>
      </c>
      <c r="N275" s="5" t="s">
        <v>54</v>
      </c>
      <c r="O275" s="5" t="s">
        <v>41</v>
      </c>
      <c r="P275" s="30">
        <f t="shared" si="15"/>
        <v>5</v>
      </c>
      <c r="Q275" s="41">
        <v>3911.818181818182</v>
      </c>
      <c r="R275" s="41">
        <v>5200</v>
      </c>
      <c r="S275" s="41">
        <f t="shared" si="14"/>
        <v>1288.181818181818</v>
      </c>
    </row>
    <row r="276" spans="1:19">
      <c r="A276" s="5">
        <v>275</v>
      </c>
      <c r="B276" s="5">
        <v>2509131185</v>
      </c>
      <c r="C276" s="5" t="s">
        <v>1889</v>
      </c>
      <c r="D276" s="5" t="s">
        <v>393</v>
      </c>
      <c r="E276" s="5" t="s">
        <v>394</v>
      </c>
      <c r="F276" s="5" t="s">
        <v>202</v>
      </c>
      <c r="G276" s="5" t="s">
        <v>43</v>
      </c>
      <c r="H276" s="5" t="s">
        <v>1882</v>
      </c>
      <c r="I276" s="5">
        <v>202501295</v>
      </c>
      <c r="J276" s="5"/>
      <c r="K276" s="6">
        <v>45913</v>
      </c>
      <c r="L276" s="6">
        <v>45918</v>
      </c>
      <c r="M276" s="5" t="s">
        <v>53</v>
      </c>
      <c r="N276" s="5" t="s">
        <v>54</v>
      </c>
      <c r="O276" s="5" t="s">
        <v>41</v>
      </c>
      <c r="P276" s="30">
        <f t="shared" si="15"/>
        <v>5</v>
      </c>
      <c r="Q276" s="41">
        <v>3911.818181818182</v>
      </c>
      <c r="R276" s="41">
        <v>13500</v>
      </c>
      <c r="S276" s="41">
        <f t="shared" si="14"/>
        <v>9588.181818181818</v>
      </c>
    </row>
    <row r="277" spans="1:19">
      <c r="A277" s="5">
        <v>276</v>
      </c>
      <c r="B277" s="5">
        <v>2509131197</v>
      </c>
      <c r="C277" s="5" t="s">
        <v>1691</v>
      </c>
      <c r="D277" s="5" t="s">
        <v>1692</v>
      </c>
      <c r="E277" s="5" t="s">
        <v>1743</v>
      </c>
      <c r="F277" s="5" t="s">
        <v>457</v>
      </c>
      <c r="G277" s="5" t="s">
        <v>43</v>
      </c>
      <c r="H277" s="5" t="s">
        <v>1882</v>
      </c>
      <c r="I277" s="5">
        <v>202501296</v>
      </c>
      <c r="J277" s="5"/>
      <c r="K277" s="6">
        <v>45913</v>
      </c>
      <c r="L277" s="6">
        <v>45918</v>
      </c>
      <c r="M277" s="5" t="s">
        <v>53</v>
      </c>
      <c r="N277" s="5" t="s">
        <v>54</v>
      </c>
      <c r="O277" s="5" t="s">
        <v>41</v>
      </c>
      <c r="P277" s="30">
        <f t="shared" si="15"/>
        <v>5</v>
      </c>
      <c r="Q277" s="41">
        <v>3911.818181818182</v>
      </c>
      <c r="R277" s="41">
        <v>12500</v>
      </c>
      <c r="S277" s="41">
        <f t="shared" si="14"/>
        <v>8588.181818181818</v>
      </c>
    </row>
    <row r="278" spans="1:19">
      <c r="A278" s="5">
        <v>277</v>
      </c>
      <c r="B278" s="5">
        <v>2509131206</v>
      </c>
      <c r="C278" s="5" t="s">
        <v>1890</v>
      </c>
      <c r="D278" s="5" t="s">
        <v>309</v>
      </c>
      <c r="E278" s="5" t="s">
        <v>310</v>
      </c>
      <c r="F278" s="5" t="s">
        <v>51</v>
      </c>
      <c r="G278" s="5" t="s">
        <v>52</v>
      </c>
      <c r="H278" s="5" t="s">
        <v>1882</v>
      </c>
      <c r="I278" s="5">
        <v>202501297</v>
      </c>
      <c r="J278" s="5"/>
      <c r="K278" s="6">
        <v>45913</v>
      </c>
      <c r="L278" s="6">
        <v>45918</v>
      </c>
      <c r="M278" s="5" t="s">
        <v>53</v>
      </c>
      <c r="N278" s="5" t="s">
        <v>54</v>
      </c>
      <c r="O278" s="5" t="s">
        <v>41</v>
      </c>
      <c r="P278" s="30">
        <f t="shared" si="15"/>
        <v>5</v>
      </c>
      <c r="Q278" s="41">
        <v>3911.818181818182</v>
      </c>
      <c r="R278" s="41">
        <v>5500</v>
      </c>
      <c r="S278" s="41">
        <f t="shared" si="14"/>
        <v>1588.181818181818</v>
      </c>
    </row>
    <row r="279" spans="1:19">
      <c r="A279" s="5">
        <v>278</v>
      </c>
      <c r="B279" s="5">
        <v>2509131215</v>
      </c>
      <c r="C279" s="5" t="s">
        <v>1891</v>
      </c>
      <c r="D279" s="5" t="s">
        <v>309</v>
      </c>
      <c r="E279" s="5" t="s">
        <v>310</v>
      </c>
      <c r="F279" s="5" t="s">
        <v>51</v>
      </c>
      <c r="G279" s="5" t="s">
        <v>52</v>
      </c>
      <c r="H279" s="5" t="s">
        <v>1882</v>
      </c>
      <c r="I279" s="5">
        <v>202501298</v>
      </c>
      <c r="J279" s="5"/>
      <c r="K279" s="6">
        <v>45913</v>
      </c>
      <c r="L279" s="6">
        <v>45918</v>
      </c>
      <c r="M279" s="5" t="s">
        <v>53</v>
      </c>
      <c r="N279" s="5" t="s">
        <v>54</v>
      </c>
      <c r="O279" s="5" t="s">
        <v>41</v>
      </c>
      <c r="P279" s="30">
        <f t="shared" si="15"/>
        <v>5</v>
      </c>
      <c r="Q279" s="41">
        <v>3911.818181818182</v>
      </c>
      <c r="R279" s="41">
        <v>5500</v>
      </c>
      <c r="S279" s="41">
        <f t="shared" si="14"/>
        <v>1588.181818181818</v>
      </c>
    </row>
    <row r="280" spans="1:19">
      <c r="A280" s="5">
        <v>279</v>
      </c>
      <c r="B280" s="5">
        <v>2509131222</v>
      </c>
      <c r="C280" s="5" t="s">
        <v>1892</v>
      </c>
      <c r="D280" s="5" t="s">
        <v>309</v>
      </c>
      <c r="E280" s="5" t="s">
        <v>310</v>
      </c>
      <c r="F280" s="5" t="s">
        <v>51</v>
      </c>
      <c r="G280" s="5" t="s">
        <v>52</v>
      </c>
      <c r="H280" s="5" t="s">
        <v>1882</v>
      </c>
      <c r="I280" s="5">
        <v>202501299</v>
      </c>
      <c r="J280" s="5"/>
      <c r="K280" s="6">
        <v>45913</v>
      </c>
      <c r="L280" s="6">
        <v>45918</v>
      </c>
      <c r="M280" s="5" t="s">
        <v>53</v>
      </c>
      <c r="N280" s="5" t="s">
        <v>54</v>
      </c>
      <c r="O280" s="5" t="s">
        <v>41</v>
      </c>
      <c r="P280" s="30">
        <f t="shared" si="15"/>
        <v>5</v>
      </c>
      <c r="Q280" s="41">
        <v>3911.818181818182</v>
      </c>
      <c r="R280" s="41">
        <v>5500</v>
      </c>
      <c r="S280" s="41">
        <f t="shared" si="14"/>
        <v>1588.181818181818</v>
      </c>
    </row>
    <row r="281" spans="1:19">
      <c r="A281" s="5">
        <v>280</v>
      </c>
      <c r="B281" s="5">
        <v>2509131227</v>
      </c>
      <c r="C281" s="5" t="s">
        <v>1893</v>
      </c>
      <c r="D281" s="5" t="s">
        <v>309</v>
      </c>
      <c r="E281" s="5" t="s">
        <v>310</v>
      </c>
      <c r="F281" s="5" t="s">
        <v>51</v>
      </c>
      <c r="G281" s="5" t="s">
        <v>52</v>
      </c>
      <c r="H281" s="5" t="s">
        <v>1882</v>
      </c>
      <c r="I281" s="5">
        <v>202501300</v>
      </c>
      <c r="J281" s="5"/>
      <c r="K281" s="6">
        <v>45913</v>
      </c>
      <c r="L281" s="6">
        <v>45918</v>
      </c>
      <c r="M281" s="5" t="s">
        <v>53</v>
      </c>
      <c r="N281" s="5" t="s">
        <v>54</v>
      </c>
      <c r="O281" s="5" t="s">
        <v>41</v>
      </c>
      <c r="P281" s="30">
        <f t="shared" si="15"/>
        <v>5</v>
      </c>
      <c r="Q281" s="41">
        <v>3911.818181818182</v>
      </c>
      <c r="R281" s="41">
        <v>5500</v>
      </c>
      <c r="S281" s="41">
        <f t="shared" si="14"/>
        <v>1588.181818181818</v>
      </c>
    </row>
    <row r="282" spans="1:19">
      <c r="A282" s="5">
        <v>281</v>
      </c>
      <c r="B282" s="5">
        <v>2509132398</v>
      </c>
      <c r="C282" s="5" t="s">
        <v>1894</v>
      </c>
      <c r="D282" s="5" t="s">
        <v>748</v>
      </c>
      <c r="E282" s="5" t="s">
        <v>947</v>
      </c>
      <c r="F282" s="5" t="s">
        <v>51</v>
      </c>
      <c r="G282" s="5" t="s">
        <v>75</v>
      </c>
      <c r="H282" s="5" t="s">
        <v>1882</v>
      </c>
      <c r="I282" s="5">
        <v>202501301</v>
      </c>
      <c r="J282" s="5"/>
      <c r="K282" s="6">
        <v>45913</v>
      </c>
      <c r="L282" s="6">
        <v>45918</v>
      </c>
      <c r="M282" s="5" t="s">
        <v>53</v>
      </c>
      <c r="N282" s="5" t="s">
        <v>54</v>
      </c>
      <c r="O282" s="5" t="s">
        <v>41</v>
      </c>
      <c r="P282" s="30">
        <f t="shared" si="15"/>
        <v>5</v>
      </c>
      <c r="Q282" s="41">
        <v>3911.818181818182</v>
      </c>
      <c r="R282" s="41">
        <v>4900</v>
      </c>
      <c r="S282" s="41">
        <f t="shared" si="14"/>
        <v>988.18181818181802</v>
      </c>
    </row>
    <row r="283" spans="1:19">
      <c r="A283" s="5">
        <v>282</v>
      </c>
      <c r="B283" s="5">
        <v>2509132407</v>
      </c>
      <c r="C283" s="5" t="s">
        <v>1895</v>
      </c>
      <c r="D283" s="5" t="s">
        <v>60</v>
      </c>
      <c r="E283" s="5" t="s">
        <v>1896</v>
      </c>
      <c r="F283" s="5" t="s">
        <v>62</v>
      </c>
      <c r="G283" s="5" t="s">
        <v>52</v>
      </c>
      <c r="H283" s="5" t="s">
        <v>1882</v>
      </c>
      <c r="I283" s="5">
        <v>202501302</v>
      </c>
      <c r="J283" s="5"/>
      <c r="K283" s="6">
        <v>45913</v>
      </c>
      <c r="L283" s="6">
        <v>45918</v>
      </c>
      <c r="M283" s="5" t="s">
        <v>53</v>
      </c>
      <c r="N283" s="5" t="s">
        <v>54</v>
      </c>
      <c r="O283" s="5" t="s">
        <v>41</v>
      </c>
      <c r="P283" s="30">
        <f t="shared" si="15"/>
        <v>5</v>
      </c>
      <c r="Q283" s="41">
        <v>3911.818181818182</v>
      </c>
      <c r="R283" s="41">
        <v>6000</v>
      </c>
      <c r="S283" s="41">
        <f t="shared" si="14"/>
        <v>2088.181818181818</v>
      </c>
    </row>
    <row r="284" spans="1:19">
      <c r="A284" s="5">
        <v>283</v>
      </c>
      <c r="B284" s="5">
        <v>2509132418</v>
      </c>
      <c r="C284" s="5" t="s">
        <v>1897</v>
      </c>
      <c r="D284" s="5" t="s">
        <v>345</v>
      </c>
      <c r="E284" s="5" t="s">
        <v>1898</v>
      </c>
      <c r="F284" s="5" t="s">
        <v>66</v>
      </c>
      <c r="G284" s="5" t="s">
        <v>52</v>
      </c>
      <c r="H284" s="5" t="s">
        <v>1882</v>
      </c>
      <c r="I284" s="5">
        <v>202501303</v>
      </c>
      <c r="J284" s="5"/>
      <c r="K284" s="6">
        <v>45913</v>
      </c>
      <c r="L284" s="6">
        <v>45918</v>
      </c>
      <c r="M284" s="5" t="s">
        <v>53</v>
      </c>
      <c r="N284" s="5" t="s">
        <v>54</v>
      </c>
      <c r="O284" s="5" t="s">
        <v>41</v>
      </c>
      <c r="P284" s="30">
        <f t="shared" si="15"/>
        <v>5</v>
      </c>
      <c r="Q284" s="41">
        <v>3911.818181818182</v>
      </c>
      <c r="R284" s="41">
        <v>6000</v>
      </c>
      <c r="S284" s="41">
        <f t="shared" si="14"/>
        <v>2088.181818181818</v>
      </c>
    </row>
    <row r="285" spans="1:19">
      <c r="A285" s="5">
        <v>284</v>
      </c>
      <c r="B285" s="5">
        <v>2509132428</v>
      </c>
      <c r="C285" s="5" t="s">
        <v>1899</v>
      </c>
      <c r="D285" s="5" t="s">
        <v>964</v>
      </c>
      <c r="E285" s="5" t="s">
        <v>1900</v>
      </c>
      <c r="F285" s="5" t="s">
        <v>109</v>
      </c>
      <c r="G285" s="5" t="s">
        <v>43</v>
      </c>
      <c r="H285" s="5" t="s">
        <v>1882</v>
      </c>
      <c r="I285" s="5">
        <v>202501304</v>
      </c>
      <c r="J285" s="5"/>
      <c r="K285" s="6">
        <v>45913</v>
      </c>
      <c r="L285" s="6">
        <v>45918</v>
      </c>
      <c r="M285" s="5" t="s">
        <v>53</v>
      </c>
      <c r="N285" s="5" t="s">
        <v>54</v>
      </c>
      <c r="O285" s="5" t="s">
        <v>41</v>
      </c>
      <c r="P285" s="30">
        <f t="shared" si="15"/>
        <v>5</v>
      </c>
      <c r="Q285" s="41">
        <v>3911.818181818182</v>
      </c>
      <c r="R285" s="41">
        <v>11000</v>
      </c>
      <c r="S285" s="41">
        <f t="shared" si="14"/>
        <v>7088.181818181818</v>
      </c>
    </row>
    <row r="286" spans="1:19">
      <c r="A286" s="5">
        <v>285</v>
      </c>
      <c r="B286" s="5">
        <v>2509141164</v>
      </c>
      <c r="C286" s="5" t="s">
        <v>1901</v>
      </c>
      <c r="D286" s="5" t="s">
        <v>918</v>
      </c>
      <c r="E286" s="5" t="s">
        <v>1837</v>
      </c>
      <c r="F286" s="5" t="s">
        <v>51</v>
      </c>
      <c r="G286" s="5" t="s">
        <v>52</v>
      </c>
      <c r="H286" s="5" t="s">
        <v>1882</v>
      </c>
      <c r="I286" s="5">
        <v>202501305</v>
      </c>
      <c r="J286" s="5"/>
      <c r="K286" s="6">
        <v>45914</v>
      </c>
      <c r="L286" s="6">
        <v>45918</v>
      </c>
      <c r="M286" s="5" t="s">
        <v>53</v>
      </c>
      <c r="N286" s="5" t="s">
        <v>54</v>
      </c>
      <c r="O286" s="5" t="s">
        <v>41</v>
      </c>
      <c r="P286" s="30">
        <f t="shared" si="15"/>
        <v>4</v>
      </c>
      <c r="Q286" s="41">
        <v>3911.818181818182</v>
      </c>
      <c r="R286" s="41">
        <v>5500</v>
      </c>
      <c r="S286" s="41">
        <f t="shared" si="14"/>
        <v>1588.181818181818</v>
      </c>
    </row>
    <row r="287" spans="1:19">
      <c r="A287" s="5">
        <v>286</v>
      </c>
      <c r="B287" s="5">
        <v>2509141171</v>
      </c>
      <c r="C287" s="5" t="s">
        <v>1902</v>
      </c>
      <c r="D287" s="5" t="s">
        <v>511</v>
      </c>
      <c r="E287" s="5" t="s">
        <v>1903</v>
      </c>
      <c r="F287" s="5" t="s">
        <v>79</v>
      </c>
      <c r="G287" s="5" t="s">
        <v>52</v>
      </c>
      <c r="H287" s="5" t="s">
        <v>1882</v>
      </c>
      <c r="I287" s="5">
        <v>202501306</v>
      </c>
      <c r="J287" s="5"/>
      <c r="K287" s="6">
        <v>45914</v>
      </c>
      <c r="L287" s="6">
        <v>45918</v>
      </c>
      <c r="M287" s="5" t="s">
        <v>53</v>
      </c>
      <c r="N287" s="5" t="s">
        <v>54</v>
      </c>
      <c r="O287" s="5" t="s">
        <v>41</v>
      </c>
      <c r="P287" s="30">
        <f t="shared" si="15"/>
        <v>4</v>
      </c>
      <c r="Q287" s="41">
        <v>3911.818181818182</v>
      </c>
      <c r="R287" s="41">
        <v>5500</v>
      </c>
      <c r="S287" s="41">
        <f t="shared" si="14"/>
        <v>1588.181818181818</v>
      </c>
    </row>
    <row r="288" spans="1:19">
      <c r="A288" s="5">
        <v>287</v>
      </c>
      <c r="B288" s="5">
        <v>2509140220</v>
      </c>
      <c r="C288" s="5" t="s">
        <v>1904</v>
      </c>
      <c r="D288" s="5" t="s">
        <v>40</v>
      </c>
      <c r="E288" s="5" t="s">
        <v>41</v>
      </c>
      <c r="F288" s="5" t="s">
        <v>42</v>
      </c>
      <c r="G288" s="5" t="s">
        <v>43</v>
      </c>
      <c r="H288" s="5" t="s">
        <v>1882</v>
      </c>
      <c r="I288" s="5">
        <v>202501307</v>
      </c>
      <c r="J288" s="5"/>
      <c r="K288" s="6">
        <v>45914</v>
      </c>
      <c r="L288" s="6">
        <v>45918</v>
      </c>
      <c r="M288" s="5" t="s">
        <v>53</v>
      </c>
      <c r="N288" s="5" t="s">
        <v>54</v>
      </c>
      <c r="O288" s="5" t="s">
        <v>41</v>
      </c>
      <c r="P288" s="30">
        <f t="shared" si="15"/>
        <v>4</v>
      </c>
      <c r="Q288" s="41">
        <v>3911.818181818182</v>
      </c>
      <c r="R288" s="41">
        <v>14500</v>
      </c>
      <c r="S288" s="41">
        <f t="shared" si="14"/>
        <v>10588.181818181818</v>
      </c>
    </row>
    <row r="289" spans="1:19">
      <c r="A289" s="5">
        <v>288</v>
      </c>
      <c r="B289" s="5">
        <v>2509140222</v>
      </c>
      <c r="C289" s="5" t="s">
        <v>1905</v>
      </c>
      <c r="D289" s="5" t="s">
        <v>40</v>
      </c>
      <c r="E289" s="5" t="s">
        <v>41</v>
      </c>
      <c r="F289" s="5" t="s">
        <v>42</v>
      </c>
      <c r="G289" s="5" t="s">
        <v>190</v>
      </c>
      <c r="H289" s="5" t="s">
        <v>1882</v>
      </c>
      <c r="I289" s="5">
        <v>202501308</v>
      </c>
      <c r="J289" s="5"/>
      <c r="K289" s="6">
        <v>45914</v>
      </c>
      <c r="L289" s="6">
        <v>45918</v>
      </c>
      <c r="M289" s="5" t="s">
        <v>53</v>
      </c>
      <c r="N289" s="5" t="s">
        <v>54</v>
      </c>
      <c r="O289" s="5" t="s">
        <v>41</v>
      </c>
      <c r="P289" s="30">
        <f t="shared" si="15"/>
        <v>4</v>
      </c>
      <c r="Q289" s="41">
        <v>3911.818181818182</v>
      </c>
      <c r="R289" s="41">
        <v>13500</v>
      </c>
      <c r="S289" s="41">
        <f t="shared" si="14"/>
        <v>9588.181818181818</v>
      </c>
    </row>
    <row r="290" spans="1:19">
      <c r="A290" s="5">
        <v>289</v>
      </c>
      <c r="B290" s="9">
        <v>2509141189</v>
      </c>
      <c r="C290" s="9" t="s">
        <v>1906</v>
      </c>
      <c r="D290" s="9" t="s">
        <v>139</v>
      </c>
      <c r="E290" s="9" t="s">
        <v>140</v>
      </c>
      <c r="F290" s="9" t="s">
        <v>141</v>
      </c>
      <c r="G290" s="9" t="s">
        <v>52</v>
      </c>
      <c r="H290" s="9" t="s">
        <v>1882</v>
      </c>
      <c r="I290" s="9">
        <v>202501309</v>
      </c>
      <c r="J290" s="9"/>
      <c r="K290" s="10">
        <v>45914</v>
      </c>
      <c r="L290" s="10">
        <v>45918</v>
      </c>
      <c r="M290" s="9" t="s">
        <v>45</v>
      </c>
      <c r="N290" s="9" t="s">
        <v>94</v>
      </c>
      <c r="O290" s="9" t="s">
        <v>1603</v>
      </c>
      <c r="P290" s="32">
        <f t="shared" si="15"/>
        <v>4</v>
      </c>
      <c r="Q290" s="11">
        <v>3911.818181818182</v>
      </c>
      <c r="R290" s="11">
        <v>6000</v>
      </c>
      <c r="S290" s="11">
        <f t="shared" si="14"/>
        <v>2088.181818181818</v>
      </c>
    </row>
    <row r="291" spans="1:19">
      <c r="A291" s="5">
        <v>290</v>
      </c>
      <c r="B291" s="5">
        <v>2509160004</v>
      </c>
      <c r="C291" s="5" t="s">
        <v>1907</v>
      </c>
      <c r="D291" s="5" t="s">
        <v>1662</v>
      </c>
      <c r="E291" s="5" t="s">
        <v>1318</v>
      </c>
      <c r="F291" s="5" t="s">
        <v>58</v>
      </c>
      <c r="G291" s="5" t="s">
        <v>52</v>
      </c>
      <c r="H291" s="5" t="s">
        <v>1882</v>
      </c>
      <c r="I291" s="5">
        <v>202501310</v>
      </c>
      <c r="J291" s="5"/>
      <c r="K291" s="6">
        <v>45916</v>
      </c>
      <c r="L291" s="6">
        <v>45918</v>
      </c>
      <c r="M291" s="5" t="s">
        <v>53</v>
      </c>
      <c r="N291" s="5" t="s">
        <v>54</v>
      </c>
      <c r="O291" s="5" t="s">
        <v>41</v>
      </c>
      <c r="P291" s="30">
        <f t="shared" si="15"/>
        <v>2</v>
      </c>
      <c r="Q291" s="41">
        <v>3911.818181818182</v>
      </c>
      <c r="R291" s="41">
        <v>5500</v>
      </c>
      <c r="S291" s="41">
        <f t="shared" si="14"/>
        <v>1588.181818181818</v>
      </c>
    </row>
    <row r="292" spans="1:19">
      <c r="A292" s="5">
        <v>291</v>
      </c>
      <c r="B292" s="5" t="s">
        <v>1239</v>
      </c>
      <c r="C292" s="5"/>
      <c r="D292" s="5"/>
      <c r="E292" s="5"/>
      <c r="F292" s="5"/>
      <c r="G292" s="5" t="s">
        <v>52</v>
      </c>
      <c r="H292" s="5"/>
      <c r="I292" s="5"/>
      <c r="J292" s="5"/>
      <c r="K292" s="5"/>
      <c r="L292" s="5"/>
      <c r="M292" s="5"/>
      <c r="N292" s="5"/>
      <c r="O292" s="5"/>
      <c r="P292" s="5"/>
      <c r="Q292" s="41">
        <v>3911.818181818182</v>
      </c>
      <c r="R292" s="41">
        <v>0</v>
      </c>
      <c r="S292" s="41">
        <f t="shared" si="14"/>
        <v>-3911.818181818182</v>
      </c>
    </row>
    <row r="293" spans="1:19">
      <c r="A293" s="5">
        <v>292</v>
      </c>
      <c r="B293" s="5" t="s">
        <v>1240</v>
      </c>
      <c r="C293" s="5"/>
      <c r="D293" s="5"/>
      <c r="E293" s="5"/>
      <c r="F293" s="5"/>
      <c r="G293" s="5" t="s">
        <v>52</v>
      </c>
      <c r="H293" s="5"/>
      <c r="I293" s="5"/>
      <c r="J293" s="5"/>
      <c r="K293" s="5"/>
      <c r="L293" s="5"/>
      <c r="M293" s="5"/>
      <c r="N293" s="5"/>
      <c r="O293" s="5"/>
      <c r="P293" s="5"/>
      <c r="Q293" s="41">
        <v>3911.818181818182</v>
      </c>
      <c r="R293" s="41">
        <v>0</v>
      </c>
      <c r="S293" s="41">
        <f t="shared" si="14"/>
        <v>-3911.818181818182</v>
      </c>
    </row>
    <row r="294" spans="1:19">
      <c r="A294" s="5">
        <v>293</v>
      </c>
      <c r="B294" s="13">
        <v>2509141189</v>
      </c>
      <c r="C294" s="13" t="s">
        <v>1906</v>
      </c>
      <c r="D294" s="13" t="s">
        <v>139</v>
      </c>
      <c r="E294" s="13" t="s">
        <v>140</v>
      </c>
      <c r="F294" s="13" t="s">
        <v>141</v>
      </c>
      <c r="G294" s="13" t="s">
        <v>52</v>
      </c>
      <c r="H294" s="13" t="s">
        <v>1908</v>
      </c>
      <c r="I294" s="13" t="s">
        <v>1909</v>
      </c>
      <c r="J294" s="13"/>
      <c r="K294" s="14">
        <v>45914</v>
      </c>
      <c r="L294" s="14">
        <v>45919</v>
      </c>
      <c r="M294" s="13" t="s">
        <v>45</v>
      </c>
      <c r="N294" s="13" t="s">
        <v>46</v>
      </c>
      <c r="O294" s="13" t="s">
        <v>1603</v>
      </c>
      <c r="P294" s="35">
        <f t="shared" ref="P294:P320" si="16">L294-K294</f>
        <v>5</v>
      </c>
      <c r="Q294" s="15">
        <v>3308.0564263322885</v>
      </c>
      <c r="R294" s="15">
        <v>0</v>
      </c>
      <c r="S294" s="15">
        <f t="shared" si="14"/>
        <v>-3308.0564263322885</v>
      </c>
    </row>
    <row r="295" spans="1:19">
      <c r="A295" s="5">
        <v>294</v>
      </c>
      <c r="B295" s="5">
        <v>2509141173</v>
      </c>
      <c r="C295" s="5" t="s">
        <v>1910</v>
      </c>
      <c r="D295" s="5" t="s">
        <v>64</v>
      </c>
      <c r="E295" s="5" t="s">
        <v>1498</v>
      </c>
      <c r="F295" s="5" t="s">
        <v>66</v>
      </c>
      <c r="G295" s="5" t="s">
        <v>52</v>
      </c>
      <c r="H295" s="5" t="s">
        <v>1908</v>
      </c>
      <c r="I295" s="5">
        <v>202501311</v>
      </c>
      <c r="J295" s="5"/>
      <c r="K295" s="6">
        <v>45914</v>
      </c>
      <c r="L295" s="6">
        <v>45919</v>
      </c>
      <c r="M295" s="5" t="s">
        <v>53</v>
      </c>
      <c r="N295" s="5" t="s">
        <v>54</v>
      </c>
      <c r="O295" s="5" t="s">
        <v>41</v>
      </c>
      <c r="P295" s="30">
        <f t="shared" si="16"/>
        <v>5</v>
      </c>
      <c r="Q295" s="41">
        <v>3308.0564263322885</v>
      </c>
      <c r="R295" s="41">
        <v>5500</v>
      </c>
      <c r="S295" s="41">
        <f t="shared" si="14"/>
        <v>2191.9435736677115</v>
      </c>
    </row>
    <row r="296" spans="1:19">
      <c r="A296" s="5">
        <v>295</v>
      </c>
      <c r="B296" s="5">
        <v>2509141179</v>
      </c>
      <c r="C296" s="5" t="s">
        <v>1911</v>
      </c>
      <c r="D296" s="5" t="s">
        <v>64</v>
      </c>
      <c r="E296" s="5" t="s">
        <v>1498</v>
      </c>
      <c r="F296" s="5" t="s">
        <v>66</v>
      </c>
      <c r="G296" s="5" t="s">
        <v>52</v>
      </c>
      <c r="H296" s="5" t="s">
        <v>1908</v>
      </c>
      <c r="I296" s="5">
        <v>202501312</v>
      </c>
      <c r="J296" s="5"/>
      <c r="K296" s="6">
        <v>45914</v>
      </c>
      <c r="L296" s="6">
        <v>45919</v>
      </c>
      <c r="M296" s="5" t="s">
        <v>53</v>
      </c>
      <c r="N296" s="5" t="s">
        <v>54</v>
      </c>
      <c r="O296" s="5" t="s">
        <v>41</v>
      </c>
      <c r="P296" s="30">
        <f t="shared" si="16"/>
        <v>5</v>
      </c>
      <c r="Q296" s="41">
        <v>3308.0564263322885</v>
      </c>
      <c r="R296" s="41">
        <v>5500</v>
      </c>
      <c r="S296" s="41">
        <f t="shared" si="14"/>
        <v>2191.9435736677115</v>
      </c>
    </row>
    <row r="297" spans="1:19">
      <c r="A297" s="5">
        <v>296</v>
      </c>
      <c r="B297" s="5">
        <v>2509141183</v>
      </c>
      <c r="C297" s="5" t="s">
        <v>1912</v>
      </c>
      <c r="D297" s="5" t="s">
        <v>64</v>
      </c>
      <c r="E297" s="5" t="s">
        <v>1498</v>
      </c>
      <c r="F297" s="5" t="s">
        <v>66</v>
      </c>
      <c r="G297" s="5" t="s">
        <v>52</v>
      </c>
      <c r="H297" s="5" t="s">
        <v>1908</v>
      </c>
      <c r="I297" s="5">
        <v>202501313</v>
      </c>
      <c r="J297" s="5"/>
      <c r="K297" s="6">
        <v>45914</v>
      </c>
      <c r="L297" s="6">
        <v>45919</v>
      </c>
      <c r="M297" s="5" t="s">
        <v>53</v>
      </c>
      <c r="N297" s="5" t="s">
        <v>54</v>
      </c>
      <c r="O297" s="5" t="s">
        <v>41</v>
      </c>
      <c r="P297" s="30">
        <f t="shared" si="16"/>
        <v>5</v>
      </c>
      <c r="Q297" s="41">
        <v>3308.0564263322885</v>
      </c>
      <c r="R297" s="41">
        <v>5500</v>
      </c>
      <c r="S297" s="41">
        <f t="shared" si="14"/>
        <v>2191.9435736677115</v>
      </c>
    </row>
    <row r="298" spans="1:19">
      <c r="A298" s="5">
        <v>297</v>
      </c>
      <c r="B298" s="5">
        <v>2509140556</v>
      </c>
      <c r="C298" s="5" t="s">
        <v>1913</v>
      </c>
      <c r="D298" s="5" t="s">
        <v>40</v>
      </c>
      <c r="E298" s="5" t="s">
        <v>41</v>
      </c>
      <c r="F298" s="5" t="s">
        <v>42</v>
      </c>
      <c r="G298" s="5" t="s">
        <v>43</v>
      </c>
      <c r="H298" s="5" t="s">
        <v>1908</v>
      </c>
      <c r="I298" s="5">
        <v>202501314</v>
      </c>
      <c r="J298" s="5"/>
      <c r="K298" s="6">
        <v>45914</v>
      </c>
      <c r="L298" s="6">
        <v>45919</v>
      </c>
      <c r="M298" s="5" t="s">
        <v>53</v>
      </c>
      <c r="N298" s="5" t="s">
        <v>54</v>
      </c>
      <c r="O298" s="5" t="s">
        <v>41</v>
      </c>
      <c r="P298" s="30">
        <f t="shared" si="16"/>
        <v>5</v>
      </c>
      <c r="Q298" s="41">
        <v>3308.0564263322885</v>
      </c>
      <c r="R298" s="41">
        <v>14500</v>
      </c>
      <c r="S298" s="41">
        <f t="shared" si="14"/>
        <v>11191.943573667711</v>
      </c>
    </row>
    <row r="299" spans="1:19">
      <c r="A299" s="5">
        <v>298</v>
      </c>
      <c r="B299" s="5">
        <v>2509141195</v>
      </c>
      <c r="C299" s="5" t="s">
        <v>1914</v>
      </c>
      <c r="D299" s="5" t="s">
        <v>1638</v>
      </c>
      <c r="E299" s="5" t="s">
        <v>394</v>
      </c>
      <c r="F299" s="5" t="s">
        <v>202</v>
      </c>
      <c r="G299" s="5" t="s">
        <v>43</v>
      </c>
      <c r="H299" s="5" t="s">
        <v>1908</v>
      </c>
      <c r="I299" s="5">
        <v>202501315</v>
      </c>
      <c r="J299" s="5"/>
      <c r="K299" s="6">
        <v>45914</v>
      </c>
      <c r="L299" s="6">
        <v>45919</v>
      </c>
      <c r="M299" s="5" t="s">
        <v>53</v>
      </c>
      <c r="N299" s="5" t="s">
        <v>54</v>
      </c>
      <c r="O299" s="5" t="s">
        <v>41</v>
      </c>
      <c r="P299" s="30">
        <f t="shared" si="16"/>
        <v>5</v>
      </c>
      <c r="Q299" s="41">
        <v>3308.0564263322885</v>
      </c>
      <c r="R299" s="41">
        <v>13500</v>
      </c>
      <c r="S299" s="41">
        <f t="shared" si="14"/>
        <v>10191.943573667711</v>
      </c>
    </row>
    <row r="300" spans="1:19">
      <c r="A300" s="5">
        <v>299</v>
      </c>
      <c r="B300" s="5">
        <v>2509141201</v>
      </c>
      <c r="C300" s="5" t="s">
        <v>1915</v>
      </c>
      <c r="D300" s="5" t="s">
        <v>1788</v>
      </c>
      <c r="E300" s="5" t="s">
        <v>1789</v>
      </c>
      <c r="F300" s="5" t="s">
        <v>51</v>
      </c>
      <c r="G300" s="5" t="s">
        <v>52</v>
      </c>
      <c r="H300" s="5" t="s">
        <v>1908</v>
      </c>
      <c r="I300" s="5">
        <v>202501316</v>
      </c>
      <c r="J300" s="5"/>
      <c r="K300" s="6">
        <v>45914</v>
      </c>
      <c r="L300" s="6">
        <v>45919</v>
      </c>
      <c r="M300" s="5" t="s">
        <v>53</v>
      </c>
      <c r="N300" s="5" t="s">
        <v>54</v>
      </c>
      <c r="O300" s="5" t="s">
        <v>41</v>
      </c>
      <c r="P300" s="30">
        <f t="shared" si="16"/>
        <v>5</v>
      </c>
      <c r="Q300" s="41">
        <v>3308.0564263322885</v>
      </c>
      <c r="R300" s="41">
        <v>8000</v>
      </c>
      <c r="S300" s="41">
        <f t="shared" si="14"/>
        <v>4691.9435736677115</v>
      </c>
    </row>
    <row r="301" spans="1:19">
      <c r="A301" s="5">
        <v>300</v>
      </c>
      <c r="B301" s="5">
        <v>2509141204</v>
      </c>
      <c r="C301" s="5" t="s">
        <v>1916</v>
      </c>
      <c r="D301" s="5" t="s">
        <v>528</v>
      </c>
      <c r="E301" s="5" t="s">
        <v>1917</v>
      </c>
      <c r="F301" s="5" t="s">
        <v>202</v>
      </c>
      <c r="G301" s="5" t="s">
        <v>52</v>
      </c>
      <c r="H301" s="5" t="s">
        <v>1908</v>
      </c>
      <c r="I301" s="5">
        <v>202501317</v>
      </c>
      <c r="J301" s="5"/>
      <c r="K301" s="6">
        <v>45914</v>
      </c>
      <c r="L301" s="6">
        <v>45919</v>
      </c>
      <c r="M301" s="5" t="s">
        <v>53</v>
      </c>
      <c r="N301" s="5" t="s">
        <v>54</v>
      </c>
      <c r="O301" s="5" t="s">
        <v>41</v>
      </c>
      <c r="P301" s="30">
        <f t="shared" si="16"/>
        <v>5</v>
      </c>
      <c r="Q301" s="41">
        <v>3308.0564263322885</v>
      </c>
      <c r="R301" s="41">
        <v>7500</v>
      </c>
      <c r="S301" s="41">
        <f t="shared" si="14"/>
        <v>4191.9435736677115</v>
      </c>
    </row>
    <row r="302" spans="1:19">
      <c r="A302" s="5">
        <v>301</v>
      </c>
      <c r="B302" s="5">
        <v>2509152199</v>
      </c>
      <c r="C302" s="5" t="s">
        <v>1918</v>
      </c>
      <c r="D302" s="5" t="s">
        <v>631</v>
      </c>
      <c r="E302" s="5" t="s">
        <v>1919</v>
      </c>
      <c r="F302" s="5" t="s">
        <v>87</v>
      </c>
      <c r="G302" s="5" t="s">
        <v>52</v>
      </c>
      <c r="H302" s="5" t="s">
        <v>1908</v>
      </c>
      <c r="I302" s="5">
        <v>202501318</v>
      </c>
      <c r="J302" s="5"/>
      <c r="K302" s="6">
        <v>45915</v>
      </c>
      <c r="L302" s="6">
        <v>45919</v>
      </c>
      <c r="M302" s="5" t="s">
        <v>53</v>
      </c>
      <c r="N302" s="5" t="s">
        <v>54</v>
      </c>
      <c r="O302" s="5" t="s">
        <v>41</v>
      </c>
      <c r="P302" s="30">
        <f t="shared" si="16"/>
        <v>4</v>
      </c>
      <c r="Q302" s="41">
        <v>3308.0564263322885</v>
      </c>
      <c r="R302" s="41">
        <v>8000</v>
      </c>
      <c r="S302" s="41">
        <f t="shared" si="14"/>
        <v>4691.9435736677115</v>
      </c>
    </row>
    <row r="303" spans="1:19">
      <c r="A303" s="5">
        <v>302</v>
      </c>
      <c r="B303" s="5">
        <v>2509152206</v>
      </c>
      <c r="C303" s="5" t="s">
        <v>1920</v>
      </c>
      <c r="D303" s="5" t="s">
        <v>97</v>
      </c>
      <c r="E303" s="5" t="s">
        <v>1746</v>
      </c>
      <c r="F303" s="5" t="s">
        <v>71</v>
      </c>
      <c r="G303" s="5" t="s">
        <v>75</v>
      </c>
      <c r="H303" s="5" t="s">
        <v>1908</v>
      </c>
      <c r="I303" s="5">
        <v>202501319</v>
      </c>
      <c r="J303" s="5"/>
      <c r="K303" s="6">
        <v>45915</v>
      </c>
      <c r="L303" s="6">
        <v>45919</v>
      </c>
      <c r="M303" s="5" t="s">
        <v>53</v>
      </c>
      <c r="N303" s="5" t="s">
        <v>54</v>
      </c>
      <c r="O303" s="5" t="s">
        <v>41</v>
      </c>
      <c r="P303" s="30">
        <f t="shared" si="16"/>
        <v>4</v>
      </c>
      <c r="Q303" s="41">
        <v>3308.0564263322885</v>
      </c>
      <c r="R303" s="41">
        <v>4900</v>
      </c>
      <c r="S303" s="41">
        <f t="shared" si="14"/>
        <v>1591.9435736677115</v>
      </c>
    </row>
    <row r="304" spans="1:19">
      <c r="A304" s="5">
        <v>303</v>
      </c>
      <c r="B304" s="9">
        <v>2509152213</v>
      </c>
      <c r="C304" s="9" t="s">
        <v>1921</v>
      </c>
      <c r="D304" s="9" t="s">
        <v>97</v>
      </c>
      <c r="E304" s="9" t="s">
        <v>1746</v>
      </c>
      <c r="F304" s="9" t="s">
        <v>71</v>
      </c>
      <c r="G304" s="9" t="s">
        <v>52</v>
      </c>
      <c r="H304" s="9" t="s">
        <v>1908</v>
      </c>
      <c r="I304" s="9">
        <v>202501320</v>
      </c>
      <c r="J304" s="9"/>
      <c r="K304" s="10">
        <v>45915</v>
      </c>
      <c r="L304" s="10">
        <v>45919</v>
      </c>
      <c r="M304" s="9" t="s">
        <v>53</v>
      </c>
      <c r="N304" s="9" t="s">
        <v>94</v>
      </c>
      <c r="O304" s="9" t="s">
        <v>1698</v>
      </c>
      <c r="P304" s="32">
        <f t="shared" si="16"/>
        <v>4</v>
      </c>
      <c r="Q304" s="11">
        <v>3308.0564263322885</v>
      </c>
      <c r="R304" s="11">
        <v>8500</v>
      </c>
      <c r="S304" s="11">
        <f t="shared" si="14"/>
        <v>5191.9435736677115</v>
      </c>
    </row>
    <row r="305" spans="1:19">
      <c r="A305" s="5">
        <v>304</v>
      </c>
      <c r="B305" s="5">
        <v>2509152241</v>
      </c>
      <c r="C305" s="5" t="s">
        <v>1922</v>
      </c>
      <c r="D305" s="5" t="s">
        <v>745</v>
      </c>
      <c r="E305" s="5" t="s">
        <v>1923</v>
      </c>
      <c r="F305" s="5" t="s">
        <v>202</v>
      </c>
      <c r="G305" s="5" t="s">
        <v>43</v>
      </c>
      <c r="H305" s="5" t="s">
        <v>1908</v>
      </c>
      <c r="I305" s="5">
        <v>202501321</v>
      </c>
      <c r="J305" s="5"/>
      <c r="K305" s="6">
        <v>45915</v>
      </c>
      <c r="L305" s="6">
        <v>45919</v>
      </c>
      <c r="M305" s="5" t="s">
        <v>53</v>
      </c>
      <c r="N305" s="5" t="s">
        <v>54</v>
      </c>
      <c r="O305" s="5" t="s">
        <v>41</v>
      </c>
      <c r="P305" s="30">
        <f t="shared" si="16"/>
        <v>4</v>
      </c>
      <c r="Q305" s="41">
        <v>3308.0564263322885</v>
      </c>
      <c r="R305" s="41">
        <v>13000</v>
      </c>
      <c r="S305" s="41">
        <f t="shared" si="14"/>
        <v>9691.9435736677115</v>
      </c>
    </row>
    <row r="306" spans="1:19">
      <c r="A306" s="5">
        <v>305</v>
      </c>
      <c r="B306" s="5">
        <v>2509152244</v>
      </c>
      <c r="C306" s="5" t="s">
        <v>1924</v>
      </c>
      <c r="D306" s="5" t="s">
        <v>83</v>
      </c>
      <c r="E306" s="5" t="s">
        <v>1925</v>
      </c>
      <c r="F306" s="5" t="s">
        <v>62</v>
      </c>
      <c r="G306" s="5" t="s">
        <v>43</v>
      </c>
      <c r="H306" s="5" t="s">
        <v>1908</v>
      </c>
      <c r="I306" s="5">
        <v>202501322</v>
      </c>
      <c r="J306" s="5"/>
      <c r="K306" s="6">
        <v>45915</v>
      </c>
      <c r="L306" s="6">
        <v>45919</v>
      </c>
      <c r="M306" s="5" t="s">
        <v>53</v>
      </c>
      <c r="N306" s="5" t="s">
        <v>54</v>
      </c>
      <c r="O306" s="5" t="s">
        <v>41</v>
      </c>
      <c r="P306" s="30">
        <f t="shared" si="16"/>
        <v>4</v>
      </c>
      <c r="Q306" s="41">
        <v>3308.0564263322885</v>
      </c>
      <c r="R306" s="41">
        <v>9000</v>
      </c>
      <c r="S306" s="41">
        <f t="shared" si="14"/>
        <v>5691.9435736677115</v>
      </c>
    </row>
    <row r="307" spans="1:19">
      <c r="A307" s="5">
        <v>306</v>
      </c>
      <c r="B307" s="5">
        <v>2509152263</v>
      </c>
      <c r="C307" s="5" t="s">
        <v>1926</v>
      </c>
      <c r="D307" s="5" t="s">
        <v>564</v>
      </c>
      <c r="E307" s="5" t="s">
        <v>1872</v>
      </c>
      <c r="F307" s="5" t="s">
        <v>71</v>
      </c>
      <c r="G307" s="5" t="s">
        <v>75</v>
      </c>
      <c r="H307" s="5" t="s">
        <v>1908</v>
      </c>
      <c r="I307" s="5">
        <v>202501323</v>
      </c>
      <c r="J307" s="5"/>
      <c r="K307" s="6">
        <v>45915</v>
      </c>
      <c r="L307" s="6">
        <v>45919</v>
      </c>
      <c r="M307" s="5" t="s">
        <v>53</v>
      </c>
      <c r="N307" s="5" t="s">
        <v>54</v>
      </c>
      <c r="O307" s="5" t="s">
        <v>41</v>
      </c>
      <c r="P307" s="30">
        <f t="shared" si="16"/>
        <v>4</v>
      </c>
      <c r="Q307" s="41">
        <v>3308.0564263322885</v>
      </c>
      <c r="R307" s="41">
        <v>6500</v>
      </c>
      <c r="S307" s="41">
        <f t="shared" si="14"/>
        <v>3191.9435736677115</v>
      </c>
    </row>
    <row r="308" spans="1:19">
      <c r="A308" s="5">
        <v>307</v>
      </c>
      <c r="B308" s="5">
        <v>2509152266</v>
      </c>
      <c r="C308" s="5" t="s">
        <v>1927</v>
      </c>
      <c r="D308" s="5" t="s">
        <v>405</v>
      </c>
      <c r="E308" s="5" t="s">
        <v>619</v>
      </c>
      <c r="F308" s="5" t="s">
        <v>202</v>
      </c>
      <c r="G308" s="5" t="s">
        <v>52</v>
      </c>
      <c r="H308" s="5" t="s">
        <v>1908</v>
      </c>
      <c r="I308" s="5">
        <v>202501324</v>
      </c>
      <c r="J308" s="5"/>
      <c r="K308" s="6">
        <v>45915</v>
      </c>
      <c r="L308" s="6">
        <v>45919</v>
      </c>
      <c r="M308" s="5" t="s">
        <v>53</v>
      </c>
      <c r="N308" s="5" t="s">
        <v>54</v>
      </c>
      <c r="O308" s="5" t="s">
        <v>41</v>
      </c>
      <c r="P308" s="30">
        <f t="shared" si="16"/>
        <v>4</v>
      </c>
      <c r="Q308" s="41">
        <v>3308.0564263322885</v>
      </c>
      <c r="R308" s="41">
        <v>6450</v>
      </c>
      <c r="S308" s="41">
        <f t="shared" si="14"/>
        <v>3141.9435736677115</v>
      </c>
    </row>
    <row r="309" spans="1:19">
      <c r="A309" s="5">
        <v>308</v>
      </c>
      <c r="B309" s="9">
        <v>2509152267</v>
      </c>
      <c r="C309" s="9" t="s">
        <v>1928</v>
      </c>
      <c r="D309" s="9" t="s">
        <v>572</v>
      </c>
      <c r="E309" s="9" t="s">
        <v>1929</v>
      </c>
      <c r="F309" s="9" t="s">
        <v>87</v>
      </c>
      <c r="G309" s="9" t="s">
        <v>52</v>
      </c>
      <c r="H309" s="9" t="s">
        <v>1908</v>
      </c>
      <c r="I309" s="9">
        <v>202501325</v>
      </c>
      <c r="J309" s="9"/>
      <c r="K309" s="10">
        <v>45915</v>
      </c>
      <c r="L309" s="10">
        <v>45919</v>
      </c>
      <c r="M309" s="9" t="s">
        <v>45</v>
      </c>
      <c r="N309" s="9" t="s">
        <v>94</v>
      </c>
      <c r="O309" s="9" t="s">
        <v>1667</v>
      </c>
      <c r="P309" s="32">
        <f t="shared" si="16"/>
        <v>4</v>
      </c>
      <c r="Q309" s="11">
        <v>3308.0564263322885</v>
      </c>
      <c r="R309" s="11">
        <v>6000</v>
      </c>
      <c r="S309" s="11">
        <f t="shared" si="14"/>
        <v>2691.9435736677115</v>
      </c>
    </row>
    <row r="310" spans="1:19">
      <c r="A310" s="5">
        <v>309</v>
      </c>
      <c r="B310" s="5">
        <v>2509152268</v>
      </c>
      <c r="C310" s="5" t="s">
        <v>1930</v>
      </c>
      <c r="D310" s="5" t="s">
        <v>153</v>
      </c>
      <c r="E310" s="5" t="s">
        <v>1931</v>
      </c>
      <c r="F310" s="5" t="s">
        <v>141</v>
      </c>
      <c r="G310" s="5" t="s">
        <v>52</v>
      </c>
      <c r="H310" s="5" t="s">
        <v>1908</v>
      </c>
      <c r="I310" s="5">
        <v>202501326</v>
      </c>
      <c r="J310" s="5"/>
      <c r="K310" s="6">
        <v>45915</v>
      </c>
      <c r="L310" s="6">
        <v>45919</v>
      </c>
      <c r="M310" s="5" t="s">
        <v>53</v>
      </c>
      <c r="N310" s="5" t="s">
        <v>54</v>
      </c>
      <c r="O310" s="5" t="s">
        <v>41</v>
      </c>
      <c r="P310" s="30">
        <f t="shared" si="16"/>
        <v>4</v>
      </c>
      <c r="Q310" s="41">
        <v>3308.0564263322885</v>
      </c>
      <c r="R310" s="41">
        <v>5500</v>
      </c>
      <c r="S310" s="41">
        <f t="shared" si="14"/>
        <v>2191.9435736677115</v>
      </c>
    </row>
    <row r="311" spans="1:19">
      <c r="A311" s="5">
        <v>310</v>
      </c>
      <c r="B311" s="9">
        <v>2509152269</v>
      </c>
      <c r="C311" s="9" t="s">
        <v>1932</v>
      </c>
      <c r="D311" s="9" t="s">
        <v>405</v>
      </c>
      <c r="E311" s="9" t="s">
        <v>1519</v>
      </c>
      <c r="F311" s="9" t="s">
        <v>202</v>
      </c>
      <c r="G311" s="9" t="s">
        <v>52</v>
      </c>
      <c r="H311" s="9" t="s">
        <v>1908</v>
      </c>
      <c r="I311" s="9">
        <v>202501327</v>
      </c>
      <c r="J311" s="9"/>
      <c r="K311" s="10">
        <v>45915</v>
      </c>
      <c r="L311" s="10">
        <v>45919</v>
      </c>
      <c r="M311" s="9" t="s">
        <v>45</v>
      </c>
      <c r="N311" s="9" t="s">
        <v>94</v>
      </c>
      <c r="O311" s="9" t="s">
        <v>1667</v>
      </c>
      <c r="P311" s="32">
        <f t="shared" si="16"/>
        <v>4</v>
      </c>
      <c r="Q311" s="11">
        <v>3308.0564263322885</v>
      </c>
      <c r="R311" s="11">
        <v>6450</v>
      </c>
      <c r="S311" s="11">
        <f t="shared" si="14"/>
        <v>3141.9435736677115</v>
      </c>
    </row>
    <row r="312" spans="1:19">
      <c r="A312" s="5">
        <v>311</v>
      </c>
      <c r="B312" s="5">
        <v>2509160002</v>
      </c>
      <c r="C312" s="5" t="s">
        <v>1933</v>
      </c>
      <c r="D312" s="5" t="s">
        <v>153</v>
      </c>
      <c r="E312" s="5" t="s">
        <v>1931</v>
      </c>
      <c r="F312" s="5" t="s">
        <v>141</v>
      </c>
      <c r="G312" s="5" t="s">
        <v>52</v>
      </c>
      <c r="H312" s="5" t="s">
        <v>1908</v>
      </c>
      <c r="I312" s="5">
        <v>202501328</v>
      </c>
      <c r="J312" s="5"/>
      <c r="K312" s="6">
        <v>45916</v>
      </c>
      <c r="L312" s="6">
        <v>45919</v>
      </c>
      <c r="M312" s="5" t="s">
        <v>53</v>
      </c>
      <c r="N312" s="5" t="s">
        <v>54</v>
      </c>
      <c r="O312" s="5" t="s">
        <v>41</v>
      </c>
      <c r="P312" s="30">
        <f t="shared" si="16"/>
        <v>3</v>
      </c>
      <c r="Q312" s="41">
        <v>3308.0564263322885</v>
      </c>
      <c r="R312" s="41">
        <v>5500</v>
      </c>
      <c r="S312" s="41">
        <f t="shared" si="14"/>
        <v>2191.9435736677115</v>
      </c>
    </row>
    <row r="313" spans="1:19">
      <c r="A313" s="5">
        <v>312</v>
      </c>
      <c r="B313" s="5">
        <v>2509160003</v>
      </c>
      <c r="C313" s="5" t="s">
        <v>1934</v>
      </c>
      <c r="D313" s="5" t="s">
        <v>572</v>
      </c>
      <c r="E313" s="5" t="s">
        <v>1929</v>
      </c>
      <c r="F313" s="5" t="s">
        <v>87</v>
      </c>
      <c r="G313" s="5" t="s">
        <v>52</v>
      </c>
      <c r="H313" s="5" t="s">
        <v>1908</v>
      </c>
      <c r="I313" s="5">
        <v>202501329</v>
      </c>
      <c r="J313" s="5"/>
      <c r="K313" s="6">
        <v>45916</v>
      </c>
      <c r="L313" s="6">
        <v>45919</v>
      </c>
      <c r="M313" s="5" t="s">
        <v>53</v>
      </c>
      <c r="N313" s="5" t="s">
        <v>54</v>
      </c>
      <c r="O313" s="5" t="s">
        <v>41</v>
      </c>
      <c r="P313" s="30">
        <f t="shared" si="16"/>
        <v>3</v>
      </c>
      <c r="Q313" s="41">
        <v>3308.0564263322885</v>
      </c>
      <c r="R313" s="41">
        <v>6000</v>
      </c>
      <c r="S313" s="41">
        <f t="shared" si="14"/>
        <v>2691.9435736677115</v>
      </c>
    </row>
    <row r="314" spans="1:19">
      <c r="A314" s="5">
        <v>313</v>
      </c>
      <c r="B314" s="9">
        <v>2509160027</v>
      </c>
      <c r="C314" s="9" t="s">
        <v>1935</v>
      </c>
      <c r="D314" s="9" t="s">
        <v>40</v>
      </c>
      <c r="E314" s="9" t="s">
        <v>41</v>
      </c>
      <c r="F314" s="9" t="s">
        <v>42</v>
      </c>
      <c r="G314" s="9" t="s">
        <v>75</v>
      </c>
      <c r="H314" s="9" t="s">
        <v>1908</v>
      </c>
      <c r="I314" s="9">
        <v>202501330</v>
      </c>
      <c r="J314" s="9"/>
      <c r="K314" s="10">
        <v>45916</v>
      </c>
      <c r="L314" s="10">
        <v>45919</v>
      </c>
      <c r="M314" s="9" t="s">
        <v>53</v>
      </c>
      <c r="N314" s="9" t="s">
        <v>94</v>
      </c>
      <c r="O314" s="9" t="s">
        <v>1698</v>
      </c>
      <c r="P314" s="32">
        <f t="shared" si="16"/>
        <v>3</v>
      </c>
      <c r="Q314" s="11">
        <v>3308.0564263322885</v>
      </c>
      <c r="R314" s="11">
        <v>6500</v>
      </c>
      <c r="S314" s="11">
        <f t="shared" si="14"/>
        <v>3191.9435736677115</v>
      </c>
    </row>
    <row r="315" spans="1:19">
      <c r="A315" s="5">
        <v>314</v>
      </c>
      <c r="B315" s="5">
        <v>2509162979</v>
      </c>
      <c r="C315" s="5" t="s">
        <v>1936</v>
      </c>
      <c r="D315" s="5" t="s">
        <v>810</v>
      </c>
      <c r="E315" s="5" t="s">
        <v>1937</v>
      </c>
      <c r="F315" s="5" t="s">
        <v>457</v>
      </c>
      <c r="G315" s="5" t="s">
        <v>52</v>
      </c>
      <c r="H315" s="5" t="s">
        <v>1908</v>
      </c>
      <c r="I315" s="5">
        <v>202501331</v>
      </c>
      <c r="J315" s="5"/>
      <c r="K315" s="6">
        <v>45916</v>
      </c>
      <c r="L315" s="6">
        <v>45919</v>
      </c>
      <c r="M315" s="5" t="s">
        <v>53</v>
      </c>
      <c r="N315" s="5" t="s">
        <v>54</v>
      </c>
      <c r="O315" s="5" t="s">
        <v>41</v>
      </c>
      <c r="P315" s="30">
        <f t="shared" si="16"/>
        <v>3</v>
      </c>
      <c r="Q315" s="41">
        <v>3308.0564263322885</v>
      </c>
      <c r="R315" s="41">
        <v>5200</v>
      </c>
      <c r="S315" s="41">
        <f t="shared" si="14"/>
        <v>1891.9435736677115</v>
      </c>
    </row>
    <row r="316" spans="1:19">
      <c r="A316" s="5">
        <v>315</v>
      </c>
      <c r="B316" s="5">
        <v>2509162990</v>
      </c>
      <c r="C316" s="5" t="s">
        <v>1938</v>
      </c>
      <c r="D316" s="5" t="s">
        <v>733</v>
      </c>
      <c r="E316" s="5" t="s">
        <v>1939</v>
      </c>
      <c r="F316" s="5" t="s">
        <v>51</v>
      </c>
      <c r="G316" s="5" t="s">
        <v>52</v>
      </c>
      <c r="H316" s="5" t="s">
        <v>1908</v>
      </c>
      <c r="I316" s="5">
        <v>202501332</v>
      </c>
      <c r="J316" s="5"/>
      <c r="K316" s="6">
        <v>45916</v>
      </c>
      <c r="L316" s="6">
        <v>45919</v>
      </c>
      <c r="M316" s="5" t="s">
        <v>53</v>
      </c>
      <c r="N316" s="5" t="s">
        <v>54</v>
      </c>
      <c r="O316" s="5" t="s">
        <v>41</v>
      </c>
      <c r="P316" s="30">
        <f t="shared" si="16"/>
        <v>3</v>
      </c>
      <c r="Q316" s="41">
        <v>3308.0564263322885</v>
      </c>
      <c r="R316" s="41">
        <v>5300</v>
      </c>
      <c r="S316" s="41">
        <f t="shared" si="14"/>
        <v>1991.9435736677115</v>
      </c>
    </row>
    <row r="317" spans="1:19">
      <c r="A317" s="5">
        <v>316</v>
      </c>
      <c r="B317" s="5">
        <v>2509162993</v>
      </c>
      <c r="C317" s="5" t="s">
        <v>1940</v>
      </c>
      <c r="D317" s="5" t="s">
        <v>309</v>
      </c>
      <c r="E317" s="5" t="s">
        <v>1597</v>
      </c>
      <c r="F317" s="5" t="s">
        <v>51</v>
      </c>
      <c r="G317" s="5" t="s">
        <v>52</v>
      </c>
      <c r="H317" s="5" t="s">
        <v>1908</v>
      </c>
      <c r="I317" s="5">
        <v>202501333</v>
      </c>
      <c r="J317" s="5"/>
      <c r="K317" s="6">
        <v>45916</v>
      </c>
      <c r="L317" s="6">
        <v>45919</v>
      </c>
      <c r="M317" s="5" t="s">
        <v>53</v>
      </c>
      <c r="N317" s="5" t="s">
        <v>54</v>
      </c>
      <c r="O317" s="5" t="s">
        <v>41</v>
      </c>
      <c r="P317" s="30">
        <f t="shared" si="16"/>
        <v>3</v>
      </c>
      <c r="Q317" s="41">
        <v>3308.0564263322885</v>
      </c>
      <c r="R317" s="41">
        <v>5500</v>
      </c>
      <c r="S317" s="41">
        <f t="shared" si="14"/>
        <v>2191.9435736677115</v>
      </c>
    </row>
    <row r="318" spans="1:19">
      <c r="A318" s="5">
        <v>317</v>
      </c>
      <c r="B318" s="5">
        <v>2509162994</v>
      </c>
      <c r="C318" s="5" t="s">
        <v>1941</v>
      </c>
      <c r="D318" s="5" t="s">
        <v>599</v>
      </c>
      <c r="E318" s="5" t="s">
        <v>1738</v>
      </c>
      <c r="F318" s="5" t="s">
        <v>169</v>
      </c>
      <c r="G318" s="5" t="s">
        <v>75</v>
      </c>
      <c r="H318" s="5" t="s">
        <v>1908</v>
      </c>
      <c r="I318" s="5">
        <v>202501334</v>
      </c>
      <c r="J318" s="5"/>
      <c r="K318" s="6">
        <v>45916</v>
      </c>
      <c r="L318" s="6">
        <v>45919</v>
      </c>
      <c r="M318" s="5" t="s">
        <v>53</v>
      </c>
      <c r="N318" s="5" t="s">
        <v>54</v>
      </c>
      <c r="O318" s="5" t="s">
        <v>41</v>
      </c>
      <c r="P318" s="30">
        <f t="shared" si="16"/>
        <v>3</v>
      </c>
      <c r="Q318" s="41">
        <v>3308.0564263322885</v>
      </c>
      <c r="R318" s="41">
        <v>5000</v>
      </c>
      <c r="S318" s="41">
        <f t="shared" si="14"/>
        <v>1691.9435736677115</v>
      </c>
    </row>
    <row r="319" spans="1:19">
      <c r="A319" s="5">
        <v>318</v>
      </c>
      <c r="B319" s="5">
        <v>2509162999</v>
      </c>
      <c r="C319" s="5" t="s">
        <v>1942</v>
      </c>
      <c r="D319" s="5" t="s">
        <v>444</v>
      </c>
      <c r="E319" s="5" t="s">
        <v>670</v>
      </c>
      <c r="F319" s="5" t="s">
        <v>109</v>
      </c>
      <c r="G319" s="5" t="s">
        <v>52</v>
      </c>
      <c r="H319" s="5" t="s">
        <v>1908</v>
      </c>
      <c r="I319" s="5">
        <v>202501335</v>
      </c>
      <c r="J319" s="5"/>
      <c r="K319" s="6">
        <v>45916</v>
      </c>
      <c r="L319" s="6">
        <v>45919</v>
      </c>
      <c r="M319" s="5" t="s">
        <v>53</v>
      </c>
      <c r="N319" s="5" t="s">
        <v>54</v>
      </c>
      <c r="O319" s="5" t="s">
        <v>41</v>
      </c>
      <c r="P319" s="30">
        <f t="shared" si="16"/>
        <v>3</v>
      </c>
      <c r="Q319" s="41">
        <v>3308.0564263322885</v>
      </c>
      <c r="R319" s="41">
        <v>5950</v>
      </c>
      <c r="S319" s="41">
        <f t="shared" si="14"/>
        <v>2641.9435736677115</v>
      </c>
    </row>
    <row r="320" spans="1:19">
      <c r="A320" s="5">
        <v>319</v>
      </c>
      <c r="B320" s="9">
        <v>2509163007</v>
      </c>
      <c r="C320" s="9" t="s">
        <v>1943</v>
      </c>
      <c r="D320" s="9" t="s">
        <v>706</v>
      </c>
      <c r="E320" s="9" t="s">
        <v>1944</v>
      </c>
      <c r="F320" s="9" t="s">
        <v>79</v>
      </c>
      <c r="G320" s="9" t="s">
        <v>52</v>
      </c>
      <c r="H320" s="9" t="s">
        <v>1908</v>
      </c>
      <c r="I320" s="9">
        <v>202501336</v>
      </c>
      <c r="J320" s="9"/>
      <c r="K320" s="10">
        <v>45916</v>
      </c>
      <c r="L320" s="10">
        <v>45919</v>
      </c>
      <c r="M320" s="9" t="s">
        <v>45</v>
      </c>
      <c r="N320" s="9" t="s">
        <v>94</v>
      </c>
      <c r="O320" s="9" t="s">
        <v>1667</v>
      </c>
      <c r="P320" s="32">
        <f t="shared" si="16"/>
        <v>3</v>
      </c>
      <c r="Q320" s="11">
        <v>3308.0564263322885</v>
      </c>
      <c r="R320" s="11">
        <v>6000</v>
      </c>
      <c r="S320" s="11">
        <f t="shared" si="14"/>
        <v>2691.9435736677115</v>
      </c>
    </row>
    <row r="321" spans="1:19">
      <c r="A321" s="5">
        <v>320</v>
      </c>
      <c r="B321" s="5" t="s">
        <v>1239</v>
      </c>
      <c r="C321" s="5"/>
      <c r="D321" s="5"/>
      <c r="E321" s="5"/>
      <c r="F321" s="5"/>
      <c r="G321" s="5" t="s">
        <v>52</v>
      </c>
      <c r="H321" s="5"/>
      <c r="I321" s="5"/>
      <c r="J321" s="5"/>
      <c r="K321" s="5"/>
      <c r="L321" s="5"/>
      <c r="M321" s="5"/>
      <c r="N321" s="5"/>
      <c r="O321" s="5"/>
      <c r="P321" s="5"/>
      <c r="Q321" s="41">
        <v>3308.0564263322885</v>
      </c>
      <c r="R321" s="41">
        <v>0</v>
      </c>
      <c r="S321" s="41">
        <f t="shared" si="14"/>
        <v>-3308.0564263322885</v>
      </c>
    </row>
    <row r="322" spans="1:19">
      <c r="A322" s="5">
        <v>321</v>
      </c>
      <c r="B322" s="5" t="s">
        <v>1240</v>
      </c>
      <c r="C322" s="5"/>
      <c r="D322" s="5"/>
      <c r="E322" s="5"/>
      <c r="F322" s="5"/>
      <c r="G322" s="5" t="s">
        <v>52</v>
      </c>
      <c r="H322" s="5"/>
      <c r="I322" s="5"/>
      <c r="J322" s="5"/>
      <c r="K322" s="5"/>
      <c r="L322" s="5"/>
      <c r="M322" s="5"/>
      <c r="N322" s="5"/>
      <c r="O322" s="5"/>
      <c r="P322" s="5"/>
      <c r="Q322" s="41">
        <v>3308.0564263322885</v>
      </c>
      <c r="R322" s="41">
        <v>0</v>
      </c>
      <c r="S322" s="41">
        <f t="shared" ref="S322:S385" si="17">R322-Q322</f>
        <v>-3308.0564263322885</v>
      </c>
    </row>
    <row r="323" spans="1:19">
      <c r="A323" s="5">
        <v>322</v>
      </c>
      <c r="B323" s="9">
        <v>2509152213</v>
      </c>
      <c r="C323" s="9" t="s">
        <v>1921</v>
      </c>
      <c r="D323" s="9" t="s">
        <v>97</v>
      </c>
      <c r="E323" s="9" t="s">
        <v>1746</v>
      </c>
      <c r="F323" s="9" t="s">
        <v>71</v>
      </c>
      <c r="G323" s="9" t="s">
        <v>52</v>
      </c>
      <c r="H323" s="9" t="s">
        <v>1945</v>
      </c>
      <c r="I323" s="9" t="s">
        <v>1946</v>
      </c>
      <c r="J323" s="9"/>
      <c r="K323" s="10">
        <v>45915</v>
      </c>
      <c r="L323" s="10">
        <v>45921</v>
      </c>
      <c r="M323" s="9" t="s">
        <v>45</v>
      </c>
      <c r="N323" s="9" t="s">
        <v>94</v>
      </c>
      <c r="O323" s="9" t="s">
        <v>1947</v>
      </c>
      <c r="P323" s="32">
        <f t="shared" ref="P323:P352" si="18">L323-K323</f>
        <v>6</v>
      </c>
      <c r="Q323" s="11">
        <v>3036.3636363636365</v>
      </c>
      <c r="R323" s="11">
        <v>0</v>
      </c>
      <c r="S323" s="11">
        <f t="shared" si="17"/>
        <v>-3036.3636363636365</v>
      </c>
    </row>
    <row r="324" spans="1:19">
      <c r="A324" s="5">
        <v>323</v>
      </c>
      <c r="B324" s="22">
        <v>2509152267</v>
      </c>
      <c r="C324" s="22" t="s">
        <v>1928</v>
      </c>
      <c r="D324" s="22" t="s">
        <v>572</v>
      </c>
      <c r="E324" s="22" t="s">
        <v>1929</v>
      </c>
      <c r="F324" s="22" t="s">
        <v>87</v>
      </c>
      <c r="G324" s="22" t="s">
        <v>52</v>
      </c>
      <c r="H324" s="22" t="s">
        <v>1945</v>
      </c>
      <c r="I324" s="22" t="s">
        <v>1948</v>
      </c>
      <c r="J324" s="22"/>
      <c r="K324" s="23">
        <v>45915</v>
      </c>
      <c r="L324" s="23">
        <v>45921</v>
      </c>
      <c r="M324" s="22" t="s">
        <v>53</v>
      </c>
      <c r="N324" s="22" t="s">
        <v>54</v>
      </c>
      <c r="O324" s="22" t="s">
        <v>41</v>
      </c>
      <c r="P324" s="34">
        <f t="shared" si="18"/>
        <v>6</v>
      </c>
      <c r="Q324" s="24">
        <v>3036.3636363636365</v>
      </c>
      <c r="R324" s="24">
        <v>0</v>
      </c>
      <c r="S324" s="24">
        <f t="shared" si="17"/>
        <v>-3036.3636363636365</v>
      </c>
    </row>
    <row r="325" spans="1:19">
      <c r="A325" s="5">
        <v>324</v>
      </c>
      <c r="B325" s="9">
        <v>2509152269</v>
      </c>
      <c r="C325" s="9" t="s">
        <v>1932</v>
      </c>
      <c r="D325" s="9" t="s">
        <v>405</v>
      </c>
      <c r="E325" s="9" t="s">
        <v>1519</v>
      </c>
      <c r="F325" s="9" t="s">
        <v>202</v>
      </c>
      <c r="G325" s="9" t="s">
        <v>52</v>
      </c>
      <c r="H325" s="9" t="s">
        <v>1945</v>
      </c>
      <c r="I325" s="9" t="s">
        <v>1949</v>
      </c>
      <c r="J325" s="9"/>
      <c r="K325" s="10">
        <v>45915</v>
      </c>
      <c r="L325" s="10">
        <v>45921</v>
      </c>
      <c r="M325" s="9" t="s">
        <v>45</v>
      </c>
      <c r="N325" s="9" t="s">
        <v>94</v>
      </c>
      <c r="O325" s="9" t="s">
        <v>1667</v>
      </c>
      <c r="P325" s="32">
        <f t="shared" si="18"/>
        <v>6</v>
      </c>
      <c r="Q325" s="11">
        <v>3036.3636363636365</v>
      </c>
      <c r="R325" s="11">
        <v>0</v>
      </c>
      <c r="S325" s="11">
        <f t="shared" si="17"/>
        <v>-3036.3636363636365</v>
      </c>
    </row>
    <row r="326" spans="1:19">
      <c r="A326" s="5">
        <v>325</v>
      </c>
      <c r="B326" s="22">
        <v>2509160027</v>
      </c>
      <c r="C326" s="22" t="s">
        <v>1935</v>
      </c>
      <c r="D326" s="22" t="s">
        <v>40</v>
      </c>
      <c r="E326" s="22" t="s">
        <v>41</v>
      </c>
      <c r="F326" s="22" t="s">
        <v>42</v>
      </c>
      <c r="G326" s="22" t="s">
        <v>75</v>
      </c>
      <c r="H326" s="22" t="s">
        <v>1945</v>
      </c>
      <c r="I326" s="22" t="s">
        <v>1950</v>
      </c>
      <c r="J326" s="22"/>
      <c r="K326" s="23">
        <v>45916</v>
      </c>
      <c r="L326" s="23">
        <v>45921</v>
      </c>
      <c r="M326" s="22" t="s">
        <v>53</v>
      </c>
      <c r="N326" s="22" t="s">
        <v>54</v>
      </c>
      <c r="O326" s="22" t="s">
        <v>41</v>
      </c>
      <c r="P326" s="34">
        <f t="shared" si="18"/>
        <v>5</v>
      </c>
      <c r="Q326" s="24">
        <v>3036.3636363636365</v>
      </c>
      <c r="R326" s="24">
        <v>0</v>
      </c>
      <c r="S326" s="24">
        <f t="shared" si="17"/>
        <v>-3036.3636363636365</v>
      </c>
    </row>
    <row r="327" spans="1:19">
      <c r="A327" s="5">
        <v>326</v>
      </c>
      <c r="B327" s="13">
        <v>2509163007</v>
      </c>
      <c r="C327" s="13" t="s">
        <v>1943</v>
      </c>
      <c r="D327" s="13" t="s">
        <v>706</v>
      </c>
      <c r="E327" s="13" t="s">
        <v>1944</v>
      </c>
      <c r="F327" s="13" t="s">
        <v>79</v>
      </c>
      <c r="G327" s="13" t="s">
        <v>52</v>
      </c>
      <c r="H327" s="13" t="s">
        <v>1945</v>
      </c>
      <c r="I327" s="13" t="s">
        <v>1951</v>
      </c>
      <c r="J327" s="13"/>
      <c r="K327" s="14">
        <v>45916</v>
      </c>
      <c r="L327" s="14">
        <v>45921</v>
      </c>
      <c r="M327" s="13" t="s">
        <v>45</v>
      </c>
      <c r="N327" s="13" t="s">
        <v>46</v>
      </c>
      <c r="O327" s="13" t="s">
        <v>1603</v>
      </c>
      <c r="P327" s="35">
        <f t="shared" si="18"/>
        <v>5</v>
      </c>
      <c r="Q327" s="15">
        <v>3036.3636363636365</v>
      </c>
      <c r="R327" s="15">
        <v>0</v>
      </c>
      <c r="S327" s="15">
        <f t="shared" si="17"/>
        <v>-3036.3636363636365</v>
      </c>
    </row>
    <row r="328" spans="1:19">
      <c r="A328" s="5">
        <v>327</v>
      </c>
      <c r="B328" s="5">
        <v>2509170104</v>
      </c>
      <c r="C328" s="5" t="s">
        <v>1952</v>
      </c>
      <c r="D328" s="5" t="s">
        <v>858</v>
      </c>
      <c r="E328" s="5" t="s">
        <v>859</v>
      </c>
      <c r="F328" s="5" t="s">
        <v>169</v>
      </c>
      <c r="G328" s="5" t="s">
        <v>43</v>
      </c>
      <c r="H328" s="5" t="s">
        <v>1945</v>
      </c>
      <c r="I328" s="5">
        <v>202501337</v>
      </c>
      <c r="J328" s="5"/>
      <c r="K328" s="6">
        <v>45917</v>
      </c>
      <c r="L328" s="6">
        <v>45921</v>
      </c>
      <c r="M328" s="5" t="s">
        <v>53</v>
      </c>
      <c r="N328" s="5" t="s">
        <v>54</v>
      </c>
      <c r="O328" s="5" t="s">
        <v>41</v>
      </c>
      <c r="P328" s="30">
        <f t="shared" si="18"/>
        <v>4</v>
      </c>
      <c r="Q328" s="41">
        <v>3036.3636363636365</v>
      </c>
      <c r="R328" s="41">
        <v>11000</v>
      </c>
      <c r="S328" s="41">
        <f t="shared" si="17"/>
        <v>7963.636363636364</v>
      </c>
    </row>
    <row r="329" spans="1:19">
      <c r="A329" s="5">
        <v>328</v>
      </c>
      <c r="B329" s="5">
        <v>2509172807</v>
      </c>
      <c r="C329" s="5" t="s">
        <v>1953</v>
      </c>
      <c r="D329" s="5" t="s">
        <v>64</v>
      </c>
      <c r="E329" s="5" t="s">
        <v>1498</v>
      </c>
      <c r="F329" s="5" t="s">
        <v>66</v>
      </c>
      <c r="G329" s="5" t="s">
        <v>52</v>
      </c>
      <c r="H329" s="5" t="s">
        <v>1945</v>
      </c>
      <c r="I329" s="5">
        <v>202501338</v>
      </c>
      <c r="J329" s="5"/>
      <c r="K329" s="6">
        <v>45917</v>
      </c>
      <c r="L329" s="6">
        <v>45921</v>
      </c>
      <c r="M329" s="5" t="s">
        <v>53</v>
      </c>
      <c r="N329" s="5" t="s">
        <v>54</v>
      </c>
      <c r="O329" s="5" t="s">
        <v>41</v>
      </c>
      <c r="P329" s="30">
        <f t="shared" si="18"/>
        <v>4</v>
      </c>
      <c r="Q329" s="41">
        <v>3036.3636363636365</v>
      </c>
      <c r="R329" s="41">
        <v>5500</v>
      </c>
      <c r="S329" s="41">
        <f t="shared" si="17"/>
        <v>2463.6363636363635</v>
      </c>
    </row>
    <row r="330" spans="1:19">
      <c r="A330" s="5">
        <v>329</v>
      </c>
      <c r="B330" s="5">
        <v>2509172810</v>
      </c>
      <c r="C330" s="5" t="s">
        <v>1954</v>
      </c>
      <c r="D330" s="5" t="s">
        <v>64</v>
      </c>
      <c r="E330" s="5" t="s">
        <v>1498</v>
      </c>
      <c r="F330" s="5" t="s">
        <v>66</v>
      </c>
      <c r="G330" s="5" t="s">
        <v>52</v>
      </c>
      <c r="H330" s="5" t="s">
        <v>1945</v>
      </c>
      <c r="I330" s="5">
        <v>202501339</v>
      </c>
      <c r="J330" s="5"/>
      <c r="K330" s="6">
        <v>45917</v>
      </c>
      <c r="L330" s="6">
        <v>45921</v>
      </c>
      <c r="M330" s="5" t="s">
        <v>53</v>
      </c>
      <c r="N330" s="5" t="s">
        <v>54</v>
      </c>
      <c r="O330" s="5" t="s">
        <v>41</v>
      </c>
      <c r="P330" s="30">
        <f t="shared" si="18"/>
        <v>4</v>
      </c>
      <c r="Q330" s="41">
        <v>3036.3636363636365</v>
      </c>
      <c r="R330" s="41">
        <v>5500</v>
      </c>
      <c r="S330" s="41">
        <f t="shared" si="17"/>
        <v>2463.6363636363635</v>
      </c>
    </row>
    <row r="331" spans="1:19">
      <c r="A331" s="5">
        <v>330</v>
      </c>
      <c r="B331" s="5">
        <v>2509172817</v>
      </c>
      <c r="C331" s="5" t="s">
        <v>1955</v>
      </c>
      <c r="D331" s="5" t="s">
        <v>666</v>
      </c>
      <c r="E331" s="5" t="s">
        <v>1956</v>
      </c>
      <c r="F331" s="5" t="s">
        <v>87</v>
      </c>
      <c r="G331" s="5" t="s">
        <v>52</v>
      </c>
      <c r="H331" s="5" t="s">
        <v>1945</v>
      </c>
      <c r="I331" s="5">
        <v>202501340</v>
      </c>
      <c r="J331" s="5"/>
      <c r="K331" s="6">
        <v>45917</v>
      </c>
      <c r="L331" s="6">
        <v>45921</v>
      </c>
      <c r="M331" s="5" t="s">
        <v>53</v>
      </c>
      <c r="N331" s="5" t="s">
        <v>54</v>
      </c>
      <c r="O331" s="5" t="s">
        <v>41</v>
      </c>
      <c r="P331" s="30">
        <f t="shared" si="18"/>
        <v>4</v>
      </c>
      <c r="Q331" s="41">
        <v>3036.3636363636365</v>
      </c>
      <c r="R331" s="41">
        <v>5500</v>
      </c>
      <c r="S331" s="41">
        <f t="shared" si="17"/>
        <v>2463.6363636363635</v>
      </c>
    </row>
    <row r="332" spans="1:19">
      <c r="A332" s="5">
        <v>331</v>
      </c>
      <c r="B332" s="9">
        <v>2509172819</v>
      </c>
      <c r="C332" s="9" t="s">
        <v>1957</v>
      </c>
      <c r="D332" s="9" t="s">
        <v>1662</v>
      </c>
      <c r="E332" s="9" t="s">
        <v>1318</v>
      </c>
      <c r="F332" s="9" t="s">
        <v>58</v>
      </c>
      <c r="G332" s="9" t="s">
        <v>52</v>
      </c>
      <c r="H332" s="9" t="s">
        <v>1945</v>
      </c>
      <c r="I332" s="9">
        <v>202501341</v>
      </c>
      <c r="J332" s="9"/>
      <c r="K332" s="10">
        <v>45917</v>
      </c>
      <c r="L332" s="10">
        <v>45921</v>
      </c>
      <c r="M332" s="9" t="s">
        <v>45</v>
      </c>
      <c r="N332" s="9" t="s">
        <v>94</v>
      </c>
      <c r="O332" s="9" t="s">
        <v>1667</v>
      </c>
      <c r="P332" s="32">
        <f t="shared" si="18"/>
        <v>4</v>
      </c>
      <c r="Q332" s="11">
        <v>3036.3636363636365</v>
      </c>
      <c r="R332" s="11">
        <v>5500</v>
      </c>
      <c r="S332" s="11">
        <f t="shared" si="17"/>
        <v>2463.6363636363635</v>
      </c>
    </row>
    <row r="333" spans="1:19">
      <c r="A333" s="5">
        <v>332</v>
      </c>
      <c r="B333" s="5">
        <v>2509172822</v>
      </c>
      <c r="C333" s="5" t="s">
        <v>1958</v>
      </c>
      <c r="D333" s="5" t="s">
        <v>1662</v>
      </c>
      <c r="E333" s="5" t="s">
        <v>1318</v>
      </c>
      <c r="F333" s="5" t="s">
        <v>58</v>
      </c>
      <c r="G333" s="5" t="s">
        <v>52</v>
      </c>
      <c r="H333" s="5" t="s">
        <v>1945</v>
      </c>
      <c r="I333" s="5">
        <v>202501342</v>
      </c>
      <c r="J333" s="5"/>
      <c r="K333" s="6">
        <v>45917</v>
      </c>
      <c r="L333" s="6">
        <v>45921</v>
      </c>
      <c r="M333" s="5" t="s">
        <v>53</v>
      </c>
      <c r="N333" s="5" t="s">
        <v>54</v>
      </c>
      <c r="O333" s="5" t="s">
        <v>41</v>
      </c>
      <c r="P333" s="30">
        <f t="shared" si="18"/>
        <v>4</v>
      </c>
      <c r="Q333" s="41">
        <v>3036.3636363636365</v>
      </c>
      <c r="R333" s="41">
        <v>5500</v>
      </c>
      <c r="S333" s="41">
        <f t="shared" si="17"/>
        <v>2463.6363636363635</v>
      </c>
    </row>
    <row r="334" spans="1:19">
      <c r="A334" s="5">
        <v>333</v>
      </c>
      <c r="B334" s="5">
        <v>2509172825</v>
      </c>
      <c r="C334" s="5" t="s">
        <v>1959</v>
      </c>
      <c r="D334" s="5" t="s">
        <v>1662</v>
      </c>
      <c r="E334" s="5" t="s">
        <v>1318</v>
      </c>
      <c r="F334" s="5" t="s">
        <v>58</v>
      </c>
      <c r="G334" s="5" t="s">
        <v>52</v>
      </c>
      <c r="H334" s="5" t="s">
        <v>1945</v>
      </c>
      <c r="I334" s="5">
        <v>202501343</v>
      </c>
      <c r="J334" s="5"/>
      <c r="K334" s="6">
        <v>45917</v>
      </c>
      <c r="L334" s="6">
        <v>45921</v>
      </c>
      <c r="M334" s="5" t="s">
        <v>53</v>
      </c>
      <c r="N334" s="5" t="s">
        <v>54</v>
      </c>
      <c r="O334" s="5" t="s">
        <v>41</v>
      </c>
      <c r="P334" s="30">
        <f t="shared" si="18"/>
        <v>4</v>
      </c>
      <c r="Q334" s="41">
        <v>3036.3636363636365</v>
      </c>
      <c r="R334" s="41">
        <v>5500</v>
      </c>
      <c r="S334" s="41">
        <f t="shared" si="17"/>
        <v>2463.6363636363635</v>
      </c>
    </row>
    <row r="335" spans="1:19">
      <c r="A335" s="5">
        <v>334</v>
      </c>
      <c r="B335" s="5">
        <v>2509172828</v>
      </c>
      <c r="C335" s="5" t="s">
        <v>1960</v>
      </c>
      <c r="D335" s="5" t="s">
        <v>309</v>
      </c>
      <c r="E335" s="5" t="s">
        <v>310</v>
      </c>
      <c r="F335" s="5" t="s">
        <v>51</v>
      </c>
      <c r="G335" s="5" t="s">
        <v>52</v>
      </c>
      <c r="H335" s="5" t="s">
        <v>1945</v>
      </c>
      <c r="I335" s="5">
        <v>202501344</v>
      </c>
      <c r="J335" s="5"/>
      <c r="K335" s="6">
        <v>45917</v>
      </c>
      <c r="L335" s="6">
        <v>45921</v>
      </c>
      <c r="M335" s="5" t="s">
        <v>53</v>
      </c>
      <c r="N335" s="5" t="s">
        <v>54</v>
      </c>
      <c r="O335" s="5" t="s">
        <v>41</v>
      </c>
      <c r="P335" s="30">
        <f t="shared" si="18"/>
        <v>4</v>
      </c>
      <c r="Q335" s="41">
        <v>3036.3636363636365</v>
      </c>
      <c r="R335" s="41">
        <v>5500</v>
      </c>
      <c r="S335" s="41">
        <f t="shared" si="17"/>
        <v>2463.6363636363635</v>
      </c>
    </row>
    <row r="336" spans="1:19">
      <c r="A336" s="5">
        <v>335</v>
      </c>
      <c r="B336" s="5">
        <v>2509172831</v>
      </c>
      <c r="C336" s="5" t="s">
        <v>1961</v>
      </c>
      <c r="D336" s="5" t="s">
        <v>309</v>
      </c>
      <c r="E336" s="5" t="s">
        <v>310</v>
      </c>
      <c r="F336" s="5" t="s">
        <v>51</v>
      </c>
      <c r="G336" s="5" t="s">
        <v>52</v>
      </c>
      <c r="H336" s="5" t="s">
        <v>1945</v>
      </c>
      <c r="I336" s="5">
        <v>202501345</v>
      </c>
      <c r="J336" s="5"/>
      <c r="K336" s="6">
        <v>45917</v>
      </c>
      <c r="L336" s="6">
        <v>45921</v>
      </c>
      <c r="M336" s="5" t="s">
        <v>53</v>
      </c>
      <c r="N336" s="5" t="s">
        <v>54</v>
      </c>
      <c r="O336" s="5" t="s">
        <v>41</v>
      </c>
      <c r="P336" s="30">
        <f t="shared" si="18"/>
        <v>4</v>
      </c>
      <c r="Q336" s="41">
        <v>3036.3636363636365</v>
      </c>
      <c r="R336" s="41">
        <v>5500</v>
      </c>
      <c r="S336" s="41">
        <f t="shared" si="17"/>
        <v>2463.6363636363635</v>
      </c>
    </row>
    <row r="337" spans="1:19">
      <c r="A337" s="5">
        <v>336</v>
      </c>
      <c r="B337" s="9">
        <v>2509172832</v>
      </c>
      <c r="C337" s="9" t="s">
        <v>1962</v>
      </c>
      <c r="D337" s="9" t="s">
        <v>309</v>
      </c>
      <c r="E337" s="9" t="s">
        <v>310</v>
      </c>
      <c r="F337" s="9" t="s">
        <v>51</v>
      </c>
      <c r="G337" s="9" t="s">
        <v>52</v>
      </c>
      <c r="H337" s="9" t="s">
        <v>1945</v>
      </c>
      <c r="I337" s="9">
        <v>202501346</v>
      </c>
      <c r="J337" s="9"/>
      <c r="K337" s="10">
        <v>45917</v>
      </c>
      <c r="L337" s="10">
        <v>45921</v>
      </c>
      <c r="M337" s="9" t="s">
        <v>53</v>
      </c>
      <c r="N337" s="9" t="s">
        <v>94</v>
      </c>
      <c r="O337" s="9" t="s">
        <v>1698</v>
      </c>
      <c r="P337" s="32">
        <f t="shared" si="18"/>
        <v>4</v>
      </c>
      <c r="Q337" s="11">
        <v>3036.3636363636365</v>
      </c>
      <c r="R337" s="11">
        <v>5500</v>
      </c>
      <c r="S337" s="11">
        <f t="shared" si="17"/>
        <v>2463.6363636363635</v>
      </c>
    </row>
    <row r="338" spans="1:19">
      <c r="A338" s="5">
        <v>337</v>
      </c>
      <c r="B338" s="5">
        <v>2509172834</v>
      </c>
      <c r="C338" s="5" t="s">
        <v>1963</v>
      </c>
      <c r="D338" s="5" t="s">
        <v>309</v>
      </c>
      <c r="E338" s="5" t="s">
        <v>310</v>
      </c>
      <c r="F338" s="5" t="s">
        <v>51</v>
      </c>
      <c r="G338" s="5" t="s">
        <v>52</v>
      </c>
      <c r="H338" s="5" t="s">
        <v>1945</v>
      </c>
      <c r="I338" s="5">
        <v>202501347</v>
      </c>
      <c r="J338" s="5"/>
      <c r="K338" s="6">
        <v>45917</v>
      </c>
      <c r="L338" s="6">
        <v>45921</v>
      </c>
      <c r="M338" s="5" t="s">
        <v>53</v>
      </c>
      <c r="N338" s="5" t="s">
        <v>54</v>
      </c>
      <c r="O338" s="5" t="s">
        <v>41</v>
      </c>
      <c r="P338" s="30">
        <f t="shared" si="18"/>
        <v>4</v>
      </c>
      <c r="Q338" s="41">
        <v>3036.3636363636365</v>
      </c>
      <c r="R338" s="41">
        <v>5500</v>
      </c>
      <c r="S338" s="41">
        <f t="shared" si="17"/>
        <v>2463.6363636363635</v>
      </c>
    </row>
    <row r="339" spans="1:19">
      <c r="A339" s="5">
        <v>338</v>
      </c>
      <c r="B339" s="5">
        <v>2509172836</v>
      </c>
      <c r="C339" s="5" t="s">
        <v>1964</v>
      </c>
      <c r="D339" s="5" t="s">
        <v>405</v>
      </c>
      <c r="E339" s="5" t="s">
        <v>873</v>
      </c>
      <c r="F339" s="5" t="s">
        <v>202</v>
      </c>
      <c r="G339" s="5" t="s">
        <v>52</v>
      </c>
      <c r="H339" s="5" t="s">
        <v>1945</v>
      </c>
      <c r="I339" s="5">
        <v>202501348</v>
      </c>
      <c r="J339" s="5"/>
      <c r="K339" s="6">
        <v>45917</v>
      </c>
      <c r="L339" s="6">
        <v>45921</v>
      </c>
      <c r="M339" s="5" t="s">
        <v>53</v>
      </c>
      <c r="N339" s="5" t="s">
        <v>54</v>
      </c>
      <c r="O339" s="5" t="s">
        <v>41</v>
      </c>
      <c r="P339" s="30">
        <f t="shared" si="18"/>
        <v>4</v>
      </c>
      <c r="Q339" s="41">
        <v>3036.3636363636365</v>
      </c>
      <c r="R339" s="41">
        <v>6450</v>
      </c>
      <c r="S339" s="41">
        <f t="shared" si="17"/>
        <v>3413.6363636363635</v>
      </c>
    </row>
    <row r="340" spans="1:19">
      <c r="A340" s="5">
        <v>339</v>
      </c>
      <c r="B340" s="5">
        <v>2509172837</v>
      </c>
      <c r="C340" s="5" t="s">
        <v>1965</v>
      </c>
      <c r="D340" s="5" t="s">
        <v>49</v>
      </c>
      <c r="E340" s="5" t="s">
        <v>50</v>
      </c>
      <c r="F340" s="5" t="s">
        <v>51</v>
      </c>
      <c r="G340" s="5" t="s">
        <v>75</v>
      </c>
      <c r="H340" s="5" t="s">
        <v>1945</v>
      </c>
      <c r="I340" s="5">
        <v>202501349</v>
      </c>
      <c r="J340" s="5"/>
      <c r="K340" s="6">
        <v>45917</v>
      </c>
      <c r="L340" s="6">
        <v>45921</v>
      </c>
      <c r="M340" s="5" t="s">
        <v>53</v>
      </c>
      <c r="N340" s="5" t="s">
        <v>54</v>
      </c>
      <c r="O340" s="5" t="s">
        <v>41</v>
      </c>
      <c r="P340" s="30">
        <f t="shared" si="18"/>
        <v>4</v>
      </c>
      <c r="Q340" s="41">
        <v>3036.3636363636365</v>
      </c>
      <c r="R340" s="41">
        <v>4500</v>
      </c>
      <c r="S340" s="41">
        <f t="shared" si="17"/>
        <v>1463.6363636363635</v>
      </c>
    </row>
    <row r="341" spans="1:19">
      <c r="A341" s="5">
        <v>340</v>
      </c>
      <c r="B341" s="5">
        <v>2509172838</v>
      </c>
      <c r="C341" s="5" t="s">
        <v>1966</v>
      </c>
      <c r="D341" s="5" t="s">
        <v>528</v>
      </c>
      <c r="E341" s="5" t="s">
        <v>1967</v>
      </c>
      <c r="F341" s="5" t="s">
        <v>202</v>
      </c>
      <c r="G341" s="5" t="s">
        <v>52</v>
      </c>
      <c r="H341" s="5" t="s">
        <v>1945</v>
      </c>
      <c r="I341" s="5">
        <v>202501350</v>
      </c>
      <c r="J341" s="5"/>
      <c r="K341" s="6">
        <v>45917</v>
      </c>
      <c r="L341" s="6">
        <v>45921</v>
      </c>
      <c r="M341" s="5" t="s">
        <v>53</v>
      </c>
      <c r="N341" s="5" t="s">
        <v>54</v>
      </c>
      <c r="O341" s="5" t="s">
        <v>41</v>
      </c>
      <c r="P341" s="30">
        <f t="shared" si="18"/>
        <v>4</v>
      </c>
      <c r="Q341" s="41">
        <v>3036.3636363636365</v>
      </c>
      <c r="R341" s="41">
        <v>7500</v>
      </c>
      <c r="S341" s="41">
        <f t="shared" si="17"/>
        <v>4463.636363636364</v>
      </c>
    </row>
    <row r="342" spans="1:19">
      <c r="A342" s="5">
        <v>341</v>
      </c>
      <c r="B342" s="5">
        <v>2509172841</v>
      </c>
      <c r="C342" s="5" t="s">
        <v>1968</v>
      </c>
      <c r="D342" s="5" t="s">
        <v>1168</v>
      </c>
      <c r="E342" s="5" t="s">
        <v>1169</v>
      </c>
      <c r="F342" s="5" t="s">
        <v>109</v>
      </c>
      <c r="G342" s="5" t="s">
        <v>52</v>
      </c>
      <c r="H342" s="5" t="s">
        <v>1945</v>
      </c>
      <c r="I342" s="5">
        <v>202501351</v>
      </c>
      <c r="J342" s="5"/>
      <c r="K342" s="6">
        <v>45917</v>
      </c>
      <c r="L342" s="6">
        <v>45921</v>
      </c>
      <c r="M342" s="5" t="s">
        <v>53</v>
      </c>
      <c r="N342" s="5" t="s">
        <v>54</v>
      </c>
      <c r="O342" s="5" t="s">
        <v>41</v>
      </c>
      <c r="P342" s="30">
        <f t="shared" si="18"/>
        <v>4</v>
      </c>
      <c r="Q342" s="41">
        <v>3036.3636363636365</v>
      </c>
      <c r="R342" s="41">
        <v>6000</v>
      </c>
      <c r="S342" s="41">
        <f t="shared" si="17"/>
        <v>2963.6363636363635</v>
      </c>
    </row>
    <row r="343" spans="1:19">
      <c r="A343" s="5">
        <v>342</v>
      </c>
      <c r="B343" s="5">
        <v>2509172845</v>
      </c>
      <c r="C343" s="5" t="s">
        <v>1969</v>
      </c>
      <c r="D343" s="5" t="s">
        <v>1130</v>
      </c>
      <c r="E343" s="5" t="s">
        <v>1970</v>
      </c>
      <c r="F343" s="5" t="s">
        <v>141</v>
      </c>
      <c r="G343" s="5" t="s">
        <v>43</v>
      </c>
      <c r="H343" s="5" t="s">
        <v>1945</v>
      </c>
      <c r="I343" s="5">
        <v>202501352</v>
      </c>
      <c r="J343" s="5"/>
      <c r="K343" s="6">
        <v>45917</v>
      </c>
      <c r="L343" s="6">
        <v>45921</v>
      </c>
      <c r="M343" s="5" t="s">
        <v>53</v>
      </c>
      <c r="N343" s="5" t="s">
        <v>54</v>
      </c>
      <c r="O343" s="5" t="s">
        <v>41</v>
      </c>
      <c r="P343" s="30">
        <f t="shared" si="18"/>
        <v>4</v>
      </c>
      <c r="Q343" s="41">
        <v>3036.3636363636365</v>
      </c>
      <c r="R343" s="41">
        <v>11000</v>
      </c>
      <c r="S343" s="41">
        <f t="shared" si="17"/>
        <v>7963.636363636364</v>
      </c>
    </row>
    <row r="344" spans="1:19">
      <c r="A344" s="5">
        <v>343</v>
      </c>
      <c r="B344" s="5">
        <v>2509172849</v>
      </c>
      <c r="C344" s="5" t="s">
        <v>1971</v>
      </c>
      <c r="D344" s="5" t="s">
        <v>440</v>
      </c>
      <c r="E344" s="5" t="s">
        <v>1850</v>
      </c>
      <c r="F344" s="5" t="s">
        <v>169</v>
      </c>
      <c r="G344" s="5" t="s">
        <v>52</v>
      </c>
      <c r="H344" s="5" t="s">
        <v>1945</v>
      </c>
      <c r="I344" s="5">
        <v>202501353</v>
      </c>
      <c r="J344" s="5"/>
      <c r="K344" s="6">
        <v>45917</v>
      </c>
      <c r="L344" s="6">
        <v>45921</v>
      </c>
      <c r="M344" s="5" t="s">
        <v>53</v>
      </c>
      <c r="N344" s="5" t="s">
        <v>54</v>
      </c>
      <c r="O344" s="5" t="s">
        <v>41</v>
      </c>
      <c r="P344" s="30">
        <f t="shared" si="18"/>
        <v>4</v>
      </c>
      <c r="Q344" s="41">
        <v>3036.3636363636365</v>
      </c>
      <c r="R344" s="41">
        <v>5500</v>
      </c>
      <c r="S344" s="41">
        <f t="shared" si="17"/>
        <v>2463.6363636363635</v>
      </c>
    </row>
    <row r="345" spans="1:19">
      <c r="A345" s="5">
        <v>344</v>
      </c>
      <c r="B345" s="5">
        <v>2509172852</v>
      </c>
      <c r="C345" s="5" t="s">
        <v>1972</v>
      </c>
      <c r="D345" s="5" t="s">
        <v>444</v>
      </c>
      <c r="E345" s="5" t="s">
        <v>1835</v>
      </c>
      <c r="F345" s="5" t="s">
        <v>109</v>
      </c>
      <c r="G345" s="5" t="s">
        <v>52</v>
      </c>
      <c r="H345" s="5" t="s">
        <v>1945</v>
      </c>
      <c r="I345" s="5">
        <v>202501354</v>
      </c>
      <c r="J345" s="5"/>
      <c r="K345" s="6">
        <v>45917</v>
      </c>
      <c r="L345" s="6">
        <v>45921</v>
      </c>
      <c r="M345" s="5" t="s">
        <v>53</v>
      </c>
      <c r="N345" s="5" t="s">
        <v>54</v>
      </c>
      <c r="O345" s="5" t="s">
        <v>41</v>
      </c>
      <c r="P345" s="30">
        <f t="shared" si="18"/>
        <v>4</v>
      </c>
      <c r="Q345" s="41">
        <v>3036.3636363636365</v>
      </c>
      <c r="R345" s="41">
        <v>5950</v>
      </c>
      <c r="S345" s="41">
        <f t="shared" si="17"/>
        <v>2913.6363636363635</v>
      </c>
    </row>
    <row r="346" spans="1:19">
      <c r="A346" s="5">
        <v>345</v>
      </c>
      <c r="B346" s="5">
        <v>2509172856</v>
      </c>
      <c r="C346" s="5" t="s">
        <v>1973</v>
      </c>
      <c r="D346" s="5" t="s">
        <v>1974</v>
      </c>
      <c r="E346" s="5" t="s">
        <v>1975</v>
      </c>
      <c r="F346" s="5" t="s">
        <v>169</v>
      </c>
      <c r="G346" s="5" t="s">
        <v>52</v>
      </c>
      <c r="H346" s="5" t="s">
        <v>1945</v>
      </c>
      <c r="I346" s="5">
        <v>202501355</v>
      </c>
      <c r="J346" s="5"/>
      <c r="K346" s="6">
        <v>45917</v>
      </c>
      <c r="L346" s="6">
        <v>45921</v>
      </c>
      <c r="M346" s="5" t="s">
        <v>53</v>
      </c>
      <c r="N346" s="5" t="s">
        <v>54</v>
      </c>
      <c r="O346" s="5" t="s">
        <v>41</v>
      </c>
      <c r="P346" s="30">
        <f t="shared" si="18"/>
        <v>4</v>
      </c>
      <c r="Q346" s="41">
        <v>3036.3636363636365</v>
      </c>
      <c r="R346" s="41">
        <v>6000</v>
      </c>
      <c r="S346" s="41">
        <f t="shared" si="17"/>
        <v>2963.6363636363635</v>
      </c>
    </row>
    <row r="347" spans="1:19">
      <c r="A347" s="5">
        <v>346</v>
      </c>
      <c r="B347" s="5">
        <v>2509182738</v>
      </c>
      <c r="C347" s="5" t="s">
        <v>1976</v>
      </c>
      <c r="D347" s="5" t="s">
        <v>296</v>
      </c>
      <c r="E347" s="5" t="s">
        <v>1977</v>
      </c>
      <c r="F347" s="5" t="s">
        <v>79</v>
      </c>
      <c r="G347" s="5" t="s">
        <v>43</v>
      </c>
      <c r="H347" s="5" t="s">
        <v>1945</v>
      </c>
      <c r="I347" s="5">
        <v>202501356</v>
      </c>
      <c r="J347" s="5"/>
      <c r="K347" s="6">
        <v>45918</v>
      </c>
      <c r="L347" s="6">
        <v>45921</v>
      </c>
      <c r="M347" s="5" t="s">
        <v>53</v>
      </c>
      <c r="N347" s="5" t="s">
        <v>54</v>
      </c>
      <c r="O347" s="5" t="s">
        <v>41</v>
      </c>
      <c r="P347" s="30">
        <f t="shared" si="18"/>
        <v>3</v>
      </c>
      <c r="Q347" s="41">
        <v>3036.3636363636365</v>
      </c>
      <c r="R347" s="41">
        <v>14500</v>
      </c>
      <c r="S347" s="41">
        <f t="shared" si="17"/>
        <v>11463.636363636364</v>
      </c>
    </row>
    <row r="348" spans="1:19">
      <c r="A348" s="5">
        <v>347</v>
      </c>
      <c r="B348" s="9">
        <v>2509182746</v>
      </c>
      <c r="C348" s="9" t="s">
        <v>1978</v>
      </c>
      <c r="D348" s="9" t="s">
        <v>136</v>
      </c>
      <c r="E348" s="9" t="s">
        <v>1979</v>
      </c>
      <c r="F348" s="9" t="s">
        <v>87</v>
      </c>
      <c r="G348" s="9" t="s">
        <v>52</v>
      </c>
      <c r="H348" s="9" t="s">
        <v>1945</v>
      </c>
      <c r="I348" s="9">
        <v>202501357</v>
      </c>
      <c r="J348" s="9"/>
      <c r="K348" s="10">
        <v>45918</v>
      </c>
      <c r="L348" s="10">
        <v>45921</v>
      </c>
      <c r="M348" s="9" t="s">
        <v>45</v>
      </c>
      <c r="N348" s="9" t="s">
        <v>94</v>
      </c>
      <c r="O348" s="9" t="s">
        <v>1667</v>
      </c>
      <c r="P348" s="32">
        <f t="shared" si="18"/>
        <v>3</v>
      </c>
      <c r="Q348" s="11">
        <v>3036.3636363636365</v>
      </c>
      <c r="R348" s="11">
        <v>6000</v>
      </c>
      <c r="S348" s="11">
        <f t="shared" si="17"/>
        <v>2963.6363636363635</v>
      </c>
    </row>
    <row r="349" spans="1:19">
      <c r="A349" s="5">
        <v>348</v>
      </c>
      <c r="B349" s="5">
        <v>2509182750</v>
      </c>
      <c r="C349" s="5" t="s">
        <v>1980</v>
      </c>
      <c r="D349" s="5" t="s">
        <v>676</v>
      </c>
      <c r="E349" s="5" t="s">
        <v>41</v>
      </c>
      <c r="F349" s="5" t="s">
        <v>678</v>
      </c>
      <c r="G349" s="5" t="s">
        <v>52</v>
      </c>
      <c r="H349" s="5" t="s">
        <v>1945</v>
      </c>
      <c r="I349" s="5">
        <v>202501358</v>
      </c>
      <c r="J349" s="5"/>
      <c r="K349" s="6">
        <v>45918</v>
      </c>
      <c r="L349" s="6">
        <v>45921</v>
      </c>
      <c r="M349" s="5" t="s">
        <v>53</v>
      </c>
      <c r="N349" s="5" t="s">
        <v>54</v>
      </c>
      <c r="O349" s="5" t="s">
        <v>41</v>
      </c>
      <c r="P349" s="30">
        <f t="shared" si="18"/>
        <v>3</v>
      </c>
      <c r="Q349" s="41">
        <v>3036.3636363636365</v>
      </c>
      <c r="R349" s="41">
        <v>7500</v>
      </c>
      <c r="S349" s="41">
        <f t="shared" si="17"/>
        <v>4463.636363636364</v>
      </c>
    </row>
    <row r="350" spans="1:19">
      <c r="A350" s="5">
        <v>349</v>
      </c>
      <c r="B350" s="5">
        <v>2509182754</v>
      </c>
      <c r="C350" s="5" t="s">
        <v>1981</v>
      </c>
      <c r="D350" s="5" t="s">
        <v>77</v>
      </c>
      <c r="E350" s="5" t="s">
        <v>1874</v>
      </c>
      <c r="F350" s="5" t="s">
        <v>79</v>
      </c>
      <c r="G350" s="5" t="s">
        <v>52</v>
      </c>
      <c r="H350" s="5" t="s">
        <v>1945</v>
      </c>
      <c r="I350" s="5">
        <v>202501359</v>
      </c>
      <c r="J350" s="5"/>
      <c r="K350" s="6">
        <v>45918</v>
      </c>
      <c r="L350" s="6">
        <v>45921</v>
      </c>
      <c r="M350" s="5" t="s">
        <v>53</v>
      </c>
      <c r="N350" s="5" t="s">
        <v>54</v>
      </c>
      <c r="O350" s="5" t="s">
        <v>41</v>
      </c>
      <c r="P350" s="30">
        <f t="shared" si="18"/>
        <v>3</v>
      </c>
      <c r="Q350" s="41">
        <v>3036.3636363636365</v>
      </c>
      <c r="R350" s="41">
        <v>5500</v>
      </c>
      <c r="S350" s="41">
        <f t="shared" si="17"/>
        <v>2463.6363636363635</v>
      </c>
    </row>
    <row r="351" spans="1:19">
      <c r="A351" s="5">
        <v>350</v>
      </c>
      <c r="B351" s="9">
        <v>2509182762</v>
      </c>
      <c r="C351" s="9" t="s">
        <v>1982</v>
      </c>
      <c r="D351" s="9" t="s">
        <v>1168</v>
      </c>
      <c r="E351" s="9" t="s">
        <v>1983</v>
      </c>
      <c r="F351" s="9" t="s">
        <v>109</v>
      </c>
      <c r="G351" s="9" t="s">
        <v>52</v>
      </c>
      <c r="H351" s="9" t="s">
        <v>1945</v>
      </c>
      <c r="I351" s="9">
        <v>202501360</v>
      </c>
      <c r="J351" s="9"/>
      <c r="K351" s="10">
        <v>45918</v>
      </c>
      <c r="L351" s="10">
        <v>45921</v>
      </c>
      <c r="M351" s="9" t="s">
        <v>53</v>
      </c>
      <c r="N351" s="9" t="s">
        <v>94</v>
      </c>
      <c r="O351" s="9" t="s">
        <v>1698</v>
      </c>
      <c r="P351" s="32">
        <f t="shared" si="18"/>
        <v>3</v>
      </c>
      <c r="Q351" s="11">
        <v>3036.3636363636365</v>
      </c>
      <c r="R351" s="11">
        <v>6000</v>
      </c>
      <c r="S351" s="11">
        <f t="shared" si="17"/>
        <v>2963.6363636363635</v>
      </c>
    </row>
    <row r="352" spans="1:19">
      <c r="A352" s="5">
        <v>351</v>
      </c>
      <c r="B352" s="5">
        <v>2509182768</v>
      </c>
      <c r="C352" s="5" t="s">
        <v>1984</v>
      </c>
      <c r="D352" s="5" t="s">
        <v>345</v>
      </c>
      <c r="E352" s="5" t="s">
        <v>1985</v>
      </c>
      <c r="F352" s="5" t="s">
        <v>66</v>
      </c>
      <c r="G352" s="5" t="s">
        <v>75</v>
      </c>
      <c r="H352" s="5" t="s">
        <v>1945</v>
      </c>
      <c r="I352" s="5">
        <v>202501361</v>
      </c>
      <c r="J352" s="5"/>
      <c r="K352" s="6">
        <v>45918</v>
      </c>
      <c r="L352" s="6">
        <v>45921</v>
      </c>
      <c r="M352" s="5" t="s">
        <v>53</v>
      </c>
      <c r="N352" s="5" t="s">
        <v>54</v>
      </c>
      <c r="O352" s="5" t="s">
        <v>41</v>
      </c>
      <c r="P352" s="30">
        <f t="shared" si="18"/>
        <v>3</v>
      </c>
      <c r="Q352" s="41">
        <v>3036.3636363636365</v>
      </c>
      <c r="R352" s="41">
        <v>2500</v>
      </c>
      <c r="S352" s="41">
        <f t="shared" si="17"/>
        <v>-536.36363636363649</v>
      </c>
    </row>
    <row r="353" spans="1:19">
      <c r="A353" s="5">
        <v>352</v>
      </c>
      <c r="B353" s="5" t="s">
        <v>1239</v>
      </c>
      <c r="C353" s="5"/>
      <c r="D353" s="5"/>
      <c r="E353" s="5"/>
      <c r="F353" s="5"/>
      <c r="G353" s="5" t="s">
        <v>52</v>
      </c>
      <c r="H353" s="5"/>
      <c r="I353" s="5"/>
      <c r="J353" s="5"/>
      <c r="K353" s="5"/>
      <c r="L353" s="5"/>
      <c r="M353" s="5"/>
      <c r="N353" s="5"/>
      <c r="O353" s="5"/>
      <c r="P353" s="5"/>
      <c r="Q353" s="41">
        <v>3036.3636363636365</v>
      </c>
      <c r="R353" s="41">
        <v>0</v>
      </c>
      <c r="S353" s="41">
        <f t="shared" si="17"/>
        <v>-3036.3636363636365</v>
      </c>
    </row>
    <row r="354" spans="1:19">
      <c r="A354" s="5">
        <v>353</v>
      </c>
      <c r="B354" s="5" t="s">
        <v>1240</v>
      </c>
      <c r="C354" s="5"/>
      <c r="D354" s="5"/>
      <c r="E354" s="5"/>
      <c r="F354" s="5"/>
      <c r="G354" s="5" t="s">
        <v>52</v>
      </c>
      <c r="H354" s="5"/>
      <c r="I354" s="5"/>
      <c r="J354" s="5"/>
      <c r="K354" s="5"/>
      <c r="L354" s="5"/>
      <c r="M354" s="5"/>
      <c r="N354" s="5"/>
      <c r="O354" s="5"/>
      <c r="P354" s="5"/>
      <c r="Q354" s="41">
        <v>3036.3636363636365</v>
      </c>
      <c r="R354" s="41">
        <v>0</v>
      </c>
      <c r="S354" s="41">
        <f t="shared" si="17"/>
        <v>-3036.3636363636365</v>
      </c>
    </row>
    <row r="355" spans="1:19">
      <c r="A355" s="5">
        <v>354</v>
      </c>
      <c r="B355" s="26">
        <v>2509141189</v>
      </c>
      <c r="C355" s="26" t="s">
        <v>1906</v>
      </c>
      <c r="D355" s="26" t="s">
        <v>139</v>
      </c>
      <c r="E355" s="26" t="s">
        <v>140</v>
      </c>
      <c r="F355" s="26" t="s">
        <v>141</v>
      </c>
      <c r="G355" s="26" t="s">
        <v>52</v>
      </c>
      <c r="H355" s="26" t="s">
        <v>1986</v>
      </c>
      <c r="I355" s="26" t="s">
        <v>1987</v>
      </c>
      <c r="J355" s="26"/>
      <c r="K355" s="27">
        <v>45921</v>
      </c>
      <c r="L355" s="27">
        <v>45925</v>
      </c>
      <c r="M355" s="26" t="s">
        <v>45</v>
      </c>
      <c r="N355" s="26" t="s">
        <v>163</v>
      </c>
      <c r="O355" s="26" t="s">
        <v>1603</v>
      </c>
      <c r="P355" s="33">
        <f t="shared" ref="P355:P383" si="19">L355-K355</f>
        <v>4</v>
      </c>
      <c r="Q355" s="28">
        <v>3121.0850439882697</v>
      </c>
      <c r="R355" s="28">
        <v>0</v>
      </c>
      <c r="S355" s="28">
        <f t="shared" si="17"/>
        <v>-3121.0850439882697</v>
      </c>
    </row>
    <row r="356" spans="1:19">
      <c r="A356" s="5">
        <v>355</v>
      </c>
      <c r="B356" s="22">
        <v>2509152213</v>
      </c>
      <c r="C356" s="22" t="s">
        <v>1921</v>
      </c>
      <c r="D356" s="22" t="s">
        <v>97</v>
      </c>
      <c r="E356" s="22" t="s">
        <v>1746</v>
      </c>
      <c r="F356" s="22" t="s">
        <v>71</v>
      </c>
      <c r="G356" s="22" t="s">
        <v>52</v>
      </c>
      <c r="H356" s="22" t="s">
        <v>1986</v>
      </c>
      <c r="I356" s="22" t="s">
        <v>1988</v>
      </c>
      <c r="J356" s="22"/>
      <c r="K356" s="23">
        <v>45915</v>
      </c>
      <c r="L356" s="23">
        <v>45925</v>
      </c>
      <c r="M356" s="22" t="s">
        <v>53</v>
      </c>
      <c r="N356" s="22" t="s">
        <v>54</v>
      </c>
      <c r="O356" s="22" t="s">
        <v>41</v>
      </c>
      <c r="P356" s="34">
        <f t="shared" si="19"/>
        <v>10</v>
      </c>
      <c r="Q356" s="24">
        <v>3121.0850439882697</v>
      </c>
      <c r="R356" s="24">
        <v>0</v>
      </c>
      <c r="S356" s="24">
        <f t="shared" si="17"/>
        <v>-3121.0850439882697</v>
      </c>
    </row>
    <row r="357" spans="1:19">
      <c r="A357" s="5">
        <v>356</v>
      </c>
      <c r="B357" s="22">
        <v>2509152269</v>
      </c>
      <c r="C357" s="22" t="s">
        <v>1932</v>
      </c>
      <c r="D357" s="22" t="s">
        <v>405</v>
      </c>
      <c r="E357" s="22" t="s">
        <v>1519</v>
      </c>
      <c r="F357" s="22" t="s">
        <v>202</v>
      </c>
      <c r="G357" s="22" t="s">
        <v>52</v>
      </c>
      <c r="H357" s="22" t="s">
        <v>1986</v>
      </c>
      <c r="I357" s="22" t="s">
        <v>1989</v>
      </c>
      <c r="J357" s="22"/>
      <c r="K357" s="23">
        <v>45915</v>
      </c>
      <c r="L357" s="23">
        <v>45925</v>
      </c>
      <c r="M357" s="22" t="s">
        <v>53</v>
      </c>
      <c r="N357" s="22" t="s">
        <v>54</v>
      </c>
      <c r="O357" s="22" t="s">
        <v>41</v>
      </c>
      <c r="P357" s="34">
        <f t="shared" si="19"/>
        <v>10</v>
      </c>
      <c r="Q357" s="24">
        <v>3121.0850439882697</v>
      </c>
      <c r="R357" s="24">
        <v>0</v>
      </c>
      <c r="S357" s="24">
        <f t="shared" si="17"/>
        <v>-3121.0850439882697</v>
      </c>
    </row>
    <row r="358" spans="1:19">
      <c r="A358" s="5">
        <v>357</v>
      </c>
      <c r="B358" s="13">
        <v>2509172819</v>
      </c>
      <c r="C358" s="13" t="s">
        <v>1957</v>
      </c>
      <c r="D358" s="13" t="s">
        <v>1662</v>
      </c>
      <c r="E358" s="13" t="s">
        <v>1318</v>
      </c>
      <c r="F358" s="13" t="s">
        <v>58</v>
      </c>
      <c r="G358" s="13" t="s">
        <v>52</v>
      </c>
      <c r="H358" s="13" t="s">
        <v>1986</v>
      </c>
      <c r="I358" s="13" t="s">
        <v>1990</v>
      </c>
      <c r="J358" s="13"/>
      <c r="K358" s="14">
        <v>45917</v>
      </c>
      <c r="L358" s="14">
        <v>45925</v>
      </c>
      <c r="M358" s="13" t="s">
        <v>45</v>
      </c>
      <c r="N358" s="13" t="s">
        <v>46</v>
      </c>
      <c r="O358" s="13" t="s">
        <v>1667</v>
      </c>
      <c r="P358" s="35">
        <f t="shared" si="19"/>
        <v>8</v>
      </c>
      <c r="Q358" s="15">
        <v>3121.0850439882697</v>
      </c>
      <c r="R358" s="15">
        <v>0</v>
      </c>
      <c r="S358" s="15">
        <f t="shared" si="17"/>
        <v>-3121.0850439882697</v>
      </c>
    </row>
    <row r="359" spans="1:19">
      <c r="A359" s="5">
        <v>358</v>
      </c>
      <c r="B359" s="22">
        <v>2509172832</v>
      </c>
      <c r="C359" s="22" t="s">
        <v>1962</v>
      </c>
      <c r="D359" s="22" t="s">
        <v>309</v>
      </c>
      <c r="E359" s="22" t="s">
        <v>310</v>
      </c>
      <c r="F359" s="22" t="s">
        <v>51</v>
      </c>
      <c r="G359" s="22" t="s">
        <v>52</v>
      </c>
      <c r="H359" s="22" t="s">
        <v>1986</v>
      </c>
      <c r="I359" s="22" t="s">
        <v>1991</v>
      </c>
      <c r="J359" s="22"/>
      <c r="K359" s="23">
        <v>45917</v>
      </c>
      <c r="L359" s="23">
        <v>45925</v>
      </c>
      <c r="M359" s="22" t="s">
        <v>53</v>
      </c>
      <c r="N359" s="22" t="s">
        <v>54</v>
      </c>
      <c r="O359" s="22" t="s">
        <v>41</v>
      </c>
      <c r="P359" s="34">
        <f t="shared" si="19"/>
        <v>8</v>
      </c>
      <c r="Q359" s="24">
        <v>3121.0850439882697</v>
      </c>
      <c r="R359" s="24">
        <v>0</v>
      </c>
      <c r="S359" s="24">
        <f t="shared" si="17"/>
        <v>-3121.0850439882697</v>
      </c>
    </row>
    <row r="360" spans="1:19">
      <c r="A360" s="5">
        <v>359</v>
      </c>
      <c r="B360" s="13">
        <v>2509182746</v>
      </c>
      <c r="C360" s="13" t="s">
        <v>1978</v>
      </c>
      <c r="D360" s="13" t="s">
        <v>136</v>
      </c>
      <c r="E360" s="13" t="s">
        <v>1979</v>
      </c>
      <c r="F360" s="13" t="s">
        <v>87</v>
      </c>
      <c r="G360" s="13" t="s">
        <v>52</v>
      </c>
      <c r="H360" s="13" t="s">
        <v>1986</v>
      </c>
      <c r="I360" s="13" t="s">
        <v>1992</v>
      </c>
      <c r="J360" s="13"/>
      <c r="K360" s="14">
        <v>45918</v>
      </c>
      <c r="L360" s="14">
        <v>45925</v>
      </c>
      <c r="M360" s="13" t="s">
        <v>45</v>
      </c>
      <c r="N360" s="13" t="s">
        <v>46</v>
      </c>
      <c r="O360" s="13" t="s">
        <v>1667</v>
      </c>
      <c r="P360" s="35">
        <f t="shared" si="19"/>
        <v>7</v>
      </c>
      <c r="Q360" s="15">
        <v>3121.0850439882697</v>
      </c>
      <c r="R360" s="15">
        <v>0</v>
      </c>
      <c r="S360" s="15">
        <f t="shared" si="17"/>
        <v>-3121.0850439882697</v>
      </c>
    </row>
    <row r="361" spans="1:19">
      <c r="A361" s="5">
        <v>360</v>
      </c>
      <c r="B361" s="22">
        <v>2509182762</v>
      </c>
      <c r="C361" s="22" t="s">
        <v>1982</v>
      </c>
      <c r="D361" s="22" t="s">
        <v>1168</v>
      </c>
      <c r="E361" s="22" t="s">
        <v>1983</v>
      </c>
      <c r="F361" s="22" t="s">
        <v>109</v>
      </c>
      <c r="G361" s="22" t="s">
        <v>52</v>
      </c>
      <c r="H361" s="22" t="s">
        <v>1986</v>
      </c>
      <c r="I361" s="22" t="s">
        <v>1993</v>
      </c>
      <c r="J361" s="22"/>
      <c r="K361" s="23">
        <v>45918</v>
      </c>
      <c r="L361" s="23">
        <v>45925</v>
      </c>
      <c r="M361" s="22" t="s">
        <v>53</v>
      </c>
      <c r="N361" s="22" t="s">
        <v>54</v>
      </c>
      <c r="O361" s="22" t="s">
        <v>41</v>
      </c>
      <c r="P361" s="34">
        <f t="shared" si="19"/>
        <v>7</v>
      </c>
      <c r="Q361" s="24">
        <v>3121.0850439882697</v>
      </c>
      <c r="R361" s="24">
        <v>0</v>
      </c>
      <c r="S361" s="24">
        <f t="shared" si="17"/>
        <v>-3121.0850439882697</v>
      </c>
    </row>
    <row r="362" spans="1:19">
      <c r="A362" s="5">
        <v>361</v>
      </c>
      <c r="B362" s="5">
        <v>2509182774</v>
      </c>
      <c r="C362" s="5" t="s">
        <v>1994</v>
      </c>
      <c r="D362" s="5" t="s">
        <v>321</v>
      </c>
      <c r="E362" s="5" t="s">
        <v>1740</v>
      </c>
      <c r="F362" s="5" t="s">
        <v>202</v>
      </c>
      <c r="G362" s="5" t="s">
        <v>75</v>
      </c>
      <c r="H362" s="5" t="s">
        <v>1986</v>
      </c>
      <c r="I362" s="5">
        <v>202501362</v>
      </c>
      <c r="J362" s="5"/>
      <c r="K362" s="6">
        <v>45918</v>
      </c>
      <c r="L362" s="6">
        <v>45925</v>
      </c>
      <c r="M362" s="5" t="s">
        <v>53</v>
      </c>
      <c r="N362" s="5" t="s">
        <v>54</v>
      </c>
      <c r="O362" s="5" t="s">
        <v>41</v>
      </c>
      <c r="P362" s="30">
        <f t="shared" si="19"/>
        <v>7</v>
      </c>
      <c r="Q362" s="41">
        <v>3121.0850439882697</v>
      </c>
      <c r="R362" s="41">
        <v>4900</v>
      </c>
      <c r="S362" s="41">
        <f t="shared" si="17"/>
        <v>1778.9149560117303</v>
      </c>
    </row>
    <row r="363" spans="1:19">
      <c r="A363" s="5">
        <v>362</v>
      </c>
      <c r="B363" s="5">
        <v>2509182784</v>
      </c>
      <c r="C363" s="5" t="s">
        <v>1995</v>
      </c>
      <c r="D363" s="5" t="s">
        <v>440</v>
      </c>
      <c r="E363" s="5" t="s">
        <v>1850</v>
      </c>
      <c r="F363" s="5" t="s">
        <v>169</v>
      </c>
      <c r="G363" s="5" t="s">
        <v>52</v>
      </c>
      <c r="H363" s="5" t="s">
        <v>1986</v>
      </c>
      <c r="I363" s="5">
        <v>202501363</v>
      </c>
      <c r="J363" s="5"/>
      <c r="K363" s="6">
        <v>45918</v>
      </c>
      <c r="L363" s="6">
        <v>45925</v>
      </c>
      <c r="M363" s="5" t="s">
        <v>53</v>
      </c>
      <c r="N363" s="5" t="s">
        <v>54</v>
      </c>
      <c r="O363" s="5" t="s">
        <v>41</v>
      </c>
      <c r="P363" s="30">
        <f t="shared" si="19"/>
        <v>7</v>
      </c>
      <c r="Q363" s="41">
        <v>3121.0850439882697</v>
      </c>
      <c r="R363" s="41">
        <v>5500</v>
      </c>
      <c r="S363" s="41">
        <f t="shared" si="17"/>
        <v>2378.9149560117303</v>
      </c>
    </row>
    <row r="364" spans="1:19">
      <c r="A364" s="5">
        <v>363</v>
      </c>
      <c r="B364" s="5">
        <v>2509182801</v>
      </c>
      <c r="C364" s="5" t="s">
        <v>1996</v>
      </c>
      <c r="D364" s="5" t="s">
        <v>474</v>
      </c>
      <c r="E364" s="5" t="s">
        <v>475</v>
      </c>
      <c r="F364" s="5" t="s">
        <v>169</v>
      </c>
      <c r="G364" s="5" t="s">
        <v>75</v>
      </c>
      <c r="H364" s="5" t="s">
        <v>1986</v>
      </c>
      <c r="I364" s="5">
        <v>202501364</v>
      </c>
      <c r="J364" s="5"/>
      <c r="K364" s="6">
        <v>45918</v>
      </c>
      <c r="L364" s="6">
        <v>45925</v>
      </c>
      <c r="M364" s="5" t="s">
        <v>53</v>
      </c>
      <c r="N364" s="5" t="s">
        <v>54</v>
      </c>
      <c r="O364" s="5" t="s">
        <v>41</v>
      </c>
      <c r="P364" s="30">
        <f t="shared" si="19"/>
        <v>7</v>
      </c>
      <c r="Q364" s="41">
        <v>3121.0850439882697</v>
      </c>
      <c r="R364" s="41">
        <v>4500</v>
      </c>
      <c r="S364" s="41">
        <f t="shared" si="17"/>
        <v>1378.9149560117303</v>
      </c>
    </row>
    <row r="365" spans="1:19">
      <c r="A365" s="5">
        <v>364</v>
      </c>
      <c r="B365" s="5">
        <v>2509192733</v>
      </c>
      <c r="C365" s="5" t="s">
        <v>1997</v>
      </c>
      <c r="D365" s="5" t="s">
        <v>64</v>
      </c>
      <c r="E365" s="5" t="s">
        <v>1498</v>
      </c>
      <c r="F365" s="5" t="s">
        <v>66</v>
      </c>
      <c r="G365" s="5" t="s">
        <v>52</v>
      </c>
      <c r="H365" s="5" t="s">
        <v>1986</v>
      </c>
      <c r="I365" s="5">
        <v>202501365</v>
      </c>
      <c r="J365" s="5"/>
      <c r="K365" s="6">
        <v>45919</v>
      </c>
      <c r="L365" s="6">
        <v>45925</v>
      </c>
      <c r="M365" s="5" t="s">
        <v>53</v>
      </c>
      <c r="N365" s="5" t="s">
        <v>54</v>
      </c>
      <c r="O365" s="5" t="s">
        <v>41</v>
      </c>
      <c r="P365" s="30">
        <f t="shared" si="19"/>
        <v>6</v>
      </c>
      <c r="Q365" s="41">
        <v>3121.0850439882697</v>
      </c>
      <c r="R365" s="41">
        <v>5500</v>
      </c>
      <c r="S365" s="41">
        <f t="shared" si="17"/>
        <v>2378.9149560117303</v>
      </c>
    </row>
    <row r="366" spans="1:19">
      <c r="A366" s="5">
        <v>365</v>
      </c>
      <c r="B366" s="5">
        <v>2509192742</v>
      </c>
      <c r="C366" s="5" t="s">
        <v>1998</v>
      </c>
      <c r="D366" s="5" t="s">
        <v>1662</v>
      </c>
      <c r="E366" s="5" t="s">
        <v>1318</v>
      </c>
      <c r="F366" s="5" t="s">
        <v>58</v>
      </c>
      <c r="G366" s="5" t="s">
        <v>52</v>
      </c>
      <c r="H366" s="5" t="s">
        <v>1986</v>
      </c>
      <c r="I366" s="5">
        <v>202501366</v>
      </c>
      <c r="J366" s="5"/>
      <c r="K366" s="6">
        <v>45919</v>
      </c>
      <c r="L366" s="6">
        <v>45925</v>
      </c>
      <c r="M366" s="5" t="s">
        <v>53</v>
      </c>
      <c r="N366" s="5" t="s">
        <v>54</v>
      </c>
      <c r="O366" s="5" t="s">
        <v>41</v>
      </c>
      <c r="P366" s="30">
        <f t="shared" si="19"/>
        <v>6</v>
      </c>
      <c r="Q366" s="41">
        <v>3121.0850439882697</v>
      </c>
      <c r="R366" s="41">
        <v>5500</v>
      </c>
      <c r="S366" s="41">
        <f t="shared" si="17"/>
        <v>2378.9149560117303</v>
      </c>
    </row>
    <row r="367" spans="1:19">
      <c r="A367" s="5">
        <v>366</v>
      </c>
      <c r="B367" s="5">
        <v>2509190618</v>
      </c>
      <c r="C367" s="5" t="s">
        <v>1999</v>
      </c>
      <c r="D367" s="5" t="s">
        <v>40</v>
      </c>
      <c r="E367" s="5" t="s">
        <v>41</v>
      </c>
      <c r="F367" s="5" t="s">
        <v>42</v>
      </c>
      <c r="G367" s="5" t="s">
        <v>43</v>
      </c>
      <c r="H367" s="5" t="s">
        <v>1986</v>
      </c>
      <c r="I367" s="5">
        <v>202501367</v>
      </c>
      <c r="J367" s="5"/>
      <c r="K367" s="6">
        <v>45919</v>
      </c>
      <c r="L367" s="6">
        <v>45925</v>
      </c>
      <c r="M367" s="5" t="s">
        <v>53</v>
      </c>
      <c r="N367" s="5" t="s">
        <v>54</v>
      </c>
      <c r="O367" s="5" t="s">
        <v>41</v>
      </c>
      <c r="P367" s="30">
        <f t="shared" si="19"/>
        <v>6</v>
      </c>
      <c r="Q367" s="41">
        <v>3121.0850439882697</v>
      </c>
      <c r="R367" s="41">
        <v>14500</v>
      </c>
      <c r="S367" s="41">
        <f t="shared" si="17"/>
        <v>11378.914956011729</v>
      </c>
    </row>
    <row r="368" spans="1:19">
      <c r="A368" s="5">
        <v>367</v>
      </c>
      <c r="B368" s="5">
        <v>2509192751</v>
      </c>
      <c r="C368" s="5" t="s">
        <v>2000</v>
      </c>
      <c r="D368" s="5" t="s">
        <v>321</v>
      </c>
      <c r="E368" s="5" t="s">
        <v>2001</v>
      </c>
      <c r="F368" s="5" t="s">
        <v>202</v>
      </c>
      <c r="G368" s="5" t="s">
        <v>52</v>
      </c>
      <c r="H368" s="5" t="s">
        <v>1986</v>
      </c>
      <c r="I368" s="5">
        <v>202501368</v>
      </c>
      <c r="J368" s="5"/>
      <c r="K368" s="6">
        <v>45919</v>
      </c>
      <c r="L368" s="6">
        <v>45925</v>
      </c>
      <c r="M368" s="5" t="s">
        <v>53</v>
      </c>
      <c r="N368" s="5" t="s">
        <v>54</v>
      </c>
      <c r="O368" s="5" t="s">
        <v>41</v>
      </c>
      <c r="P368" s="30">
        <f t="shared" si="19"/>
        <v>6</v>
      </c>
      <c r="Q368" s="41">
        <v>3121.0850439882697</v>
      </c>
      <c r="R368" s="41">
        <v>7500</v>
      </c>
      <c r="S368" s="41">
        <f t="shared" si="17"/>
        <v>4378.9149560117303</v>
      </c>
    </row>
    <row r="369" spans="1:19">
      <c r="A369" s="5">
        <v>368</v>
      </c>
      <c r="B369" s="5">
        <v>2509192757</v>
      </c>
      <c r="C369" s="5" t="s">
        <v>2002</v>
      </c>
      <c r="D369" s="5" t="s">
        <v>564</v>
      </c>
      <c r="E369" s="5" t="s">
        <v>589</v>
      </c>
      <c r="F369" s="5" t="s">
        <v>71</v>
      </c>
      <c r="G369" s="5" t="s">
        <v>75</v>
      </c>
      <c r="H369" s="5" t="s">
        <v>1986</v>
      </c>
      <c r="I369" s="5">
        <v>202501369</v>
      </c>
      <c r="J369" s="5"/>
      <c r="K369" s="6">
        <v>45919</v>
      </c>
      <c r="L369" s="6">
        <v>45925</v>
      </c>
      <c r="M369" s="5" t="s">
        <v>53</v>
      </c>
      <c r="N369" s="5" t="s">
        <v>54</v>
      </c>
      <c r="O369" s="5" t="s">
        <v>41</v>
      </c>
      <c r="P369" s="30">
        <f t="shared" si="19"/>
        <v>6</v>
      </c>
      <c r="Q369" s="41">
        <v>3121.0850439882697</v>
      </c>
      <c r="R369" s="41">
        <v>6500</v>
      </c>
      <c r="S369" s="41">
        <f t="shared" si="17"/>
        <v>3378.9149560117303</v>
      </c>
    </row>
    <row r="370" spans="1:19">
      <c r="A370" s="5">
        <v>369</v>
      </c>
      <c r="B370" s="5">
        <v>2509192761</v>
      </c>
      <c r="C370" s="5" t="s">
        <v>2003</v>
      </c>
      <c r="D370" s="5" t="s">
        <v>474</v>
      </c>
      <c r="E370" s="5" t="s">
        <v>475</v>
      </c>
      <c r="F370" s="5" t="s">
        <v>169</v>
      </c>
      <c r="G370" s="5" t="s">
        <v>75</v>
      </c>
      <c r="H370" s="5" t="s">
        <v>1986</v>
      </c>
      <c r="I370" s="5">
        <v>202501370</v>
      </c>
      <c r="J370" s="5"/>
      <c r="K370" s="6">
        <v>45919</v>
      </c>
      <c r="L370" s="6">
        <v>45925</v>
      </c>
      <c r="M370" s="5" t="s">
        <v>53</v>
      </c>
      <c r="N370" s="5" t="s">
        <v>54</v>
      </c>
      <c r="O370" s="5" t="s">
        <v>41</v>
      </c>
      <c r="P370" s="30">
        <f t="shared" si="19"/>
        <v>6</v>
      </c>
      <c r="Q370" s="41">
        <v>3121.0850439882697</v>
      </c>
      <c r="R370" s="41">
        <v>4500</v>
      </c>
      <c r="S370" s="41">
        <f t="shared" si="17"/>
        <v>1378.9149560117303</v>
      </c>
    </row>
    <row r="371" spans="1:19">
      <c r="A371" s="5">
        <v>370</v>
      </c>
      <c r="B371" s="5">
        <v>2509192767</v>
      </c>
      <c r="C371" s="5" t="s">
        <v>2004</v>
      </c>
      <c r="D371" s="5" t="s">
        <v>440</v>
      </c>
      <c r="E371" s="5" t="s">
        <v>1850</v>
      </c>
      <c r="F371" s="5" t="s">
        <v>169</v>
      </c>
      <c r="G371" s="5" t="s">
        <v>52</v>
      </c>
      <c r="H371" s="5" t="s">
        <v>1986</v>
      </c>
      <c r="I371" s="5">
        <v>202501371</v>
      </c>
      <c r="J371" s="5"/>
      <c r="K371" s="6">
        <v>45919</v>
      </c>
      <c r="L371" s="6">
        <v>45925</v>
      </c>
      <c r="M371" s="5" t="s">
        <v>53</v>
      </c>
      <c r="N371" s="5" t="s">
        <v>54</v>
      </c>
      <c r="O371" s="5" t="s">
        <v>41</v>
      </c>
      <c r="P371" s="30">
        <f t="shared" si="19"/>
        <v>6</v>
      </c>
      <c r="Q371" s="41">
        <v>3121.0850439882697</v>
      </c>
      <c r="R371" s="41">
        <v>5500</v>
      </c>
      <c r="S371" s="41">
        <f t="shared" si="17"/>
        <v>2378.9149560117303</v>
      </c>
    </row>
    <row r="372" spans="1:19">
      <c r="A372" s="5">
        <v>371</v>
      </c>
      <c r="B372" s="5">
        <v>2509201897</v>
      </c>
      <c r="C372" s="5" t="s">
        <v>2005</v>
      </c>
      <c r="D372" s="5" t="s">
        <v>810</v>
      </c>
      <c r="E372" s="5" t="s">
        <v>2006</v>
      </c>
      <c r="F372" s="5" t="s">
        <v>457</v>
      </c>
      <c r="G372" s="5" t="s">
        <v>52</v>
      </c>
      <c r="H372" s="5" t="s">
        <v>1986</v>
      </c>
      <c r="I372" s="5">
        <v>202501373</v>
      </c>
      <c r="J372" s="5"/>
      <c r="K372" s="6">
        <v>45920</v>
      </c>
      <c r="L372" s="6">
        <v>45925</v>
      </c>
      <c r="M372" s="5" t="s">
        <v>53</v>
      </c>
      <c r="N372" s="5" t="s">
        <v>54</v>
      </c>
      <c r="O372" s="5" t="s">
        <v>41</v>
      </c>
      <c r="P372" s="30">
        <f t="shared" si="19"/>
        <v>5</v>
      </c>
      <c r="Q372" s="41">
        <v>3121.0850439882697</v>
      </c>
      <c r="R372" s="41">
        <v>5200</v>
      </c>
      <c r="S372" s="41">
        <f t="shared" si="17"/>
        <v>2078.9149560117303</v>
      </c>
    </row>
    <row r="373" spans="1:19">
      <c r="A373" s="5">
        <v>372</v>
      </c>
      <c r="B373" s="5">
        <v>2509201991</v>
      </c>
      <c r="C373" s="5" t="s">
        <v>2007</v>
      </c>
      <c r="D373" s="5" t="s">
        <v>345</v>
      </c>
      <c r="E373" s="5" t="s">
        <v>1985</v>
      </c>
      <c r="F373" s="5" t="s">
        <v>66</v>
      </c>
      <c r="G373" s="5" t="s">
        <v>75</v>
      </c>
      <c r="H373" s="5" t="s">
        <v>1986</v>
      </c>
      <c r="I373" s="5">
        <v>202501374</v>
      </c>
      <c r="J373" s="5"/>
      <c r="K373" s="6">
        <v>45920</v>
      </c>
      <c r="L373" s="6">
        <v>45925</v>
      </c>
      <c r="M373" s="5" t="s">
        <v>53</v>
      </c>
      <c r="N373" s="5" t="s">
        <v>54</v>
      </c>
      <c r="O373" s="5" t="s">
        <v>41</v>
      </c>
      <c r="P373" s="30">
        <f t="shared" si="19"/>
        <v>5</v>
      </c>
      <c r="Q373" s="41">
        <v>3121.0850439882697</v>
      </c>
      <c r="R373" s="41">
        <v>2500</v>
      </c>
      <c r="S373" s="41">
        <f t="shared" si="17"/>
        <v>-621.08504398826972</v>
      </c>
    </row>
    <row r="374" spans="1:19">
      <c r="A374" s="5">
        <v>373</v>
      </c>
      <c r="B374" s="5">
        <v>2509210467</v>
      </c>
      <c r="C374" s="5" t="s">
        <v>2008</v>
      </c>
      <c r="D374" s="5" t="s">
        <v>1662</v>
      </c>
      <c r="E374" s="5" t="s">
        <v>2009</v>
      </c>
      <c r="F374" s="5" t="s">
        <v>58</v>
      </c>
      <c r="G374" s="5" t="s">
        <v>52</v>
      </c>
      <c r="H374" s="5" t="s">
        <v>1986</v>
      </c>
      <c r="I374" s="5">
        <v>202501375</v>
      </c>
      <c r="J374" s="5"/>
      <c r="K374" s="6">
        <v>45921</v>
      </c>
      <c r="L374" s="6">
        <v>45925</v>
      </c>
      <c r="M374" s="5" t="s">
        <v>53</v>
      </c>
      <c r="N374" s="5" t="s">
        <v>54</v>
      </c>
      <c r="O374" s="5" t="s">
        <v>41</v>
      </c>
      <c r="P374" s="30">
        <f t="shared" si="19"/>
        <v>4</v>
      </c>
      <c r="Q374" s="41">
        <v>3121.0850439882697</v>
      </c>
      <c r="R374" s="41">
        <v>5500</v>
      </c>
      <c r="S374" s="41">
        <f t="shared" si="17"/>
        <v>2378.9149560117303</v>
      </c>
    </row>
    <row r="375" spans="1:19">
      <c r="A375" s="5">
        <v>374</v>
      </c>
      <c r="B375" s="5">
        <v>2509210487</v>
      </c>
      <c r="C375" s="5" t="s">
        <v>2010</v>
      </c>
      <c r="D375" s="5" t="s">
        <v>511</v>
      </c>
      <c r="E375" s="5" t="s">
        <v>2011</v>
      </c>
      <c r="F375" s="5" t="s">
        <v>79</v>
      </c>
      <c r="G375" s="5" t="s">
        <v>52</v>
      </c>
      <c r="H375" s="5" t="s">
        <v>1986</v>
      </c>
      <c r="I375" s="5">
        <v>202501376</v>
      </c>
      <c r="J375" s="5"/>
      <c r="K375" s="6">
        <v>45921</v>
      </c>
      <c r="L375" s="6">
        <v>45925</v>
      </c>
      <c r="M375" s="5" t="s">
        <v>53</v>
      </c>
      <c r="N375" s="5" t="s">
        <v>54</v>
      </c>
      <c r="O375" s="5" t="s">
        <v>41</v>
      </c>
      <c r="P375" s="30">
        <f t="shared" si="19"/>
        <v>4</v>
      </c>
      <c r="Q375" s="41">
        <v>3121.0850439882697</v>
      </c>
      <c r="R375" s="41">
        <v>5500</v>
      </c>
      <c r="S375" s="41">
        <f t="shared" si="17"/>
        <v>2378.9149560117303</v>
      </c>
    </row>
    <row r="376" spans="1:19">
      <c r="A376" s="5">
        <v>375</v>
      </c>
      <c r="B376" s="5">
        <v>2509210507</v>
      </c>
      <c r="C376" s="5" t="s">
        <v>2012</v>
      </c>
      <c r="D376" s="5" t="s">
        <v>821</v>
      </c>
      <c r="E376" s="5" t="s">
        <v>2013</v>
      </c>
      <c r="F376" s="5" t="s">
        <v>678</v>
      </c>
      <c r="G376" s="5" t="s">
        <v>75</v>
      </c>
      <c r="H376" s="5" t="s">
        <v>1986</v>
      </c>
      <c r="I376" s="5">
        <v>202501377</v>
      </c>
      <c r="J376" s="5"/>
      <c r="K376" s="6">
        <v>45921</v>
      </c>
      <c r="L376" s="6">
        <v>45925</v>
      </c>
      <c r="M376" s="5" t="s">
        <v>53</v>
      </c>
      <c r="N376" s="5" t="s">
        <v>54</v>
      </c>
      <c r="O376" s="5" t="s">
        <v>41</v>
      </c>
      <c r="P376" s="30">
        <f t="shared" si="19"/>
        <v>4</v>
      </c>
      <c r="Q376" s="41">
        <v>3121.0850439882697</v>
      </c>
      <c r="R376" s="41">
        <v>4900</v>
      </c>
      <c r="S376" s="41">
        <f t="shared" si="17"/>
        <v>1778.9149560117303</v>
      </c>
    </row>
    <row r="377" spans="1:19">
      <c r="A377" s="5">
        <v>376</v>
      </c>
      <c r="B377" s="5">
        <v>2509210467</v>
      </c>
      <c r="C377" s="5" t="s">
        <v>2014</v>
      </c>
      <c r="D377" s="5" t="s">
        <v>40</v>
      </c>
      <c r="E377" s="5" t="s">
        <v>41</v>
      </c>
      <c r="F377" s="5" t="s">
        <v>42</v>
      </c>
      <c r="G377" s="5" t="s">
        <v>43</v>
      </c>
      <c r="H377" s="5" t="s">
        <v>1986</v>
      </c>
      <c r="I377" s="5">
        <v>202501378</v>
      </c>
      <c r="J377" s="5"/>
      <c r="K377" s="6">
        <v>45921</v>
      </c>
      <c r="L377" s="6">
        <v>45925</v>
      </c>
      <c r="M377" s="5" t="s">
        <v>53</v>
      </c>
      <c r="N377" s="5" t="s">
        <v>54</v>
      </c>
      <c r="O377" s="5" t="s">
        <v>41</v>
      </c>
      <c r="P377" s="30">
        <f t="shared" si="19"/>
        <v>4</v>
      </c>
      <c r="Q377" s="41">
        <v>3121.0850439882697</v>
      </c>
      <c r="R377" s="41">
        <v>11600</v>
      </c>
      <c r="S377" s="41">
        <f t="shared" si="17"/>
        <v>8478.9149560117294</v>
      </c>
    </row>
    <row r="378" spans="1:19">
      <c r="A378" s="5">
        <v>377</v>
      </c>
      <c r="B378" s="5">
        <v>2509210519</v>
      </c>
      <c r="C378" s="5" t="s">
        <v>2015</v>
      </c>
      <c r="D378" s="5" t="s">
        <v>405</v>
      </c>
      <c r="E378" s="5" t="s">
        <v>2016</v>
      </c>
      <c r="F378" s="5" t="s">
        <v>202</v>
      </c>
      <c r="G378" s="5" t="s">
        <v>52</v>
      </c>
      <c r="H378" s="5" t="s">
        <v>1986</v>
      </c>
      <c r="I378" s="5">
        <v>202501379</v>
      </c>
      <c r="J378" s="5"/>
      <c r="K378" s="6">
        <v>45921</v>
      </c>
      <c r="L378" s="6">
        <v>45925</v>
      </c>
      <c r="M378" s="5" t="s">
        <v>53</v>
      </c>
      <c r="N378" s="5" t="s">
        <v>54</v>
      </c>
      <c r="O378" s="5" t="s">
        <v>41</v>
      </c>
      <c r="P378" s="30">
        <f t="shared" si="19"/>
        <v>4</v>
      </c>
      <c r="Q378" s="41">
        <v>3121.0850439882697</v>
      </c>
      <c r="R378" s="41">
        <v>6450</v>
      </c>
      <c r="S378" s="41">
        <f t="shared" si="17"/>
        <v>3328.9149560117303</v>
      </c>
    </row>
    <row r="379" spans="1:19">
      <c r="A379" s="5">
        <v>378</v>
      </c>
      <c r="B379" s="5">
        <v>2509211281</v>
      </c>
      <c r="C379" s="5" t="s">
        <v>2017</v>
      </c>
      <c r="D379" s="5" t="s">
        <v>321</v>
      </c>
      <c r="E379" s="5" t="s">
        <v>2018</v>
      </c>
      <c r="F379" s="5" t="s">
        <v>202</v>
      </c>
      <c r="G379" s="5" t="s">
        <v>75</v>
      </c>
      <c r="H379" s="5" t="s">
        <v>1986</v>
      </c>
      <c r="I379" s="5">
        <v>202501380</v>
      </c>
      <c r="J379" s="5"/>
      <c r="K379" s="6">
        <v>45921</v>
      </c>
      <c r="L379" s="6">
        <v>45925</v>
      </c>
      <c r="M379" s="5" t="s">
        <v>53</v>
      </c>
      <c r="N379" s="5" t="s">
        <v>54</v>
      </c>
      <c r="O379" s="5" t="s">
        <v>41</v>
      </c>
      <c r="P379" s="30">
        <f t="shared" si="19"/>
        <v>4</v>
      </c>
      <c r="Q379" s="41">
        <v>3121.0850439882697</v>
      </c>
      <c r="R379" s="41">
        <v>4900</v>
      </c>
      <c r="S379" s="41">
        <f t="shared" si="17"/>
        <v>1778.9149560117303</v>
      </c>
    </row>
    <row r="380" spans="1:19">
      <c r="A380" s="5">
        <v>379</v>
      </c>
      <c r="B380" s="5">
        <v>509210523</v>
      </c>
      <c r="C380" s="5" t="s">
        <v>2019</v>
      </c>
      <c r="D380" s="5" t="s">
        <v>405</v>
      </c>
      <c r="E380" s="5" t="s">
        <v>2020</v>
      </c>
      <c r="F380" s="5" t="s">
        <v>202</v>
      </c>
      <c r="G380" s="5" t="s">
        <v>52</v>
      </c>
      <c r="H380" s="5" t="s">
        <v>1986</v>
      </c>
      <c r="I380" s="5">
        <v>202501381</v>
      </c>
      <c r="J380" s="5"/>
      <c r="K380" s="6">
        <v>45921</v>
      </c>
      <c r="L380" s="6">
        <v>45925</v>
      </c>
      <c r="M380" s="5" t="s">
        <v>53</v>
      </c>
      <c r="N380" s="5" t="s">
        <v>54</v>
      </c>
      <c r="O380" s="5" t="s">
        <v>41</v>
      </c>
      <c r="P380" s="30">
        <f t="shared" si="19"/>
        <v>4</v>
      </c>
      <c r="Q380" s="41">
        <v>3121.0850439882697</v>
      </c>
      <c r="R380" s="41">
        <v>6450</v>
      </c>
      <c r="S380" s="41">
        <f t="shared" si="17"/>
        <v>3328.9149560117303</v>
      </c>
    </row>
    <row r="381" spans="1:19">
      <c r="A381" s="5">
        <v>380</v>
      </c>
      <c r="B381" s="5">
        <v>2509211285</v>
      </c>
      <c r="C381" s="5" t="s">
        <v>2021</v>
      </c>
      <c r="D381" s="5" t="s">
        <v>706</v>
      </c>
      <c r="E381" s="5" t="s">
        <v>1944</v>
      </c>
      <c r="F381" s="5" t="s">
        <v>79</v>
      </c>
      <c r="G381" s="5" t="s">
        <v>52</v>
      </c>
      <c r="H381" s="5" t="s">
        <v>1986</v>
      </c>
      <c r="I381" s="5">
        <v>202501382</v>
      </c>
      <c r="J381" s="5"/>
      <c r="K381" s="6">
        <v>45921</v>
      </c>
      <c r="L381" s="6">
        <v>45925</v>
      </c>
      <c r="M381" s="5" t="s">
        <v>53</v>
      </c>
      <c r="N381" s="5" t="s">
        <v>54</v>
      </c>
      <c r="O381" s="5" t="s">
        <v>41</v>
      </c>
      <c r="P381" s="30">
        <f t="shared" si="19"/>
        <v>4</v>
      </c>
      <c r="Q381" s="41">
        <v>3121.0850439882697</v>
      </c>
      <c r="R381" s="41">
        <v>6000</v>
      </c>
      <c r="S381" s="41">
        <f t="shared" si="17"/>
        <v>2878.9149560117303</v>
      </c>
    </row>
    <row r="382" spans="1:19">
      <c r="A382" s="5">
        <v>381</v>
      </c>
      <c r="B382" s="5">
        <v>2509211306</v>
      </c>
      <c r="C382" s="5" t="s">
        <v>2022</v>
      </c>
      <c r="D382" s="5" t="s">
        <v>841</v>
      </c>
      <c r="E382" s="5" t="s">
        <v>2023</v>
      </c>
      <c r="F382" s="5" t="s">
        <v>202</v>
      </c>
      <c r="G382" s="5" t="s">
        <v>43</v>
      </c>
      <c r="H382" s="5" t="s">
        <v>1986</v>
      </c>
      <c r="I382" s="5">
        <v>202501383</v>
      </c>
      <c r="J382" s="5"/>
      <c r="K382" s="6">
        <v>45921</v>
      </c>
      <c r="L382" s="6">
        <v>45925</v>
      </c>
      <c r="M382" s="5" t="s">
        <v>53</v>
      </c>
      <c r="N382" s="5" t="s">
        <v>54</v>
      </c>
      <c r="O382" s="5" t="s">
        <v>41</v>
      </c>
      <c r="P382" s="30">
        <f t="shared" si="19"/>
        <v>4</v>
      </c>
      <c r="Q382" s="41">
        <v>3121.0850439882697</v>
      </c>
      <c r="R382" s="41">
        <v>11000</v>
      </c>
      <c r="S382" s="41">
        <f t="shared" si="17"/>
        <v>7878.9149560117303</v>
      </c>
    </row>
    <row r="383" spans="1:19">
      <c r="A383" s="5">
        <v>382</v>
      </c>
      <c r="B383" s="9">
        <v>2509220266</v>
      </c>
      <c r="C383" s="9" t="s">
        <v>2024</v>
      </c>
      <c r="D383" s="9" t="s">
        <v>89</v>
      </c>
      <c r="E383" s="9" t="s">
        <v>2025</v>
      </c>
      <c r="F383" s="9" t="s">
        <v>79</v>
      </c>
      <c r="G383" s="9" t="s">
        <v>52</v>
      </c>
      <c r="H383" s="9" t="s">
        <v>1986</v>
      </c>
      <c r="I383" s="9">
        <v>202501384</v>
      </c>
      <c r="J383" s="9"/>
      <c r="K383" s="10">
        <v>45922</v>
      </c>
      <c r="L383" s="10">
        <v>45925</v>
      </c>
      <c r="M383" s="9" t="s">
        <v>45</v>
      </c>
      <c r="N383" s="9" t="s">
        <v>94</v>
      </c>
      <c r="O383" s="9" t="s">
        <v>1603</v>
      </c>
      <c r="P383" s="32">
        <f t="shared" si="19"/>
        <v>3</v>
      </c>
      <c r="Q383" s="11">
        <v>3121.0850439882697</v>
      </c>
      <c r="R383" s="11">
        <v>5500</v>
      </c>
      <c r="S383" s="11">
        <f t="shared" si="17"/>
        <v>2378.9149560117303</v>
      </c>
    </row>
    <row r="384" spans="1:19">
      <c r="A384" s="5">
        <v>383</v>
      </c>
      <c r="B384" s="5" t="s">
        <v>1239</v>
      </c>
      <c r="C384" s="5"/>
      <c r="D384" s="5"/>
      <c r="E384" s="5"/>
      <c r="F384" s="5"/>
      <c r="G384" s="5" t="s">
        <v>52</v>
      </c>
      <c r="H384" s="5"/>
      <c r="I384" s="5"/>
      <c r="J384" s="5"/>
      <c r="K384" s="5"/>
      <c r="L384" s="5"/>
      <c r="M384" s="5"/>
      <c r="N384" s="5"/>
      <c r="O384" s="5"/>
      <c r="P384" s="5"/>
      <c r="Q384" s="41">
        <v>3121.0850439882697</v>
      </c>
      <c r="R384" s="41">
        <v>0</v>
      </c>
      <c r="S384" s="41">
        <f t="shared" si="17"/>
        <v>-3121.0850439882697</v>
      </c>
    </row>
    <row r="385" spans="1:19">
      <c r="A385" s="5">
        <v>384</v>
      </c>
      <c r="B385" s="5" t="s">
        <v>1240</v>
      </c>
      <c r="C385" s="5"/>
      <c r="D385" s="5"/>
      <c r="E385" s="5"/>
      <c r="F385" s="5"/>
      <c r="G385" s="5" t="s">
        <v>52</v>
      </c>
      <c r="H385" s="5"/>
      <c r="I385" s="5"/>
      <c r="J385" s="5"/>
      <c r="K385" s="5"/>
      <c r="L385" s="5"/>
      <c r="M385" s="5"/>
      <c r="N385" s="5"/>
      <c r="O385" s="5"/>
      <c r="P385" s="5"/>
      <c r="Q385" s="41">
        <v>3121.0850439882697</v>
      </c>
      <c r="R385" s="41">
        <v>0</v>
      </c>
      <c r="S385" s="41">
        <f t="shared" si="17"/>
        <v>-3121.0850439882697</v>
      </c>
    </row>
    <row r="386" spans="1:19">
      <c r="A386" s="5">
        <v>385</v>
      </c>
      <c r="B386" s="22">
        <v>2509053009</v>
      </c>
      <c r="C386" s="22" t="s">
        <v>1745</v>
      </c>
      <c r="D386" s="22" t="s">
        <v>97</v>
      </c>
      <c r="E386" s="22" t="s">
        <v>1746</v>
      </c>
      <c r="F386" s="22" t="s">
        <v>71</v>
      </c>
      <c r="G386" s="22" t="s">
        <v>75</v>
      </c>
      <c r="H386" s="22" t="s">
        <v>2026</v>
      </c>
      <c r="I386" s="22" t="s">
        <v>2027</v>
      </c>
      <c r="J386" s="22"/>
      <c r="K386" s="23">
        <v>45921</v>
      </c>
      <c r="L386" s="23">
        <v>45929</v>
      </c>
      <c r="M386" s="22" t="s">
        <v>53</v>
      </c>
      <c r="N386" s="22" t="s">
        <v>54</v>
      </c>
      <c r="O386" s="22" t="s">
        <v>41</v>
      </c>
      <c r="P386" s="34">
        <f t="shared" ref="P386:P412" si="20">L386-K386</f>
        <v>8</v>
      </c>
      <c r="Q386" s="24">
        <v>3308.0564263322885</v>
      </c>
      <c r="R386" s="24">
        <v>0</v>
      </c>
      <c r="S386" s="24">
        <f t="shared" ref="S386:S447" si="21">R386-Q386</f>
        <v>-3308.0564263322885</v>
      </c>
    </row>
    <row r="387" spans="1:19">
      <c r="A387" s="5">
        <v>386</v>
      </c>
      <c r="B387" s="13">
        <v>2509220266</v>
      </c>
      <c r="C387" s="13" t="s">
        <v>2024</v>
      </c>
      <c r="D387" s="13" t="s">
        <v>89</v>
      </c>
      <c r="E387" s="13" t="s">
        <v>2025</v>
      </c>
      <c r="F387" s="13" t="s">
        <v>79</v>
      </c>
      <c r="G387" s="13" t="s">
        <v>52</v>
      </c>
      <c r="H387" s="13" t="s">
        <v>2026</v>
      </c>
      <c r="I387" s="13" t="s">
        <v>2028</v>
      </c>
      <c r="J387" s="13"/>
      <c r="K387" s="14">
        <v>45922</v>
      </c>
      <c r="L387" s="14">
        <v>45929</v>
      </c>
      <c r="M387" s="13" t="s">
        <v>45</v>
      </c>
      <c r="N387" s="13" t="s">
        <v>46</v>
      </c>
      <c r="O387" s="13" t="s">
        <v>1603</v>
      </c>
      <c r="P387" s="35">
        <f t="shared" si="20"/>
        <v>7</v>
      </c>
      <c r="Q387" s="15">
        <v>3308.0564263322885</v>
      </c>
      <c r="R387" s="15">
        <v>0</v>
      </c>
      <c r="S387" s="15">
        <f t="shared" si="21"/>
        <v>-3308.0564263322885</v>
      </c>
    </row>
    <row r="388" spans="1:19">
      <c r="A388" s="5">
        <v>387</v>
      </c>
      <c r="B388" s="5">
        <v>2509220271</v>
      </c>
      <c r="C388" s="5" t="s">
        <v>2029</v>
      </c>
      <c r="D388" s="5" t="s">
        <v>64</v>
      </c>
      <c r="E388" s="5" t="s">
        <v>1498</v>
      </c>
      <c r="F388" s="5" t="s">
        <v>66</v>
      </c>
      <c r="G388" s="5" t="s">
        <v>52</v>
      </c>
      <c r="H388" s="5" t="s">
        <v>2026</v>
      </c>
      <c r="I388" s="5">
        <v>202501385</v>
      </c>
      <c r="J388" s="5"/>
      <c r="K388" s="6">
        <v>45922</v>
      </c>
      <c r="L388" s="6">
        <v>45929</v>
      </c>
      <c r="M388" s="5" t="s">
        <v>53</v>
      </c>
      <c r="N388" s="5" t="s">
        <v>54</v>
      </c>
      <c r="O388" s="5" t="s">
        <v>41</v>
      </c>
      <c r="P388" s="30">
        <f t="shared" si="20"/>
        <v>7</v>
      </c>
      <c r="Q388" s="41">
        <v>3308.0564263322885</v>
      </c>
      <c r="R388" s="41">
        <v>5500</v>
      </c>
      <c r="S388" s="41">
        <f t="shared" si="21"/>
        <v>2191.9435736677115</v>
      </c>
    </row>
    <row r="389" spans="1:19">
      <c r="A389" s="5">
        <v>388</v>
      </c>
      <c r="B389" s="5">
        <v>2509222077</v>
      </c>
      <c r="C389" s="5" t="s">
        <v>2030</v>
      </c>
      <c r="D389" s="5" t="s">
        <v>748</v>
      </c>
      <c r="E389" s="5" t="s">
        <v>1590</v>
      </c>
      <c r="F389" s="5" t="s">
        <v>51</v>
      </c>
      <c r="G389" s="5" t="s">
        <v>43</v>
      </c>
      <c r="H389" s="5" t="s">
        <v>2026</v>
      </c>
      <c r="I389" s="5">
        <v>202501386</v>
      </c>
      <c r="J389" s="5"/>
      <c r="K389" s="6">
        <v>45922</v>
      </c>
      <c r="L389" s="6">
        <v>45929</v>
      </c>
      <c r="M389" s="5" t="s">
        <v>53</v>
      </c>
      <c r="N389" s="5" t="s">
        <v>54</v>
      </c>
      <c r="O389" s="5" t="s">
        <v>41</v>
      </c>
      <c r="P389" s="30">
        <f t="shared" si="20"/>
        <v>7</v>
      </c>
      <c r="Q389" s="41">
        <v>3308.0564263322885</v>
      </c>
      <c r="R389" s="41">
        <v>10000</v>
      </c>
      <c r="S389" s="41">
        <f t="shared" si="21"/>
        <v>6691.9435736677115</v>
      </c>
    </row>
    <row r="390" spans="1:19">
      <c r="A390" s="5">
        <v>389</v>
      </c>
      <c r="B390" s="5">
        <v>2509222084</v>
      </c>
      <c r="C390" s="5" t="s">
        <v>2031</v>
      </c>
      <c r="D390" s="5" t="s">
        <v>309</v>
      </c>
      <c r="E390" s="5" t="s">
        <v>310</v>
      </c>
      <c r="F390" s="5" t="s">
        <v>51</v>
      </c>
      <c r="G390" s="5" t="s">
        <v>52</v>
      </c>
      <c r="H390" s="5" t="s">
        <v>2026</v>
      </c>
      <c r="I390" s="5">
        <v>202501387</v>
      </c>
      <c r="J390" s="5"/>
      <c r="K390" s="6">
        <v>45922</v>
      </c>
      <c r="L390" s="6">
        <v>45929</v>
      </c>
      <c r="M390" s="5" t="s">
        <v>53</v>
      </c>
      <c r="N390" s="5" t="s">
        <v>54</v>
      </c>
      <c r="O390" s="5" t="s">
        <v>41</v>
      </c>
      <c r="P390" s="30">
        <f t="shared" si="20"/>
        <v>7</v>
      </c>
      <c r="Q390" s="41">
        <v>3308.0564263322885</v>
      </c>
      <c r="R390" s="41">
        <v>5500</v>
      </c>
      <c r="S390" s="41">
        <f t="shared" si="21"/>
        <v>2191.9435736677115</v>
      </c>
    </row>
    <row r="391" spans="1:19">
      <c r="A391" s="5">
        <v>390</v>
      </c>
      <c r="B391" s="5">
        <v>2509222092</v>
      </c>
      <c r="C391" s="5" t="s">
        <v>2032</v>
      </c>
      <c r="D391" s="5" t="s">
        <v>1638</v>
      </c>
      <c r="E391" s="5" t="s">
        <v>2033</v>
      </c>
      <c r="F391" s="5" t="s">
        <v>202</v>
      </c>
      <c r="G391" s="5" t="s">
        <v>52</v>
      </c>
      <c r="H391" s="5" t="s">
        <v>2026</v>
      </c>
      <c r="I391" s="5">
        <v>202501388</v>
      </c>
      <c r="J391" s="5"/>
      <c r="K391" s="6">
        <v>45922</v>
      </c>
      <c r="L391" s="6">
        <v>45929</v>
      </c>
      <c r="M391" s="5" t="s">
        <v>53</v>
      </c>
      <c r="N391" s="5" t="s">
        <v>54</v>
      </c>
      <c r="O391" s="5" t="s">
        <v>41</v>
      </c>
      <c r="P391" s="30">
        <f t="shared" si="20"/>
        <v>7</v>
      </c>
      <c r="Q391" s="41">
        <v>3308.0564263322885</v>
      </c>
      <c r="R391" s="41">
        <v>8000</v>
      </c>
      <c r="S391" s="41">
        <f t="shared" si="21"/>
        <v>4691.9435736677115</v>
      </c>
    </row>
    <row r="392" spans="1:19">
      <c r="A392" s="5">
        <v>391</v>
      </c>
      <c r="B392" s="5">
        <v>2509220129</v>
      </c>
      <c r="C392" s="5" t="s">
        <v>2034</v>
      </c>
      <c r="D392" s="5" t="s">
        <v>40</v>
      </c>
      <c r="E392" s="5" t="s">
        <v>41</v>
      </c>
      <c r="F392" s="5" t="s">
        <v>42</v>
      </c>
      <c r="G392" s="5" t="s">
        <v>75</v>
      </c>
      <c r="H392" s="5" t="s">
        <v>2026</v>
      </c>
      <c r="I392" s="5">
        <v>202501390</v>
      </c>
      <c r="J392" s="5"/>
      <c r="K392" s="6">
        <v>45922</v>
      </c>
      <c r="L392" s="6">
        <v>45929</v>
      </c>
      <c r="M392" s="5" t="s">
        <v>53</v>
      </c>
      <c r="N392" s="5" t="s">
        <v>54</v>
      </c>
      <c r="O392" s="5" t="s">
        <v>41</v>
      </c>
      <c r="P392" s="30">
        <f t="shared" si="20"/>
        <v>7</v>
      </c>
      <c r="Q392" s="41">
        <v>3308.0564263322885</v>
      </c>
      <c r="R392" s="41">
        <v>6500</v>
      </c>
      <c r="S392" s="41">
        <f t="shared" si="21"/>
        <v>3191.9435736677115</v>
      </c>
    </row>
    <row r="393" spans="1:19">
      <c r="A393" s="5">
        <v>392</v>
      </c>
      <c r="B393" s="5">
        <v>2509222108</v>
      </c>
      <c r="C393" s="5" t="s">
        <v>2035</v>
      </c>
      <c r="D393" s="5" t="s">
        <v>97</v>
      </c>
      <c r="E393" s="5" t="s">
        <v>98</v>
      </c>
      <c r="F393" s="5" t="s">
        <v>71</v>
      </c>
      <c r="G393" s="5" t="s">
        <v>75</v>
      </c>
      <c r="H393" s="5" t="s">
        <v>2026</v>
      </c>
      <c r="I393" s="5">
        <v>202501391</v>
      </c>
      <c r="J393" s="5"/>
      <c r="K393" s="6">
        <v>45922</v>
      </c>
      <c r="L393" s="6">
        <v>45929</v>
      </c>
      <c r="M393" s="5" t="s">
        <v>53</v>
      </c>
      <c r="N393" s="5" t="s">
        <v>54</v>
      </c>
      <c r="O393" s="5" t="s">
        <v>41</v>
      </c>
      <c r="P393" s="30">
        <f t="shared" si="20"/>
        <v>7</v>
      </c>
      <c r="Q393" s="41">
        <v>3308.0564263322885</v>
      </c>
      <c r="R393" s="41">
        <v>4900</v>
      </c>
      <c r="S393" s="41">
        <f t="shared" si="21"/>
        <v>1591.9435736677115</v>
      </c>
    </row>
    <row r="394" spans="1:19">
      <c r="A394" s="5">
        <v>393</v>
      </c>
      <c r="B394" s="5">
        <v>2509222117</v>
      </c>
      <c r="C394" s="5" t="s">
        <v>2036</v>
      </c>
      <c r="D394" s="5" t="s">
        <v>263</v>
      </c>
      <c r="E394" s="5" t="s">
        <v>2037</v>
      </c>
      <c r="F394" s="5" t="s">
        <v>71</v>
      </c>
      <c r="G394" s="5" t="s">
        <v>52</v>
      </c>
      <c r="H394" s="5" t="s">
        <v>2026</v>
      </c>
      <c r="I394" s="5">
        <v>202501392</v>
      </c>
      <c r="J394" s="5"/>
      <c r="K394" s="6">
        <v>45922</v>
      </c>
      <c r="L394" s="6">
        <v>45929</v>
      </c>
      <c r="M394" s="5" t="s">
        <v>53</v>
      </c>
      <c r="N394" s="5" t="s">
        <v>54</v>
      </c>
      <c r="O394" s="5" t="s">
        <v>41</v>
      </c>
      <c r="P394" s="30">
        <f t="shared" si="20"/>
        <v>7</v>
      </c>
      <c r="Q394" s="41">
        <v>3308.0564263322885</v>
      </c>
      <c r="R394" s="41">
        <v>8000</v>
      </c>
      <c r="S394" s="41">
        <f t="shared" si="21"/>
        <v>4691.9435736677115</v>
      </c>
    </row>
    <row r="395" spans="1:19">
      <c r="A395" s="5">
        <v>394</v>
      </c>
      <c r="B395" s="5">
        <v>2509222142</v>
      </c>
      <c r="C395" s="5" t="s">
        <v>2038</v>
      </c>
      <c r="D395" s="5" t="s">
        <v>775</v>
      </c>
      <c r="E395" s="5" t="s">
        <v>1451</v>
      </c>
      <c r="F395" s="5" t="s">
        <v>202</v>
      </c>
      <c r="G395" s="5" t="s">
        <v>75</v>
      </c>
      <c r="H395" s="5" t="s">
        <v>2026</v>
      </c>
      <c r="I395" s="5">
        <v>202501393</v>
      </c>
      <c r="J395" s="5"/>
      <c r="K395" s="6">
        <v>45922</v>
      </c>
      <c r="L395" s="6">
        <v>45929</v>
      </c>
      <c r="M395" s="5" t="s">
        <v>53</v>
      </c>
      <c r="N395" s="5" t="s">
        <v>54</v>
      </c>
      <c r="O395" s="5" t="s">
        <v>41</v>
      </c>
      <c r="P395" s="30">
        <f t="shared" si="20"/>
        <v>7</v>
      </c>
      <c r="Q395" s="41">
        <v>3308.0564263322885</v>
      </c>
      <c r="R395" s="41">
        <v>4900</v>
      </c>
      <c r="S395" s="41">
        <f t="shared" si="21"/>
        <v>1591.9435736677115</v>
      </c>
    </row>
    <row r="396" spans="1:19">
      <c r="A396" s="5">
        <v>395</v>
      </c>
      <c r="B396" s="5">
        <v>2509220588</v>
      </c>
      <c r="C396" s="5" t="s">
        <v>2039</v>
      </c>
      <c r="D396" s="5" t="s">
        <v>40</v>
      </c>
      <c r="E396" s="5" t="s">
        <v>41</v>
      </c>
      <c r="F396" s="5" t="s">
        <v>42</v>
      </c>
      <c r="G396" s="5" t="s">
        <v>43</v>
      </c>
      <c r="H396" s="5" t="s">
        <v>2026</v>
      </c>
      <c r="I396" s="5">
        <v>202501394</v>
      </c>
      <c r="J396" s="5"/>
      <c r="K396" s="6">
        <v>45922</v>
      </c>
      <c r="L396" s="6">
        <v>45929</v>
      </c>
      <c r="M396" s="5" t="s">
        <v>53</v>
      </c>
      <c r="N396" s="5" t="s">
        <v>54</v>
      </c>
      <c r="O396" s="5" t="s">
        <v>41</v>
      </c>
      <c r="P396" s="30">
        <f t="shared" si="20"/>
        <v>7</v>
      </c>
      <c r="Q396" s="41">
        <v>3308.0564263322885</v>
      </c>
      <c r="R396" s="41">
        <v>14500</v>
      </c>
      <c r="S396" s="41">
        <f t="shared" si="21"/>
        <v>11191.943573667711</v>
      </c>
    </row>
    <row r="397" spans="1:19">
      <c r="A397" s="5">
        <v>396</v>
      </c>
      <c r="B397" s="5">
        <v>2509222150</v>
      </c>
      <c r="C397" s="5" t="s">
        <v>2040</v>
      </c>
      <c r="D397" s="5" t="s">
        <v>257</v>
      </c>
      <c r="E397" s="5" t="s">
        <v>1808</v>
      </c>
      <c r="F397" s="5" t="s">
        <v>62</v>
      </c>
      <c r="G397" s="5" t="s">
        <v>52</v>
      </c>
      <c r="H397" s="5" t="s">
        <v>2026</v>
      </c>
      <c r="I397" s="5">
        <v>202501395</v>
      </c>
      <c r="J397" s="5"/>
      <c r="K397" s="6">
        <v>45922</v>
      </c>
      <c r="L397" s="6">
        <v>45929</v>
      </c>
      <c r="M397" s="5" t="s">
        <v>53</v>
      </c>
      <c r="N397" s="5" t="s">
        <v>54</v>
      </c>
      <c r="O397" s="5" t="s">
        <v>41</v>
      </c>
      <c r="P397" s="30">
        <f t="shared" si="20"/>
        <v>7</v>
      </c>
      <c r="Q397" s="41">
        <v>3308.0564263322885</v>
      </c>
      <c r="R397" s="41">
        <v>5100</v>
      </c>
      <c r="S397" s="41">
        <f t="shared" si="21"/>
        <v>1791.9435736677115</v>
      </c>
    </row>
    <row r="398" spans="1:19">
      <c r="A398" s="5">
        <v>397</v>
      </c>
      <c r="B398" s="5">
        <v>2509222153</v>
      </c>
      <c r="C398" s="5" t="s">
        <v>2041</v>
      </c>
      <c r="D398" s="5" t="s">
        <v>257</v>
      </c>
      <c r="E398" s="5" t="s">
        <v>1808</v>
      </c>
      <c r="F398" s="5" t="s">
        <v>62</v>
      </c>
      <c r="G398" s="5" t="s">
        <v>52</v>
      </c>
      <c r="H398" s="5" t="s">
        <v>2026</v>
      </c>
      <c r="I398" s="5">
        <v>202501396</v>
      </c>
      <c r="J398" s="5"/>
      <c r="K398" s="6">
        <v>45922</v>
      </c>
      <c r="L398" s="6">
        <v>45929</v>
      </c>
      <c r="M398" s="5" t="s">
        <v>53</v>
      </c>
      <c r="N398" s="5" t="s">
        <v>54</v>
      </c>
      <c r="O398" s="5" t="s">
        <v>41</v>
      </c>
      <c r="P398" s="30">
        <f t="shared" si="20"/>
        <v>7</v>
      </c>
      <c r="Q398" s="41">
        <v>3308.0564263322885</v>
      </c>
      <c r="R398" s="41">
        <v>5100</v>
      </c>
      <c r="S398" s="41">
        <f t="shared" si="21"/>
        <v>1791.9435736677115</v>
      </c>
    </row>
    <row r="399" spans="1:19">
      <c r="A399" s="5">
        <v>398</v>
      </c>
      <c r="B399" s="5">
        <v>2509222158</v>
      </c>
      <c r="C399" s="5" t="s">
        <v>2042</v>
      </c>
      <c r="D399" s="5" t="s">
        <v>257</v>
      </c>
      <c r="E399" s="5" t="s">
        <v>1808</v>
      </c>
      <c r="F399" s="5" t="s">
        <v>62</v>
      </c>
      <c r="G399" s="5" t="s">
        <v>52</v>
      </c>
      <c r="H399" s="5" t="s">
        <v>2026</v>
      </c>
      <c r="I399" s="5">
        <v>202501397</v>
      </c>
      <c r="J399" s="5"/>
      <c r="K399" s="6">
        <v>45922</v>
      </c>
      <c r="L399" s="6">
        <v>45929</v>
      </c>
      <c r="M399" s="5" t="s">
        <v>53</v>
      </c>
      <c r="N399" s="5" t="s">
        <v>54</v>
      </c>
      <c r="O399" s="5" t="s">
        <v>41</v>
      </c>
      <c r="P399" s="30">
        <f t="shared" si="20"/>
        <v>7</v>
      </c>
      <c r="Q399" s="41">
        <v>3308.0564263322885</v>
      </c>
      <c r="R399" s="41">
        <v>5100</v>
      </c>
      <c r="S399" s="41">
        <f t="shared" si="21"/>
        <v>1791.9435736677115</v>
      </c>
    </row>
    <row r="400" spans="1:19">
      <c r="A400" s="5">
        <v>399</v>
      </c>
      <c r="B400" s="5">
        <v>2509222164</v>
      </c>
      <c r="C400" s="5" t="s">
        <v>2043</v>
      </c>
      <c r="D400" s="5" t="s">
        <v>1261</v>
      </c>
      <c r="E400" s="5" t="s">
        <v>1262</v>
      </c>
      <c r="F400" s="5" t="s">
        <v>71</v>
      </c>
      <c r="G400" s="5" t="s">
        <v>75</v>
      </c>
      <c r="H400" s="5" t="s">
        <v>2026</v>
      </c>
      <c r="I400" s="5">
        <v>202501398</v>
      </c>
      <c r="J400" s="5"/>
      <c r="K400" s="6">
        <v>45922</v>
      </c>
      <c r="L400" s="6">
        <v>45929</v>
      </c>
      <c r="M400" s="5" t="s">
        <v>53</v>
      </c>
      <c r="N400" s="5" t="s">
        <v>54</v>
      </c>
      <c r="O400" s="5" t="s">
        <v>41</v>
      </c>
      <c r="P400" s="30">
        <f t="shared" si="20"/>
        <v>7</v>
      </c>
      <c r="Q400" s="41">
        <v>3308.0564263322885</v>
      </c>
      <c r="R400" s="41">
        <v>4500</v>
      </c>
      <c r="S400" s="41">
        <f t="shared" si="21"/>
        <v>1191.9435736677115</v>
      </c>
    </row>
    <row r="401" spans="1:19">
      <c r="A401" s="5">
        <v>400</v>
      </c>
      <c r="B401" s="5">
        <v>2509231318</v>
      </c>
      <c r="C401" s="5" t="s">
        <v>2044</v>
      </c>
      <c r="D401" s="5" t="s">
        <v>1475</v>
      </c>
      <c r="E401" s="5" t="s">
        <v>1476</v>
      </c>
      <c r="F401" s="5" t="s">
        <v>362</v>
      </c>
      <c r="G401" s="5" t="s">
        <v>75</v>
      </c>
      <c r="H401" s="5" t="s">
        <v>2026</v>
      </c>
      <c r="I401" s="5">
        <v>202501399</v>
      </c>
      <c r="J401" s="5"/>
      <c r="K401" s="6">
        <v>45923</v>
      </c>
      <c r="L401" s="6">
        <v>45929</v>
      </c>
      <c r="M401" s="5" t="s">
        <v>53</v>
      </c>
      <c r="N401" s="5" t="s">
        <v>54</v>
      </c>
      <c r="O401" s="5" t="s">
        <v>41</v>
      </c>
      <c r="P401" s="30">
        <f t="shared" si="20"/>
        <v>6</v>
      </c>
      <c r="Q401" s="41">
        <v>3308.0564263322885</v>
      </c>
      <c r="R401" s="41">
        <v>4500</v>
      </c>
      <c r="S401" s="41">
        <f t="shared" si="21"/>
        <v>1191.9435736677115</v>
      </c>
    </row>
    <row r="402" spans="1:19">
      <c r="A402" s="5">
        <v>401</v>
      </c>
      <c r="B402" s="5">
        <v>2509231324</v>
      </c>
      <c r="C402" s="5" t="s">
        <v>2045</v>
      </c>
      <c r="D402" s="5" t="s">
        <v>1765</v>
      </c>
      <c r="E402" s="5" t="s">
        <v>2046</v>
      </c>
      <c r="F402" s="5" t="s">
        <v>51</v>
      </c>
      <c r="G402" s="5" t="s">
        <v>52</v>
      </c>
      <c r="H402" s="5" t="s">
        <v>2026</v>
      </c>
      <c r="I402" s="5">
        <v>202501400</v>
      </c>
      <c r="J402" s="5"/>
      <c r="K402" s="6">
        <v>45923</v>
      </c>
      <c r="L402" s="6">
        <v>45929</v>
      </c>
      <c r="M402" s="5" t="s">
        <v>53</v>
      </c>
      <c r="N402" s="5" t="s">
        <v>54</v>
      </c>
      <c r="O402" s="5" t="s">
        <v>41</v>
      </c>
      <c r="P402" s="30">
        <f t="shared" si="20"/>
        <v>6</v>
      </c>
      <c r="Q402" s="41">
        <v>3308.0564263322885</v>
      </c>
      <c r="R402" s="41">
        <v>5500</v>
      </c>
      <c r="S402" s="41">
        <f t="shared" si="21"/>
        <v>2191.9435736677115</v>
      </c>
    </row>
    <row r="403" spans="1:19">
      <c r="A403" s="5">
        <v>402</v>
      </c>
      <c r="B403" s="5">
        <v>2509231329</v>
      </c>
      <c r="C403" s="5" t="s">
        <v>2047</v>
      </c>
      <c r="D403" s="5" t="s">
        <v>309</v>
      </c>
      <c r="E403" s="5" t="s">
        <v>1597</v>
      </c>
      <c r="F403" s="5" t="s">
        <v>51</v>
      </c>
      <c r="G403" s="5" t="s">
        <v>52</v>
      </c>
      <c r="H403" s="5" t="s">
        <v>2026</v>
      </c>
      <c r="I403" s="5">
        <v>202501401</v>
      </c>
      <c r="J403" s="5"/>
      <c r="K403" s="6">
        <v>45923</v>
      </c>
      <c r="L403" s="6">
        <v>45929</v>
      </c>
      <c r="M403" s="5" t="s">
        <v>53</v>
      </c>
      <c r="N403" s="5" t="s">
        <v>54</v>
      </c>
      <c r="O403" s="5" t="s">
        <v>41</v>
      </c>
      <c r="P403" s="30">
        <f t="shared" si="20"/>
        <v>6</v>
      </c>
      <c r="Q403" s="41">
        <v>3308.0564263322885</v>
      </c>
      <c r="R403" s="41">
        <v>5500</v>
      </c>
      <c r="S403" s="41">
        <f t="shared" si="21"/>
        <v>2191.9435736677115</v>
      </c>
    </row>
    <row r="404" spans="1:19">
      <c r="A404" s="5">
        <v>403</v>
      </c>
      <c r="B404" s="5">
        <v>2509231332</v>
      </c>
      <c r="C404" s="5" t="s">
        <v>2048</v>
      </c>
      <c r="D404" s="5" t="s">
        <v>309</v>
      </c>
      <c r="E404" s="5" t="s">
        <v>1597</v>
      </c>
      <c r="F404" s="5" t="s">
        <v>51</v>
      </c>
      <c r="G404" s="5" t="s">
        <v>52</v>
      </c>
      <c r="H404" s="5" t="s">
        <v>2026</v>
      </c>
      <c r="I404" s="5">
        <v>202501402</v>
      </c>
      <c r="J404" s="5"/>
      <c r="K404" s="6">
        <v>45923</v>
      </c>
      <c r="L404" s="6">
        <v>45929</v>
      </c>
      <c r="M404" s="5" t="s">
        <v>53</v>
      </c>
      <c r="N404" s="5" t="s">
        <v>54</v>
      </c>
      <c r="O404" s="5" t="s">
        <v>41</v>
      </c>
      <c r="P404" s="30">
        <f t="shared" si="20"/>
        <v>6</v>
      </c>
      <c r="Q404" s="41">
        <v>3308.0564263322885</v>
      </c>
      <c r="R404" s="41">
        <v>5500</v>
      </c>
      <c r="S404" s="41">
        <f t="shared" si="21"/>
        <v>2191.9435736677115</v>
      </c>
    </row>
    <row r="405" spans="1:19">
      <c r="A405" s="5">
        <v>404</v>
      </c>
      <c r="B405" s="5">
        <v>2509231337</v>
      </c>
      <c r="C405" s="5" t="s">
        <v>2049</v>
      </c>
      <c r="D405" s="5" t="s">
        <v>631</v>
      </c>
      <c r="E405" s="5" t="s">
        <v>664</v>
      </c>
      <c r="F405" s="5" t="s">
        <v>87</v>
      </c>
      <c r="G405" s="5" t="s">
        <v>52</v>
      </c>
      <c r="H405" s="5" t="s">
        <v>2026</v>
      </c>
      <c r="I405" s="5">
        <v>202501403</v>
      </c>
      <c r="J405" s="5"/>
      <c r="K405" s="6">
        <v>45923</v>
      </c>
      <c r="L405" s="6">
        <v>45929</v>
      </c>
      <c r="M405" s="5" t="s">
        <v>53</v>
      </c>
      <c r="N405" s="5" t="s">
        <v>54</v>
      </c>
      <c r="O405" s="5" t="s">
        <v>41</v>
      </c>
      <c r="P405" s="30">
        <f t="shared" si="20"/>
        <v>6</v>
      </c>
      <c r="Q405" s="41">
        <v>3308.0564263322885</v>
      </c>
      <c r="R405" s="41">
        <v>8000</v>
      </c>
      <c r="S405" s="41">
        <f t="shared" si="21"/>
        <v>4691.9435736677115</v>
      </c>
    </row>
    <row r="406" spans="1:19">
      <c r="A406" s="5">
        <v>405</v>
      </c>
      <c r="B406" s="5">
        <v>2509231345</v>
      </c>
      <c r="C406" s="5" t="s">
        <v>2050</v>
      </c>
      <c r="D406" s="5" t="s">
        <v>405</v>
      </c>
      <c r="E406" s="5" t="s">
        <v>526</v>
      </c>
      <c r="F406" s="5" t="s">
        <v>202</v>
      </c>
      <c r="G406" s="5" t="s">
        <v>52</v>
      </c>
      <c r="H406" s="5" t="s">
        <v>2026</v>
      </c>
      <c r="I406" s="5">
        <v>202501404</v>
      </c>
      <c r="J406" s="5"/>
      <c r="K406" s="6">
        <v>45923</v>
      </c>
      <c r="L406" s="6">
        <v>45929</v>
      </c>
      <c r="M406" s="5" t="s">
        <v>53</v>
      </c>
      <c r="N406" s="5" t="s">
        <v>54</v>
      </c>
      <c r="O406" s="5" t="s">
        <v>41</v>
      </c>
      <c r="P406" s="30">
        <f t="shared" si="20"/>
        <v>6</v>
      </c>
      <c r="Q406" s="41">
        <v>3308.0564263322885</v>
      </c>
      <c r="R406" s="41">
        <v>6450</v>
      </c>
      <c r="S406" s="41">
        <f t="shared" si="21"/>
        <v>3141.9435736677115</v>
      </c>
    </row>
    <row r="407" spans="1:19">
      <c r="A407" s="5">
        <v>406</v>
      </c>
      <c r="B407" s="5">
        <v>2509232477</v>
      </c>
      <c r="C407" s="5" t="s">
        <v>2051</v>
      </c>
      <c r="D407" s="5" t="s">
        <v>103</v>
      </c>
      <c r="E407" s="5" t="s">
        <v>1526</v>
      </c>
      <c r="F407" s="5" t="s">
        <v>51</v>
      </c>
      <c r="G407" s="5" t="s">
        <v>52</v>
      </c>
      <c r="H407" s="5" t="s">
        <v>2026</v>
      </c>
      <c r="I407" s="5">
        <v>202501405</v>
      </c>
      <c r="J407" s="5"/>
      <c r="K407" s="6">
        <v>45923</v>
      </c>
      <c r="L407" s="6">
        <v>45929</v>
      </c>
      <c r="M407" s="5" t="s">
        <v>53</v>
      </c>
      <c r="N407" s="5" t="s">
        <v>54</v>
      </c>
      <c r="O407" s="5" t="s">
        <v>41</v>
      </c>
      <c r="P407" s="30">
        <f t="shared" si="20"/>
        <v>6</v>
      </c>
      <c r="Q407" s="41">
        <v>3308.0564263322885</v>
      </c>
      <c r="R407" s="41">
        <v>8000</v>
      </c>
      <c r="S407" s="41">
        <f t="shared" si="21"/>
        <v>4691.9435736677115</v>
      </c>
    </row>
    <row r="408" spans="1:19">
      <c r="A408" s="5">
        <v>407</v>
      </c>
      <c r="B408" s="5">
        <v>2509232489</v>
      </c>
      <c r="C408" s="5" t="s">
        <v>2052</v>
      </c>
      <c r="D408" s="5" t="s">
        <v>257</v>
      </c>
      <c r="E408" s="5" t="s">
        <v>1808</v>
      </c>
      <c r="F408" s="5" t="s">
        <v>62</v>
      </c>
      <c r="G408" s="5" t="s">
        <v>52</v>
      </c>
      <c r="H408" s="5" t="s">
        <v>2026</v>
      </c>
      <c r="I408" s="5">
        <v>202501406</v>
      </c>
      <c r="J408" s="5"/>
      <c r="K408" s="6">
        <v>45923</v>
      </c>
      <c r="L408" s="6">
        <v>45929</v>
      </c>
      <c r="M408" s="5" t="s">
        <v>53</v>
      </c>
      <c r="N408" s="5" t="s">
        <v>54</v>
      </c>
      <c r="O408" s="5" t="s">
        <v>41</v>
      </c>
      <c r="P408" s="30">
        <f t="shared" si="20"/>
        <v>6</v>
      </c>
      <c r="Q408" s="41">
        <v>3308.0564263322885</v>
      </c>
      <c r="R408" s="41">
        <v>5100</v>
      </c>
      <c r="S408" s="41">
        <f t="shared" si="21"/>
        <v>1791.9435736677115</v>
      </c>
    </row>
    <row r="409" spans="1:19">
      <c r="A409" s="5">
        <v>408</v>
      </c>
      <c r="B409" s="5">
        <v>2509232502</v>
      </c>
      <c r="C409" s="5" t="s">
        <v>2053</v>
      </c>
      <c r="D409" s="5" t="s">
        <v>581</v>
      </c>
      <c r="E409" s="5" t="s">
        <v>2054</v>
      </c>
      <c r="F409" s="5" t="s">
        <v>202</v>
      </c>
      <c r="G409" s="5" t="s">
        <v>75</v>
      </c>
      <c r="H409" s="5" t="s">
        <v>2026</v>
      </c>
      <c r="I409" s="5">
        <v>202501407</v>
      </c>
      <c r="J409" s="5"/>
      <c r="K409" s="6">
        <v>45923</v>
      </c>
      <c r="L409" s="6">
        <v>45929</v>
      </c>
      <c r="M409" s="5" t="s">
        <v>53</v>
      </c>
      <c r="N409" s="5" t="s">
        <v>54</v>
      </c>
      <c r="O409" s="5" t="s">
        <v>41</v>
      </c>
      <c r="P409" s="30">
        <f t="shared" si="20"/>
        <v>6</v>
      </c>
      <c r="Q409" s="41">
        <v>3308.0564263322885</v>
      </c>
      <c r="R409" s="41">
        <v>5900</v>
      </c>
      <c r="S409" s="41">
        <f t="shared" si="21"/>
        <v>2591.9435736677115</v>
      </c>
    </row>
    <row r="410" spans="1:19">
      <c r="A410" s="5">
        <v>409</v>
      </c>
      <c r="B410" s="5">
        <v>2509232512</v>
      </c>
      <c r="C410" s="5" t="s">
        <v>2055</v>
      </c>
      <c r="D410" s="5" t="s">
        <v>581</v>
      </c>
      <c r="E410" s="5" t="s">
        <v>2054</v>
      </c>
      <c r="F410" s="5" t="s">
        <v>202</v>
      </c>
      <c r="G410" s="5" t="s">
        <v>75</v>
      </c>
      <c r="H410" s="5" t="s">
        <v>2026</v>
      </c>
      <c r="I410" s="5">
        <v>202501408</v>
      </c>
      <c r="J410" s="5"/>
      <c r="K410" s="6">
        <v>45923</v>
      </c>
      <c r="L410" s="6">
        <v>45929</v>
      </c>
      <c r="M410" s="5" t="s">
        <v>53</v>
      </c>
      <c r="N410" s="5" t="s">
        <v>54</v>
      </c>
      <c r="O410" s="5" t="s">
        <v>41</v>
      </c>
      <c r="P410" s="30">
        <f t="shared" si="20"/>
        <v>6</v>
      </c>
      <c r="Q410" s="41">
        <v>3308.0564263322885</v>
      </c>
      <c r="R410" s="41">
        <v>5900</v>
      </c>
      <c r="S410" s="41">
        <f t="shared" si="21"/>
        <v>2591.9435736677115</v>
      </c>
    </row>
    <row r="411" spans="1:19">
      <c r="A411" s="5">
        <v>410</v>
      </c>
      <c r="B411" s="5">
        <v>2509231658</v>
      </c>
      <c r="C411" s="5" t="s">
        <v>2056</v>
      </c>
      <c r="D411" s="5" t="s">
        <v>40</v>
      </c>
      <c r="E411" s="5" t="s">
        <v>41</v>
      </c>
      <c r="F411" s="5" t="s">
        <v>42</v>
      </c>
      <c r="G411" s="5" t="s">
        <v>43</v>
      </c>
      <c r="H411" s="5" t="s">
        <v>2026</v>
      </c>
      <c r="I411" s="5">
        <v>202501409</v>
      </c>
      <c r="J411" s="5"/>
      <c r="K411" s="6">
        <v>45923</v>
      </c>
      <c r="L411" s="6">
        <v>45929</v>
      </c>
      <c r="M411" s="5" t="s">
        <v>53</v>
      </c>
      <c r="N411" s="5" t="s">
        <v>54</v>
      </c>
      <c r="O411" s="5" t="s">
        <v>41</v>
      </c>
      <c r="P411" s="30">
        <f t="shared" si="20"/>
        <v>6</v>
      </c>
      <c r="Q411" s="41">
        <v>3308.0564263322885</v>
      </c>
      <c r="R411" s="41">
        <v>14500</v>
      </c>
      <c r="S411" s="41">
        <f t="shared" si="21"/>
        <v>11191.943573667711</v>
      </c>
    </row>
    <row r="412" spans="1:19">
      <c r="A412" s="5">
        <v>411</v>
      </c>
      <c r="B412" s="5">
        <v>2509232519</v>
      </c>
      <c r="C412" s="5" t="s">
        <v>2057</v>
      </c>
      <c r="D412" s="5" t="s">
        <v>393</v>
      </c>
      <c r="E412" s="5" t="s">
        <v>394</v>
      </c>
      <c r="F412" s="5" t="s">
        <v>202</v>
      </c>
      <c r="G412" s="5" t="s">
        <v>43</v>
      </c>
      <c r="H412" s="5" t="s">
        <v>2026</v>
      </c>
      <c r="I412" s="5">
        <v>202501410</v>
      </c>
      <c r="J412" s="5"/>
      <c r="K412" s="6">
        <v>45923</v>
      </c>
      <c r="L412" s="6">
        <v>45929</v>
      </c>
      <c r="M412" s="5" t="s">
        <v>53</v>
      </c>
      <c r="N412" s="5" t="s">
        <v>54</v>
      </c>
      <c r="O412" s="5" t="s">
        <v>41</v>
      </c>
      <c r="P412" s="30">
        <f t="shared" si="20"/>
        <v>6</v>
      </c>
      <c r="Q412" s="41">
        <v>3308.0564263322885</v>
      </c>
      <c r="R412" s="41">
        <v>13500</v>
      </c>
      <c r="S412" s="41">
        <f t="shared" si="21"/>
        <v>10191.943573667711</v>
      </c>
    </row>
    <row r="413" spans="1:19">
      <c r="A413" s="5">
        <v>412</v>
      </c>
      <c r="B413" s="5" t="s">
        <v>1239</v>
      </c>
      <c r="C413" s="5"/>
      <c r="D413" s="5"/>
      <c r="E413" s="5"/>
      <c r="F413" s="5"/>
      <c r="G413" s="5" t="s">
        <v>52</v>
      </c>
      <c r="H413" s="5"/>
      <c r="I413" s="5"/>
      <c r="J413" s="5"/>
      <c r="K413" s="5"/>
      <c r="L413" s="5"/>
      <c r="M413" s="5"/>
      <c r="N413" s="5"/>
      <c r="O413" s="5"/>
      <c r="P413" s="5"/>
      <c r="Q413" s="41">
        <v>3308.0564263322885</v>
      </c>
      <c r="R413" s="41">
        <v>0</v>
      </c>
      <c r="S413" s="41">
        <f t="shared" si="21"/>
        <v>-3308.0564263322885</v>
      </c>
    </row>
    <row r="414" spans="1:19">
      <c r="A414" s="5">
        <v>413</v>
      </c>
      <c r="B414" s="5" t="s">
        <v>1240</v>
      </c>
      <c r="C414" s="5"/>
      <c r="D414" s="5"/>
      <c r="E414" s="5"/>
      <c r="F414" s="5"/>
      <c r="G414" s="5" t="s">
        <v>52</v>
      </c>
      <c r="H414" s="5"/>
      <c r="I414" s="5"/>
      <c r="J414" s="5"/>
      <c r="K414" s="5"/>
      <c r="L414" s="5"/>
      <c r="M414" s="5"/>
      <c r="N414" s="5"/>
      <c r="O414" s="5"/>
      <c r="P414" s="5"/>
      <c r="Q414" s="41">
        <v>3308.0564263322885</v>
      </c>
      <c r="R414" s="41">
        <v>0</v>
      </c>
      <c r="S414" s="41">
        <f t="shared" si="21"/>
        <v>-3308.0564263322885</v>
      </c>
    </row>
    <row r="415" spans="1:19">
      <c r="A415" s="5">
        <v>414</v>
      </c>
      <c r="B415" s="5">
        <v>2509240843</v>
      </c>
      <c r="C415" s="5" t="s">
        <v>2058</v>
      </c>
      <c r="D415" s="5" t="s">
        <v>1317</v>
      </c>
      <c r="E415" s="5" t="s">
        <v>1318</v>
      </c>
      <c r="F415" s="5" t="s">
        <v>58</v>
      </c>
      <c r="G415" s="5" t="s">
        <v>75</v>
      </c>
      <c r="H415" s="5" t="s">
        <v>2059</v>
      </c>
      <c r="I415" s="5">
        <v>202501411</v>
      </c>
      <c r="J415" s="5"/>
      <c r="K415" s="6">
        <v>45924</v>
      </c>
      <c r="L415" s="6">
        <v>45930</v>
      </c>
      <c r="M415" s="5" t="s">
        <v>53</v>
      </c>
      <c r="N415" s="5" t="s">
        <v>54</v>
      </c>
      <c r="O415" s="5" t="s">
        <v>41</v>
      </c>
      <c r="P415" s="30">
        <f t="shared" ref="P415:P445" si="22">L415-K415</f>
        <v>6</v>
      </c>
      <c r="Q415" s="41">
        <v>2956.7768595041325</v>
      </c>
      <c r="R415" s="41">
        <v>4900</v>
      </c>
      <c r="S415" s="41">
        <f t="shared" si="21"/>
        <v>1943.2231404958675</v>
      </c>
    </row>
    <row r="416" spans="1:19">
      <c r="A416" s="5">
        <v>415</v>
      </c>
      <c r="B416" s="9">
        <v>2509240849</v>
      </c>
      <c r="C416" s="9" t="s">
        <v>2060</v>
      </c>
      <c r="D416" s="9" t="s">
        <v>249</v>
      </c>
      <c r="E416" s="9" t="s">
        <v>1763</v>
      </c>
      <c r="F416" s="9" t="s">
        <v>141</v>
      </c>
      <c r="G416" s="9" t="s">
        <v>52</v>
      </c>
      <c r="H416" s="9" t="s">
        <v>2059</v>
      </c>
      <c r="I416" s="9">
        <v>202501412</v>
      </c>
      <c r="J416" s="9"/>
      <c r="K416" s="10">
        <v>45924</v>
      </c>
      <c r="L416" s="10">
        <v>45930</v>
      </c>
      <c r="M416" s="9" t="s">
        <v>45</v>
      </c>
      <c r="N416" s="9" t="s">
        <v>94</v>
      </c>
      <c r="O416" s="9" t="s">
        <v>1667</v>
      </c>
      <c r="P416" s="32">
        <f t="shared" si="22"/>
        <v>6</v>
      </c>
      <c r="Q416" s="11">
        <v>2956.7768595041325</v>
      </c>
      <c r="R416" s="11">
        <v>5500</v>
      </c>
      <c r="S416" s="11">
        <f t="shared" si="21"/>
        <v>2543.2231404958675</v>
      </c>
    </row>
    <row r="417" spans="1:19">
      <c r="A417" s="5">
        <v>416</v>
      </c>
      <c r="B417" s="5">
        <v>2509240832</v>
      </c>
      <c r="C417" s="5" t="s">
        <v>2061</v>
      </c>
      <c r="D417" s="5" t="s">
        <v>804</v>
      </c>
      <c r="E417" s="5" t="s">
        <v>805</v>
      </c>
      <c r="F417" s="5" t="s">
        <v>457</v>
      </c>
      <c r="G417" s="5" t="s">
        <v>43</v>
      </c>
      <c r="H417" s="5" t="s">
        <v>2059</v>
      </c>
      <c r="I417" s="5">
        <v>202501413</v>
      </c>
      <c r="J417" s="5"/>
      <c r="K417" s="6">
        <v>45924</v>
      </c>
      <c r="L417" s="6">
        <v>45930</v>
      </c>
      <c r="M417" s="5" t="s">
        <v>53</v>
      </c>
      <c r="N417" s="5" t="s">
        <v>54</v>
      </c>
      <c r="O417" s="5" t="s">
        <v>41</v>
      </c>
      <c r="P417" s="30">
        <f t="shared" si="22"/>
        <v>6</v>
      </c>
      <c r="Q417" s="41">
        <v>2956.7768595041325</v>
      </c>
      <c r="R417" s="41">
        <v>11000</v>
      </c>
      <c r="S417" s="41">
        <f t="shared" si="21"/>
        <v>8043.2231404958675</v>
      </c>
    </row>
    <row r="418" spans="1:19">
      <c r="A418" s="5">
        <v>417</v>
      </c>
      <c r="B418" s="5">
        <v>2509251507</v>
      </c>
      <c r="C418" s="5" t="s">
        <v>2062</v>
      </c>
      <c r="D418" s="5" t="s">
        <v>1475</v>
      </c>
      <c r="E418" s="5" t="s">
        <v>1476</v>
      </c>
      <c r="F418" s="5" t="s">
        <v>362</v>
      </c>
      <c r="G418" s="5" t="s">
        <v>43</v>
      </c>
      <c r="H418" s="5" t="s">
        <v>2059</v>
      </c>
      <c r="I418" s="5">
        <v>202501414</v>
      </c>
      <c r="J418" s="5"/>
      <c r="K418" s="6">
        <v>45924</v>
      </c>
      <c r="L418" s="6">
        <v>45930</v>
      </c>
      <c r="M418" s="5" t="s">
        <v>53</v>
      </c>
      <c r="N418" s="5" t="s">
        <v>54</v>
      </c>
      <c r="O418" s="5" t="s">
        <v>41</v>
      </c>
      <c r="P418" s="30">
        <f t="shared" si="22"/>
        <v>6</v>
      </c>
      <c r="Q418" s="41">
        <v>2956.7768595041325</v>
      </c>
      <c r="R418" s="41">
        <v>10500</v>
      </c>
      <c r="S418" s="41">
        <f t="shared" si="21"/>
        <v>7543.2231404958675</v>
      </c>
    </row>
    <row r="419" spans="1:19">
      <c r="A419" s="5">
        <v>418</v>
      </c>
      <c r="B419" s="5">
        <v>2509241063</v>
      </c>
      <c r="C419" s="5" t="s">
        <v>2063</v>
      </c>
      <c r="D419" s="5" t="s">
        <v>77</v>
      </c>
      <c r="E419" s="5" t="s">
        <v>78</v>
      </c>
      <c r="F419" s="5" t="s">
        <v>79</v>
      </c>
      <c r="G419" s="5" t="s">
        <v>75</v>
      </c>
      <c r="H419" s="5" t="s">
        <v>2059</v>
      </c>
      <c r="I419" s="5">
        <v>202501415</v>
      </c>
      <c r="J419" s="5"/>
      <c r="K419" s="6">
        <v>45924</v>
      </c>
      <c r="L419" s="6">
        <v>45930</v>
      </c>
      <c r="M419" s="5" t="s">
        <v>53</v>
      </c>
      <c r="N419" s="5" t="s">
        <v>54</v>
      </c>
      <c r="O419" s="5" t="s">
        <v>41</v>
      </c>
      <c r="P419" s="30">
        <f t="shared" si="22"/>
        <v>6</v>
      </c>
      <c r="Q419" s="41">
        <v>2956.7768595041325</v>
      </c>
      <c r="R419" s="41">
        <v>4500</v>
      </c>
      <c r="S419" s="41">
        <f t="shared" si="21"/>
        <v>1543.2231404958675</v>
      </c>
    </row>
    <row r="420" spans="1:19">
      <c r="A420" s="5">
        <v>419</v>
      </c>
      <c r="B420" s="5">
        <v>2509241076</v>
      </c>
      <c r="C420" s="5" t="s">
        <v>2064</v>
      </c>
      <c r="D420" s="5" t="s">
        <v>676</v>
      </c>
      <c r="E420" s="5" t="s">
        <v>2065</v>
      </c>
      <c r="F420" s="5" t="s">
        <v>678</v>
      </c>
      <c r="G420" s="5" t="s">
        <v>52</v>
      </c>
      <c r="H420" s="5" t="s">
        <v>2059</v>
      </c>
      <c r="I420" s="5">
        <v>202501416</v>
      </c>
      <c r="J420" s="5"/>
      <c r="K420" s="6">
        <v>45924</v>
      </c>
      <c r="L420" s="6">
        <v>45930</v>
      </c>
      <c r="M420" s="5" t="s">
        <v>53</v>
      </c>
      <c r="N420" s="5" t="s">
        <v>54</v>
      </c>
      <c r="O420" s="5" t="s">
        <v>41</v>
      </c>
      <c r="P420" s="30">
        <f t="shared" si="22"/>
        <v>6</v>
      </c>
      <c r="Q420" s="41">
        <v>2956.7768595041325</v>
      </c>
      <c r="R420" s="41">
        <v>7500</v>
      </c>
      <c r="S420" s="41">
        <f t="shared" si="21"/>
        <v>4543.2231404958675</v>
      </c>
    </row>
    <row r="421" spans="1:19">
      <c r="A421" s="5">
        <v>420</v>
      </c>
      <c r="B421" s="5">
        <v>2509242957</v>
      </c>
      <c r="C421" s="5" t="s">
        <v>2066</v>
      </c>
      <c r="D421" s="5" t="s">
        <v>89</v>
      </c>
      <c r="E421" s="5" t="s">
        <v>90</v>
      </c>
      <c r="F421" s="5" t="s">
        <v>79</v>
      </c>
      <c r="G421" s="5" t="s">
        <v>52</v>
      </c>
      <c r="H421" s="5" t="s">
        <v>2059</v>
      </c>
      <c r="I421" s="5">
        <v>202501417</v>
      </c>
      <c r="J421" s="5"/>
      <c r="K421" s="6">
        <v>45924</v>
      </c>
      <c r="L421" s="6">
        <v>45930</v>
      </c>
      <c r="M421" s="5" t="s">
        <v>53</v>
      </c>
      <c r="N421" s="5" t="s">
        <v>54</v>
      </c>
      <c r="O421" s="5" t="s">
        <v>41</v>
      </c>
      <c r="P421" s="30">
        <f t="shared" si="22"/>
        <v>6</v>
      </c>
      <c r="Q421" s="41">
        <v>2956.7768595041325</v>
      </c>
      <c r="R421" s="41">
        <v>5500</v>
      </c>
      <c r="S421" s="41">
        <f t="shared" si="21"/>
        <v>2543.2231404958675</v>
      </c>
    </row>
    <row r="422" spans="1:19">
      <c r="A422" s="5">
        <v>421</v>
      </c>
      <c r="B422" s="5">
        <v>2509242961</v>
      </c>
      <c r="C422" s="5" t="s">
        <v>2067</v>
      </c>
      <c r="D422" s="5" t="s">
        <v>855</v>
      </c>
      <c r="E422" s="5" t="s">
        <v>2068</v>
      </c>
      <c r="F422" s="5" t="s">
        <v>51</v>
      </c>
      <c r="G422" s="5" t="s">
        <v>52</v>
      </c>
      <c r="H422" s="5" t="s">
        <v>2059</v>
      </c>
      <c r="I422" s="5">
        <v>202501418</v>
      </c>
      <c r="J422" s="5"/>
      <c r="K422" s="6">
        <v>45924</v>
      </c>
      <c r="L422" s="6">
        <v>45930</v>
      </c>
      <c r="M422" s="5" t="s">
        <v>53</v>
      </c>
      <c r="N422" s="5" t="s">
        <v>54</v>
      </c>
      <c r="O422" s="5" t="s">
        <v>41</v>
      </c>
      <c r="P422" s="30">
        <f t="shared" si="22"/>
        <v>6</v>
      </c>
      <c r="Q422" s="41">
        <v>2956.7768595041325</v>
      </c>
      <c r="R422" s="41">
        <v>5500</v>
      </c>
      <c r="S422" s="41">
        <f t="shared" si="21"/>
        <v>2543.2231404958675</v>
      </c>
    </row>
    <row r="423" spans="1:19">
      <c r="A423" s="5">
        <v>422</v>
      </c>
      <c r="B423" s="26">
        <v>2509163007</v>
      </c>
      <c r="C423" s="26" t="s">
        <v>1943</v>
      </c>
      <c r="D423" s="26" t="s">
        <v>706</v>
      </c>
      <c r="E423" s="26" t="s">
        <v>1944</v>
      </c>
      <c r="F423" s="26" t="s">
        <v>79</v>
      </c>
      <c r="G423" s="26" t="s">
        <v>52</v>
      </c>
      <c r="H423" s="26" t="s">
        <v>2059</v>
      </c>
      <c r="I423" s="26">
        <v>202501419</v>
      </c>
      <c r="J423" s="26"/>
      <c r="K423" s="27">
        <v>45924</v>
      </c>
      <c r="L423" s="27">
        <v>45930</v>
      </c>
      <c r="M423" s="26" t="s">
        <v>45</v>
      </c>
      <c r="N423" s="26" t="s">
        <v>163</v>
      </c>
      <c r="O423" s="26" t="s">
        <v>1603</v>
      </c>
      <c r="P423" s="33">
        <f t="shared" si="22"/>
        <v>6</v>
      </c>
      <c r="Q423" s="28">
        <v>2956.7768595041325</v>
      </c>
      <c r="R423" s="28">
        <v>0</v>
      </c>
      <c r="S423" s="28">
        <f t="shared" si="21"/>
        <v>-2956.7768595041325</v>
      </c>
    </row>
    <row r="424" spans="1:19">
      <c r="A424" s="5">
        <v>423</v>
      </c>
      <c r="B424" s="5">
        <v>2509242963</v>
      </c>
      <c r="C424" s="5" t="s">
        <v>2069</v>
      </c>
      <c r="D424" s="5" t="s">
        <v>405</v>
      </c>
      <c r="E424" s="5" t="s">
        <v>2070</v>
      </c>
      <c r="F424" s="5" t="s">
        <v>202</v>
      </c>
      <c r="G424" s="5" t="s">
        <v>52</v>
      </c>
      <c r="H424" s="5" t="s">
        <v>2059</v>
      </c>
      <c r="I424" s="5">
        <v>202501420</v>
      </c>
      <c r="J424" s="5"/>
      <c r="K424" s="6">
        <v>45924</v>
      </c>
      <c r="L424" s="6">
        <v>45930</v>
      </c>
      <c r="M424" s="5" t="s">
        <v>53</v>
      </c>
      <c r="N424" s="5" t="s">
        <v>54</v>
      </c>
      <c r="O424" s="5" t="s">
        <v>41</v>
      </c>
      <c r="P424" s="30">
        <f t="shared" si="22"/>
        <v>6</v>
      </c>
      <c r="Q424" s="41">
        <v>2956.7768595041325</v>
      </c>
      <c r="R424" s="41">
        <v>6450</v>
      </c>
      <c r="S424" s="41">
        <f t="shared" si="21"/>
        <v>3493.2231404958675</v>
      </c>
    </row>
    <row r="425" spans="1:19">
      <c r="A425" s="5">
        <v>424</v>
      </c>
      <c r="B425" s="5">
        <v>2509242968</v>
      </c>
      <c r="C425" s="5" t="s">
        <v>2071</v>
      </c>
      <c r="D425" s="5" t="s">
        <v>437</v>
      </c>
      <c r="E425" s="5" t="s">
        <v>896</v>
      </c>
      <c r="F425" s="5" t="s">
        <v>71</v>
      </c>
      <c r="G425" s="5" t="s">
        <v>52</v>
      </c>
      <c r="H425" s="5" t="s">
        <v>2059</v>
      </c>
      <c r="I425" s="5">
        <v>202501421</v>
      </c>
      <c r="J425" s="5"/>
      <c r="K425" s="6">
        <v>45924</v>
      </c>
      <c r="L425" s="6">
        <v>45930</v>
      </c>
      <c r="M425" s="5" t="s">
        <v>53</v>
      </c>
      <c r="N425" s="5" t="s">
        <v>54</v>
      </c>
      <c r="O425" s="5" t="s">
        <v>41</v>
      </c>
      <c r="P425" s="30">
        <f t="shared" si="22"/>
        <v>6</v>
      </c>
      <c r="Q425" s="41">
        <v>2956.7768595041325</v>
      </c>
      <c r="R425" s="41">
        <v>8500</v>
      </c>
      <c r="S425" s="41">
        <f t="shared" si="21"/>
        <v>5543.2231404958675</v>
      </c>
    </row>
    <row r="426" spans="1:19">
      <c r="A426" s="5">
        <v>425</v>
      </c>
      <c r="B426" s="9">
        <v>2509242974</v>
      </c>
      <c r="C426" s="9" t="s">
        <v>2072</v>
      </c>
      <c r="D426" s="9" t="s">
        <v>564</v>
      </c>
      <c r="E426" s="9" t="s">
        <v>890</v>
      </c>
      <c r="F426" s="9" t="s">
        <v>71</v>
      </c>
      <c r="G426" s="9" t="s">
        <v>75</v>
      </c>
      <c r="H426" s="9" t="s">
        <v>2059</v>
      </c>
      <c r="I426" s="9">
        <v>202501422</v>
      </c>
      <c r="J426" s="9"/>
      <c r="K426" s="10">
        <v>45924</v>
      </c>
      <c r="L426" s="10">
        <v>45930</v>
      </c>
      <c r="M426" s="9" t="s">
        <v>45</v>
      </c>
      <c r="N426" s="9" t="s">
        <v>94</v>
      </c>
      <c r="O426" s="9" t="s">
        <v>1667</v>
      </c>
      <c r="P426" s="32">
        <f t="shared" si="22"/>
        <v>6</v>
      </c>
      <c r="Q426" s="11">
        <v>2956.7768595041325</v>
      </c>
      <c r="R426" s="11">
        <v>6500</v>
      </c>
      <c r="S426" s="11">
        <f t="shared" si="21"/>
        <v>3543.2231404958675</v>
      </c>
    </row>
    <row r="427" spans="1:19">
      <c r="A427" s="5">
        <v>426</v>
      </c>
      <c r="B427" s="5">
        <v>2509250749</v>
      </c>
      <c r="C427" s="5" t="s">
        <v>2073</v>
      </c>
      <c r="D427" s="5" t="s">
        <v>40</v>
      </c>
      <c r="E427" s="5" t="s">
        <v>41</v>
      </c>
      <c r="F427" s="5" t="s">
        <v>42</v>
      </c>
      <c r="G427" s="5" t="s">
        <v>75</v>
      </c>
      <c r="H427" s="5" t="s">
        <v>2059</v>
      </c>
      <c r="I427" s="5">
        <v>202501423</v>
      </c>
      <c r="J427" s="5"/>
      <c r="K427" s="6">
        <v>45925</v>
      </c>
      <c r="L427" s="6">
        <v>45930</v>
      </c>
      <c r="M427" s="42" t="s">
        <v>53</v>
      </c>
      <c r="N427" s="42" t="s">
        <v>54</v>
      </c>
      <c r="O427" s="42" t="s">
        <v>41</v>
      </c>
      <c r="P427" s="30">
        <f t="shared" si="22"/>
        <v>5</v>
      </c>
      <c r="Q427" s="41">
        <v>2956.7768595041325</v>
      </c>
      <c r="R427" s="41">
        <v>6500</v>
      </c>
      <c r="S427" s="41">
        <f t="shared" si="21"/>
        <v>3543.2231404958675</v>
      </c>
    </row>
    <row r="428" spans="1:19">
      <c r="A428" s="5">
        <v>427</v>
      </c>
      <c r="B428" s="17">
        <v>2509251521</v>
      </c>
      <c r="C428" s="17" t="s">
        <v>2074</v>
      </c>
      <c r="D428" s="17" t="s">
        <v>1438</v>
      </c>
      <c r="E428" s="17" t="s">
        <v>2075</v>
      </c>
      <c r="F428" s="17" t="s">
        <v>202</v>
      </c>
      <c r="G428" s="17" t="s">
        <v>52</v>
      </c>
      <c r="H428" s="17" t="s">
        <v>2059</v>
      </c>
      <c r="I428" s="17">
        <v>202501424</v>
      </c>
      <c r="J428" s="17"/>
      <c r="K428" s="18">
        <v>45925</v>
      </c>
      <c r="L428" s="18">
        <v>45930</v>
      </c>
      <c r="M428" s="17" t="s">
        <v>53</v>
      </c>
      <c r="N428" s="17" t="s">
        <v>480</v>
      </c>
      <c r="O428" s="17" t="s">
        <v>752</v>
      </c>
      <c r="P428" s="31">
        <f t="shared" si="22"/>
        <v>5</v>
      </c>
      <c r="Q428" s="19">
        <v>2956.7768595041325</v>
      </c>
      <c r="R428" s="19">
        <v>8000</v>
      </c>
      <c r="S428" s="19">
        <f t="shared" si="21"/>
        <v>5043.2231404958675</v>
      </c>
    </row>
    <row r="429" spans="1:19">
      <c r="A429" s="5">
        <v>428</v>
      </c>
      <c r="B429" s="5">
        <v>2509251529</v>
      </c>
      <c r="C429" s="5" t="s">
        <v>2076</v>
      </c>
      <c r="D429" s="5" t="s">
        <v>309</v>
      </c>
      <c r="E429" s="5" t="s">
        <v>310</v>
      </c>
      <c r="F429" s="5" t="s">
        <v>51</v>
      </c>
      <c r="G429" s="5" t="s">
        <v>52</v>
      </c>
      <c r="H429" s="5" t="s">
        <v>2059</v>
      </c>
      <c r="I429" s="5">
        <v>202501425</v>
      </c>
      <c r="J429" s="5"/>
      <c r="K429" s="6">
        <v>45925</v>
      </c>
      <c r="L429" s="6">
        <v>45930</v>
      </c>
      <c r="M429" s="42" t="s">
        <v>53</v>
      </c>
      <c r="N429" s="42" t="s">
        <v>54</v>
      </c>
      <c r="O429" s="42" t="s">
        <v>41</v>
      </c>
      <c r="P429" s="30">
        <f t="shared" si="22"/>
        <v>5</v>
      </c>
      <c r="Q429" s="41">
        <v>2956.7768595041325</v>
      </c>
      <c r="R429" s="41">
        <v>5500</v>
      </c>
      <c r="S429" s="41">
        <f t="shared" si="21"/>
        <v>2543.2231404958675</v>
      </c>
    </row>
    <row r="430" spans="1:19">
      <c r="A430" s="5">
        <v>429</v>
      </c>
      <c r="B430" s="5">
        <v>2509251538</v>
      </c>
      <c r="C430" s="5" t="s">
        <v>2077</v>
      </c>
      <c r="D430" s="5" t="s">
        <v>1638</v>
      </c>
      <c r="E430" s="5" t="s">
        <v>2078</v>
      </c>
      <c r="F430" s="5" t="s">
        <v>202</v>
      </c>
      <c r="G430" s="5" t="s">
        <v>52</v>
      </c>
      <c r="H430" s="5" t="s">
        <v>2059</v>
      </c>
      <c r="I430" s="5">
        <v>202501426</v>
      </c>
      <c r="J430" s="5"/>
      <c r="K430" s="6">
        <v>45925</v>
      </c>
      <c r="L430" s="6">
        <v>45930</v>
      </c>
      <c r="M430" s="42" t="s">
        <v>53</v>
      </c>
      <c r="N430" s="42" t="s">
        <v>54</v>
      </c>
      <c r="O430" s="42" t="s">
        <v>41</v>
      </c>
      <c r="P430" s="30">
        <f t="shared" si="22"/>
        <v>5</v>
      </c>
      <c r="Q430" s="41">
        <v>2956.7768595041325</v>
      </c>
      <c r="R430" s="41">
        <v>8000</v>
      </c>
      <c r="S430" s="41">
        <f t="shared" si="21"/>
        <v>5043.2231404958675</v>
      </c>
    </row>
    <row r="431" spans="1:19">
      <c r="A431" s="5">
        <v>430</v>
      </c>
      <c r="B431" s="5">
        <v>2509251545</v>
      </c>
      <c r="C431" s="5" t="s">
        <v>2079</v>
      </c>
      <c r="D431" s="5" t="s">
        <v>405</v>
      </c>
      <c r="E431" s="5" t="s">
        <v>2070</v>
      </c>
      <c r="F431" s="5" t="s">
        <v>202</v>
      </c>
      <c r="G431" s="5" t="s">
        <v>52</v>
      </c>
      <c r="H431" s="5" t="s">
        <v>2059</v>
      </c>
      <c r="I431" s="5">
        <v>202501427</v>
      </c>
      <c r="J431" s="5"/>
      <c r="K431" s="6">
        <v>45925</v>
      </c>
      <c r="L431" s="6">
        <v>45930</v>
      </c>
      <c r="M431" s="42" t="s">
        <v>53</v>
      </c>
      <c r="N431" s="42" t="s">
        <v>54</v>
      </c>
      <c r="O431" s="42" t="s">
        <v>41</v>
      </c>
      <c r="P431" s="30">
        <f t="shared" si="22"/>
        <v>5</v>
      </c>
      <c r="Q431" s="41">
        <v>2956.7768595041325</v>
      </c>
      <c r="R431" s="41">
        <v>6450</v>
      </c>
      <c r="S431" s="41">
        <f t="shared" si="21"/>
        <v>3493.2231404958675</v>
      </c>
    </row>
    <row r="432" spans="1:19">
      <c r="A432" s="5">
        <v>431</v>
      </c>
      <c r="B432" s="5">
        <v>2509251554</v>
      </c>
      <c r="C432" s="5" t="s">
        <v>2080</v>
      </c>
      <c r="D432" s="5" t="s">
        <v>345</v>
      </c>
      <c r="E432" s="5" t="s">
        <v>1846</v>
      </c>
      <c r="F432" s="5" t="s">
        <v>66</v>
      </c>
      <c r="G432" s="5" t="s">
        <v>75</v>
      </c>
      <c r="H432" s="5" t="s">
        <v>2059</v>
      </c>
      <c r="I432" s="5">
        <v>202501428</v>
      </c>
      <c r="J432" s="5"/>
      <c r="K432" s="6">
        <v>45925</v>
      </c>
      <c r="L432" s="6">
        <v>45930</v>
      </c>
      <c r="M432" s="42" t="s">
        <v>53</v>
      </c>
      <c r="N432" s="42" t="s">
        <v>54</v>
      </c>
      <c r="O432" s="42" t="s">
        <v>41</v>
      </c>
      <c r="P432" s="30">
        <f t="shared" si="22"/>
        <v>5</v>
      </c>
      <c r="Q432" s="41">
        <v>2956.7768595041325</v>
      </c>
      <c r="R432" s="41">
        <v>2500</v>
      </c>
      <c r="S432" s="41">
        <f t="shared" si="21"/>
        <v>-456.77685950413252</v>
      </c>
    </row>
    <row r="433" spans="1:19">
      <c r="A433" s="5">
        <v>432</v>
      </c>
      <c r="B433" s="5">
        <v>2509251565</v>
      </c>
      <c r="C433" s="5" t="s">
        <v>2081</v>
      </c>
      <c r="D433" s="5" t="s">
        <v>345</v>
      </c>
      <c r="E433" s="5" t="s">
        <v>1846</v>
      </c>
      <c r="F433" s="5" t="s">
        <v>66</v>
      </c>
      <c r="G433" s="5" t="s">
        <v>75</v>
      </c>
      <c r="H433" s="5" t="s">
        <v>2059</v>
      </c>
      <c r="I433" s="5">
        <v>202501429</v>
      </c>
      <c r="J433" s="5"/>
      <c r="K433" s="6">
        <v>45925</v>
      </c>
      <c r="L433" s="6">
        <v>45930</v>
      </c>
      <c r="M433" s="42" t="s">
        <v>53</v>
      </c>
      <c r="N433" s="42" t="s">
        <v>54</v>
      </c>
      <c r="O433" s="42" t="s">
        <v>41</v>
      </c>
      <c r="P433" s="30">
        <f t="shared" si="22"/>
        <v>5</v>
      </c>
      <c r="Q433" s="41">
        <v>2956.7768595041325</v>
      </c>
      <c r="R433" s="41">
        <v>2500</v>
      </c>
      <c r="S433" s="41">
        <f t="shared" si="21"/>
        <v>-456.77685950413252</v>
      </c>
    </row>
    <row r="434" spans="1:19">
      <c r="A434" s="5">
        <v>433</v>
      </c>
      <c r="B434" s="5">
        <v>2509251573</v>
      </c>
      <c r="C434" s="5" t="s">
        <v>2082</v>
      </c>
      <c r="D434" s="5" t="s">
        <v>345</v>
      </c>
      <c r="E434" s="5" t="s">
        <v>2083</v>
      </c>
      <c r="F434" s="5" t="s">
        <v>66</v>
      </c>
      <c r="G434" s="5" t="s">
        <v>75</v>
      </c>
      <c r="H434" s="5" t="s">
        <v>2059</v>
      </c>
      <c r="I434" s="5">
        <v>202501430</v>
      </c>
      <c r="J434" s="5"/>
      <c r="K434" s="6">
        <v>45925</v>
      </c>
      <c r="L434" s="6">
        <v>45930</v>
      </c>
      <c r="M434" s="42" t="s">
        <v>53</v>
      </c>
      <c r="N434" s="42" t="s">
        <v>54</v>
      </c>
      <c r="O434" s="42" t="s">
        <v>41</v>
      </c>
      <c r="P434" s="30">
        <f t="shared" si="22"/>
        <v>5</v>
      </c>
      <c r="Q434" s="41">
        <v>2956.7768595041325</v>
      </c>
      <c r="R434" s="41">
        <v>2500</v>
      </c>
      <c r="S434" s="41">
        <f t="shared" si="21"/>
        <v>-456.77685950413252</v>
      </c>
    </row>
    <row r="435" spans="1:19">
      <c r="A435" s="5">
        <v>434</v>
      </c>
      <c r="B435" s="5">
        <v>2509253010</v>
      </c>
      <c r="C435" s="5" t="s">
        <v>2084</v>
      </c>
      <c r="D435" s="5" t="s">
        <v>564</v>
      </c>
      <c r="E435" s="5" t="s">
        <v>1485</v>
      </c>
      <c r="F435" s="5" t="s">
        <v>71</v>
      </c>
      <c r="G435" s="5" t="s">
        <v>75</v>
      </c>
      <c r="H435" s="5" t="s">
        <v>2059</v>
      </c>
      <c r="I435" s="5">
        <v>202501431</v>
      </c>
      <c r="J435" s="5"/>
      <c r="K435" s="6">
        <v>45925</v>
      </c>
      <c r="L435" s="6">
        <v>45930</v>
      </c>
      <c r="M435" s="42" t="s">
        <v>53</v>
      </c>
      <c r="N435" s="42" t="s">
        <v>54</v>
      </c>
      <c r="O435" s="42" t="s">
        <v>41</v>
      </c>
      <c r="P435" s="30">
        <f t="shared" si="22"/>
        <v>5</v>
      </c>
      <c r="Q435" s="41">
        <v>2956.7768595041325</v>
      </c>
      <c r="R435" s="41">
        <v>6500</v>
      </c>
      <c r="S435" s="41">
        <f t="shared" si="21"/>
        <v>3543.2231404958675</v>
      </c>
    </row>
    <row r="436" spans="1:19">
      <c r="A436" s="5">
        <v>435</v>
      </c>
      <c r="B436" s="5">
        <v>2509253018</v>
      </c>
      <c r="C436" s="5" t="s">
        <v>2085</v>
      </c>
      <c r="D436" s="5" t="s">
        <v>564</v>
      </c>
      <c r="E436" s="5" t="s">
        <v>1485</v>
      </c>
      <c r="F436" s="5" t="s">
        <v>71</v>
      </c>
      <c r="G436" s="5" t="s">
        <v>75</v>
      </c>
      <c r="H436" s="5" t="s">
        <v>2059</v>
      </c>
      <c r="I436" s="5">
        <v>202501432</v>
      </c>
      <c r="J436" s="5"/>
      <c r="K436" s="6">
        <v>45925</v>
      </c>
      <c r="L436" s="6">
        <v>45930</v>
      </c>
      <c r="M436" s="42" t="s">
        <v>53</v>
      </c>
      <c r="N436" s="42" t="s">
        <v>54</v>
      </c>
      <c r="O436" s="42" t="s">
        <v>41</v>
      </c>
      <c r="P436" s="30">
        <f t="shared" si="22"/>
        <v>5</v>
      </c>
      <c r="Q436" s="41">
        <v>2956.7768595041325</v>
      </c>
      <c r="R436" s="41">
        <v>6500</v>
      </c>
      <c r="S436" s="41">
        <f t="shared" si="21"/>
        <v>3543.2231404958675</v>
      </c>
    </row>
    <row r="437" spans="1:19">
      <c r="A437" s="5">
        <v>436</v>
      </c>
      <c r="B437" s="5">
        <v>2509253025</v>
      </c>
      <c r="C437" s="5" t="s">
        <v>2086</v>
      </c>
      <c r="D437" s="5" t="s">
        <v>564</v>
      </c>
      <c r="E437" s="5" t="s">
        <v>1485</v>
      </c>
      <c r="F437" s="5" t="s">
        <v>71</v>
      </c>
      <c r="G437" s="5" t="s">
        <v>75</v>
      </c>
      <c r="H437" s="5" t="s">
        <v>2059</v>
      </c>
      <c r="I437" s="5">
        <v>202501433</v>
      </c>
      <c r="J437" s="5"/>
      <c r="K437" s="6">
        <v>45925</v>
      </c>
      <c r="L437" s="6">
        <v>45930</v>
      </c>
      <c r="M437" s="42" t="s">
        <v>53</v>
      </c>
      <c r="N437" s="42" t="s">
        <v>54</v>
      </c>
      <c r="O437" s="42" t="s">
        <v>41</v>
      </c>
      <c r="P437" s="30">
        <f t="shared" si="22"/>
        <v>5</v>
      </c>
      <c r="Q437" s="41">
        <v>2956.7768595041325</v>
      </c>
      <c r="R437" s="41">
        <v>6500</v>
      </c>
      <c r="S437" s="41">
        <f t="shared" si="21"/>
        <v>3543.2231404958675</v>
      </c>
    </row>
    <row r="438" spans="1:19">
      <c r="A438" s="5">
        <v>437</v>
      </c>
      <c r="B438" s="5">
        <v>2509253031</v>
      </c>
      <c r="C438" s="5" t="s">
        <v>2087</v>
      </c>
      <c r="D438" s="5" t="s">
        <v>564</v>
      </c>
      <c r="E438" s="5" t="s">
        <v>1485</v>
      </c>
      <c r="F438" s="5" t="s">
        <v>71</v>
      </c>
      <c r="G438" s="5" t="s">
        <v>75</v>
      </c>
      <c r="H438" s="5" t="s">
        <v>2059</v>
      </c>
      <c r="I438" s="5">
        <v>202501434</v>
      </c>
      <c r="J438" s="5"/>
      <c r="K438" s="6">
        <v>45925</v>
      </c>
      <c r="L438" s="6">
        <v>45930</v>
      </c>
      <c r="M438" s="42" t="s">
        <v>53</v>
      </c>
      <c r="N438" s="42" t="s">
        <v>54</v>
      </c>
      <c r="O438" s="42" t="s">
        <v>41</v>
      </c>
      <c r="P438" s="30">
        <f t="shared" si="22"/>
        <v>5</v>
      </c>
      <c r="Q438" s="41">
        <v>2956.7768595041325</v>
      </c>
      <c r="R438" s="41">
        <v>6500</v>
      </c>
      <c r="S438" s="41">
        <f t="shared" si="21"/>
        <v>3543.2231404958675</v>
      </c>
    </row>
    <row r="439" spans="1:19">
      <c r="A439" s="5">
        <v>438</v>
      </c>
      <c r="B439" s="5">
        <v>2509253035</v>
      </c>
      <c r="C439" s="5" t="s">
        <v>2088</v>
      </c>
      <c r="D439" s="5" t="s">
        <v>564</v>
      </c>
      <c r="E439" s="5" t="s">
        <v>1485</v>
      </c>
      <c r="F439" s="5" t="s">
        <v>71</v>
      </c>
      <c r="G439" s="5" t="s">
        <v>52</v>
      </c>
      <c r="H439" s="5" t="s">
        <v>2059</v>
      </c>
      <c r="I439" s="5">
        <v>202501435</v>
      </c>
      <c r="J439" s="5"/>
      <c r="K439" s="6">
        <v>45925</v>
      </c>
      <c r="L439" s="6">
        <v>45930</v>
      </c>
      <c r="M439" s="42" t="s">
        <v>53</v>
      </c>
      <c r="N439" s="42" t="s">
        <v>54</v>
      </c>
      <c r="O439" s="42" t="s">
        <v>41</v>
      </c>
      <c r="P439" s="30">
        <f t="shared" si="22"/>
        <v>5</v>
      </c>
      <c r="Q439" s="41">
        <v>2956.7768595041325</v>
      </c>
      <c r="R439" s="41">
        <v>8500</v>
      </c>
      <c r="S439" s="41">
        <f t="shared" si="21"/>
        <v>5543.2231404958675</v>
      </c>
    </row>
    <row r="440" spans="1:19">
      <c r="A440" s="5">
        <v>439</v>
      </c>
      <c r="B440" s="5">
        <v>2509253040</v>
      </c>
      <c r="C440" s="5" t="s">
        <v>2089</v>
      </c>
      <c r="D440" s="5" t="s">
        <v>581</v>
      </c>
      <c r="E440" s="5" t="s">
        <v>2090</v>
      </c>
      <c r="F440" s="5" t="s">
        <v>202</v>
      </c>
      <c r="G440" s="5" t="s">
        <v>75</v>
      </c>
      <c r="H440" s="5" t="s">
        <v>2059</v>
      </c>
      <c r="I440" s="5">
        <v>202501436</v>
      </c>
      <c r="J440" s="5"/>
      <c r="K440" s="6">
        <v>45925</v>
      </c>
      <c r="L440" s="6">
        <v>45930</v>
      </c>
      <c r="M440" s="42" t="s">
        <v>53</v>
      </c>
      <c r="N440" s="42" t="s">
        <v>54</v>
      </c>
      <c r="O440" s="42" t="s">
        <v>41</v>
      </c>
      <c r="P440" s="30">
        <f t="shared" si="22"/>
        <v>5</v>
      </c>
      <c r="Q440" s="41">
        <v>2956.7768595041325</v>
      </c>
      <c r="R440" s="41">
        <v>5900</v>
      </c>
      <c r="S440" s="41">
        <f t="shared" si="21"/>
        <v>2943.2231404958675</v>
      </c>
    </row>
    <row r="441" spans="1:19">
      <c r="A441" s="5">
        <v>440</v>
      </c>
      <c r="B441" s="5">
        <v>2509251582</v>
      </c>
      <c r="C441" s="5" t="s">
        <v>2091</v>
      </c>
      <c r="D441" s="5" t="s">
        <v>40</v>
      </c>
      <c r="E441" s="5" t="s">
        <v>41</v>
      </c>
      <c r="F441" s="5" t="s">
        <v>2092</v>
      </c>
      <c r="G441" s="5" t="s">
        <v>52</v>
      </c>
      <c r="H441" s="5" t="s">
        <v>2059</v>
      </c>
      <c r="I441" s="5">
        <v>202501437</v>
      </c>
      <c r="J441" s="5"/>
      <c r="K441" s="6">
        <v>45925</v>
      </c>
      <c r="L441" s="6">
        <v>45930</v>
      </c>
      <c r="M441" s="42" t="s">
        <v>53</v>
      </c>
      <c r="N441" s="42" t="s">
        <v>54</v>
      </c>
      <c r="O441" s="42" t="s">
        <v>41</v>
      </c>
      <c r="P441" s="30">
        <f t="shared" si="22"/>
        <v>5</v>
      </c>
      <c r="Q441" s="41">
        <v>2956.7768595041325</v>
      </c>
      <c r="R441" s="41">
        <v>9500</v>
      </c>
      <c r="S441" s="41">
        <f t="shared" si="21"/>
        <v>6543.2231404958675</v>
      </c>
    </row>
    <row r="442" spans="1:19">
      <c r="A442" s="5">
        <v>441</v>
      </c>
      <c r="B442" s="9">
        <v>2509253070</v>
      </c>
      <c r="C442" s="9" t="s">
        <v>2093</v>
      </c>
      <c r="D442" s="9" t="s">
        <v>572</v>
      </c>
      <c r="E442" s="9" t="s">
        <v>2094</v>
      </c>
      <c r="F442" s="9" t="s">
        <v>87</v>
      </c>
      <c r="G442" s="9" t="s">
        <v>52</v>
      </c>
      <c r="H442" s="9" t="s">
        <v>2059</v>
      </c>
      <c r="I442" s="9">
        <v>202501438</v>
      </c>
      <c r="J442" s="9"/>
      <c r="K442" s="10">
        <v>45925</v>
      </c>
      <c r="L442" s="10">
        <v>45930</v>
      </c>
      <c r="M442" s="54" t="s">
        <v>53</v>
      </c>
      <c r="N442" s="54" t="s">
        <v>94</v>
      </c>
      <c r="O442" s="54" t="s">
        <v>2095</v>
      </c>
      <c r="P442" s="32">
        <f t="shared" si="22"/>
        <v>5</v>
      </c>
      <c r="Q442" s="11">
        <v>2956.7768595041325</v>
      </c>
      <c r="R442" s="11">
        <v>6000</v>
      </c>
      <c r="S442" s="11">
        <f t="shared" si="21"/>
        <v>3043.2231404958675</v>
      </c>
    </row>
    <row r="443" spans="1:19">
      <c r="A443" s="5">
        <v>442</v>
      </c>
      <c r="B443" s="5">
        <v>2509262805</v>
      </c>
      <c r="C443" s="5" t="s">
        <v>2096</v>
      </c>
      <c r="D443" s="5" t="s">
        <v>1168</v>
      </c>
      <c r="E443" s="5" t="s">
        <v>2097</v>
      </c>
      <c r="F443" s="5" t="s">
        <v>109</v>
      </c>
      <c r="G443" s="5" t="s">
        <v>52</v>
      </c>
      <c r="H443" s="5" t="s">
        <v>2059</v>
      </c>
      <c r="I443" s="5">
        <v>202501439</v>
      </c>
      <c r="J443" s="5"/>
      <c r="K443" s="6">
        <v>45926</v>
      </c>
      <c r="L443" s="6">
        <v>45930</v>
      </c>
      <c r="M443" s="42" t="s">
        <v>53</v>
      </c>
      <c r="N443" s="42" t="s">
        <v>54</v>
      </c>
      <c r="O443" s="42" t="s">
        <v>41</v>
      </c>
      <c r="P443" s="30">
        <f t="shared" si="22"/>
        <v>4</v>
      </c>
      <c r="Q443" s="41">
        <v>2956.7768595041325</v>
      </c>
      <c r="R443" s="41">
        <v>6000</v>
      </c>
      <c r="S443" s="41">
        <f t="shared" si="21"/>
        <v>3043.2231404958675</v>
      </c>
    </row>
    <row r="444" spans="1:19">
      <c r="A444" s="5">
        <v>443</v>
      </c>
      <c r="B444" s="9">
        <v>2509262810</v>
      </c>
      <c r="C444" s="9" t="s">
        <v>2098</v>
      </c>
      <c r="D444" s="9" t="s">
        <v>64</v>
      </c>
      <c r="E444" s="9" t="s">
        <v>1498</v>
      </c>
      <c r="F444" s="9" t="s">
        <v>66</v>
      </c>
      <c r="G444" s="9" t="s">
        <v>52</v>
      </c>
      <c r="H444" s="9" t="s">
        <v>2059</v>
      </c>
      <c r="I444" s="9">
        <v>202501440</v>
      </c>
      <c r="J444" s="9"/>
      <c r="K444" s="10">
        <v>45926</v>
      </c>
      <c r="L444" s="10">
        <v>45930</v>
      </c>
      <c r="M444" s="54" t="s">
        <v>53</v>
      </c>
      <c r="N444" s="54" t="s">
        <v>94</v>
      </c>
      <c r="O444" s="54" t="s">
        <v>2099</v>
      </c>
      <c r="P444" s="32">
        <f t="shared" si="22"/>
        <v>4</v>
      </c>
      <c r="Q444" s="11">
        <v>2956.7768595041325</v>
      </c>
      <c r="R444" s="11">
        <v>5500</v>
      </c>
      <c r="S444" s="11">
        <f t="shared" si="21"/>
        <v>2543.2231404958675</v>
      </c>
    </row>
    <row r="445" spans="1:19">
      <c r="A445" s="5">
        <v>444</v>
      </c>
      <c r="B445" s="9">
        <v>2509262815</v>
      </c>
      <c r="C445" s="9" t="s">
        <v>2100</v>
      </c>
      <c r="D445" s="9" t="s">
        <v>881</v>
      </c>
      <c r="E445" s="9" t="s">
        <v>2101</v>
      </c>
      <c r="F445" s="9" t="s">
        <v>457</v>
      </c>
      <c r="G445" s="9" t="s">
        <v>52</v>
      </c>
      <c r="H445" s="9" t="s">
        <v>2059</v>
      </c>
      <c r="I445" s="9">
        <v>202501441</v>
      </c>
      <c r="J445" s="9"/>
      <c r="K445" s="10">
        <v>45926</v>
      </c>
      <c r="L445" s="10">
        <v>45930</v>
      </c>
      <c r="M445" s="54" t="s">
        <v>53</v>
      </c>
      <c r="N445" s="54" t="s">
        <v>94</v>
      </c>
      <c r="O445" s="54" t="s">
        <v>1844</v>
      </c>
      <c r="P445" s="32">
        <f t="shared" si="22"/>
        <v>4</v>
      </c>
      <c r="Q445" s="11">
        <v>2956.7768595041325</v>
      </c>
      <c r="R445" s="11">
        <v>6000</v>
      </c>
      <c r="S445" s="11">
        <f t="shared" si="21"/>
        <v>3043.2231404958675</v>
      </c>
    </row>
    <row r="446" spans="1:19">
      <c r="A446" s="5">
        <v>445</v>
      </c>
      <c r="B446" s="5" t="s">
        <v>1239</v>
      </c>
      <c r="C446" s="5"/>
      <c r="D446" s="5"/>
      <c r="E446" s="5"/>
      <c r="F446" s="5"/>
      <c r="G446" s="5" t="s">
        <v>52</v>
      </c>
      <c r="H446" s="5"/>
      <c r="I446" s="5"/>
      <c r="J446" s="5"/>
      <c r="K446" s="5"/>
      <c r="L446" s="5"/>
      <c r="M446" s="5"/>
      <c r="N446" s="5"/>
      <c r="O446" s="5"/>
      <c r="P446" s="5"/>
      <c r="Q446" s="41">
        <v>2956.7768595041325</v>
      </c>
      <c r="R446" s="7">
        <v>0</v>
      </c>
      <c r="S446" s="7">
        <f t="shared" si="21"/>
        <v>-2956.7768595041325</v>
      </c>
    </row>
    <row r="447" spans="1:19">
      <c r="A447" s="5">
        <v>446</v>
      </c>
      <c r="B447" s="5" t="s">
        <v>1240</v>
      </c>
      <c r="C447" s="5"/>
      <c r="D447" s="5"/>
      <c r="E447" s="5"/>
      <c r="F447" s="5"/>
      <c r="G447" s="5" t="s">
        <v>52</v>
      </c>
      <c r="H447" s="5"/>
      <c r="I447" s="5"/>
      <c r="J447" s="5"/>
      <c r="K447" s="5"/>
      <c r="L447" s="5"/>
      <c r="M447" s="5"/>
      <c r="N447" s="5"/>
      <c r="O447" s="5"/>
      <c r="P447" s="5"/>
      <c r="Q447" s="41">
        <v>2956.7768595041325</v>
      </c>
      <c r="R447" s="7">
        <v>0</v>
      </c>
      <c r="S447" s="7">
        <f t="shared" si="21"/>
        <v>-2956.7768595041325</v>
      </c>
    </row>
    <row r="450" spans="3:5">
      <c r="C450" s="5" t="s">
        <v>19</v>
      </c>
      <c r="D450" s="37">
        <f>AVERAGE(P:P)</f>
        <v>4.8768115942028984</v>
      </c>
    </row>
    <row r="451" spans="3:5">
      <c r="C451" s="5" t="s">
        <v>12</v>
      </c>
      <c r="D451" s="5">
        <f>COUNTIF(N:N,"Repeat")</f>
        <v>34</v>
      </c>
      <c r="E451" s="38">
        <f>D451/414</f>
        <v>8.2125603864734303E-2</v>
      </c>
    </row>
    <row r="452" spans="3:5">
      <c r="C452" s="5" t="s">
        <v>13</v>
      </c>
      <c r="D452" s="5">
        <f>COUNTIF(N:N,"Resampling")</f>
        <v>9</v>
      </c>
      <c r="E452" s="38">
        <f>D452/414</f>
        <v>2.1739130434782608E-2</v>
      </c>
    </row>
    <row r="453" spans="3:5">
      <c r="C453" s="5" t="s">
        <v>15</v>
      </c>
      <c r="D453" s="5">
        <f>COUNTIF(N:N,"Refund")</f>
        <v>3</v>
      </c>
      <c r="E453" s="38">
        <f>D453/414</f>
        <v>7.246376811594203E-3</v>
      </c>
    </row>
    <row r="454" spans="3:5">
      <c r="C454" s="5" t="s">
        <v>14</v>
      </c>
      <c r="D454" s="5">
        <f>COUNTIF(N:N,"High risk")</f>
        <v>3</v>
      </c>
      <c r="E454" s="38">
        <f>D454/414</f>
        <v>7.246376811594203E-3</v>
      </c>
    </row>
    <row r="455" spans="3:5">
      <c r="C455" s="5" t="s">
        <v>11</v>
      </c>
      <c r="D455" s="8">
        <f>SUM(Q:Q)</f>
        <v>1527558.1818181837</v>
      </c>
    </row>
    <row r="456" spans="3:5">
      <c r="C456" s="5" t="s">
        <v>10</v>
      </c>
      <c r="D456" s="8">
        <f>AVERAGE(Q:Q)</f>
        <v>3425.0183448838202</v>
      </c>
    </row>
    <row r="457" spans="3:5">
      <c r="C457" s="5" t="s">
        <v>16</v>
      </c>
      <c r="D457" s="8">
        <f>SUM(R:R)</f>
        <v>2469350</v>
      </c>
    </row>
    <row r="458" spans="3:5">
      <c r="C458" s="5" t="s">
        <v>17</v>
      </c>
      <c r="D458" s="8">
        <f>D457-D455</f>
        <v>941791.81818181626</v>
      </c>
    </row>
  </sheetData>
  <autoFilter ref="A1:S458" xr:uid="{4C4DA425-6C1D-A64A-B54F-5071C06E0CD8}"/>
  <dataValidations count="1">
    <dataValidation type="list" allowBlank="1" showInputMessage="1" showErrorMessage="1" sqref="G1:G28 G31:G54 G57:G79 G82:G109 G112:G135 G138:G161 G164:G187 G190:G213 G216:G243 G246:G267 G270:G291 G294:G320 G323:G352 G355:G383 G386:G412 G415:G445" xr:uid="{0384F5C5-B44C-A741-87E5-77B972B58305}">
      <formula1>"Basic,Standard,Advanced,Twin"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E9D7-416F-AB4B-BDD9-9F78297F7ADD}">
  <dimension ref="A1:S416"/>
  <sheetViews>
    <sheetView topLeftCell="A392" workbookViewId="0">
      <selection activeCell="C408" sqref="C408:E416"/>
    </sheetView>
  </sheetViews>
  <sheetFormatPr baseColWidth="10" defaultRowHeight="16"/>
  <cols>
    <col min="1" max="1" width="4" bestFit="1" customWidth="1"/>
    <col min="2" max="2" width="12.5" bestFit="1" customWidth="1"/>
    <col min="3" max="3" width="32" bestFit="1" customWidth="1"/>
    <col min="4" max="4" width="43.1640625" bestFit="1" customWidth="1"/>
    <col min="5" max="5" width="27" bestFit="1" customWidth="1"/>
    <col min="6" max="6" width="14.6640625" bestFit="1" customWidth="1"/>
    <col min="7" max="7" width="12" bestFit="1" customWidth="1"/>
    <col min="8" max="8" width="15.1640625" bestFit="1" customWidth="1"/>
    <col min="9" max="9" width="16" bestFit="1" customWidth="1"/>
    <col min="10" max="12" width="13.33203125" customWidth="1"/>
    <col min="13" max="13" width="12.5" customWidth="1"/>
    <col min="14" max="14" width="13.6640625" bestFit="1" customWidth="1"/>
    <col min="15" max="15" width="18" customWidth="1"/>
    <col min="16" max="16" width="9.83203125" bestFit="1" customWidth="1"/>
    <col min="17" max="17" width="13" bestFit="1" customWidth="1"/>
    <col min="18" max="18" width="14.1640625" bestFit="1" customWidth="1"/>
    <col min="19" max="19" width="12.6640625" bestFit="1" customWidth="1"/>
  </cols>
  <sheetData>
    <row r="1" spans="1:19">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4" t="s">
        <v>36</v>
      </c>
      <c r="R1" s="4" t="s">
        <v>37</v>
      </c>
      <c r="S1" s="3" t="s">
        <v>38</v>
      </c>
    </row>
    <row r="2" spans="1:19">
      <c r="A2" s="5">
        <v>1</v>
      </c>
      <c r="B2" s="22">
        <v>2509182746</v>
      </c>
      <c r="C2" s="22" t="s">
        <v>1978</v>
      </c>
      <c r="D2" s="22" t="s">
        <v>136</v>
      </c>
      <c r="E2" s="22" t="s">
        <v>1979</v>
      </c>
      <c r="F2" s="22" t="s">
        <v>87</v>
      </c>
      <c r="G2" s="22" t="s">
        <v>52</v>
      </c>
      <c r="H2" s="22" t="s">
        <v>2102</v>
      </c>
      <c r="I2" s="22" t="s">
        <v>2103</v>
      </c>
      <c r="J2" s="22"/>
      <c r="K2" s="23">
        <v>45928</v>
      </c>
      <c r="L2" s="23">
        <v>45932</v>
      </c>
      <c r="M2" s="50" t="s">
        <v>53</v>
      </c>
      <c r="N2" s="50" t="s">
        <v>54</v>
      </c>
      <c r="O2" s="50" t="s">
        <v>41</v>
      </c>
      <c r="P2" s="34">
        <f t="shared" ref="P2:P28" si="0">L2-K2</f>
        <v>4</v>
      </c>
      <c r="Q2" s="24">
        <v>3308.0564263322885</v>
      </c>
      <c r="R2" s="24">
        <v>0</v>
      </c>
      <c r="S2" s="24">
        <f t="shared" ref="S2:S65" si="1">R2-Q2</f>
        <v>-3308.0564263322885</v>
      </c>
    </row>
    <row r="3" spans="1:19">
      <c r="A3" s="5">
        <v>2</v>
      </c>
      <c r="B3" s="22">
        <v>2509240849</v>
      </c>
      <c r="C3" s="22" t="s">
        <v>2060</v>
      </c>
      <c r="D3" s="22" t="s">
        <v>249</v>
      </c>
      <c r="E3" s="22" t="s">
        <v>1763</v>
      </c>
      <c r="F3" s="22" t="s">
        <v>141</v>
      </c>
      <c r="G3" s="22" t="s">
        <v>52</v>
      </c>
      <c r="H3" s="22" t="s">
        <v>2102</v>
      </c>
      <c r="I3" s="22" t="s">
        <v>2104</v>
      </c>
      <c r="J3" s="22"/>
      <c r="K3" s="23">
        <v>45924</v>
      </c>
      <c r="L3" s="23">
        <v>45932</v>
      </c>
      <c r="M3" s="50" t="s">
        <v>53</v>
      </c>
      <c r="N3" s="50" t="s">
        <v>54</v>
      </c>
      <c r="O3" s="50" t="s">
        <v>41</v>
      </c>
      <c r="P3" s="34">
        <f t="shared" si="0"/>
        <v>8</v>
      </c>
      <c r="Q3" s="24">
        <v>3308.0564263322885</v>
      </c>
      <c r="R3" s="24">
        <v>0</v>
      </c>
      <c r="S3" s="24">
        <f t="shared" si="1"/>
        <v>-3308.0564263322885</v>
      </c>
    </row>
    <row r="4" spans="1:19">
      <c r="A4" s="5">
        <v>3</v>
      </c>
      <c r="B4" s="22">
        <v>2509242974</v>
      </c>
      <c r="C4" s="22" t="s">
        <v>2072</v>
      </c>
      <c r="D4" s="22" t="s">
        <v>564</v>
      </c>
      <c r="E4" s="22" t="s">
        <v>890</v>
      </c>
      <c r="F4" s="22" t="s">
        <v>71</v>
      </c>
      <c r="G4" s="22" t="s">
        <v>75</v>
      </c>
      <c r="H4" s="22" t="s">
        <v>2102</v>
      </c>
      <c r="I4" s="22" t="s">
        <v>2105</v>
      </c>
      <c r="J4" s="22"/>
      <c r="K4" s="23">
        <v>45924</v>
      </c>
      <c r="L4" s="23">
        <v>45932</v>
      </c>
      <c r="M4" s="50" t="s">
        <v>53</v>
      </c>
      <c r="N4" s="50" t="s">
        <v>54</v>
      </c>
      <c r="O4" s="50" t="s">
        <v>41</v>
      </c>
      <c r="P4" s="34">
        <f t="shared" si="0"/>
        <v>8</v>
      </c>
      <c r="Q4" s="24">
        <v>3308.0564263322885</v>
      </c>
      <c r="R4" s="24">
        <v>0</v>
      </c>
      <c r="S4" s="24">
        <f t="shared" si="1"/>
        <v>-3308.0564263322885</v>
      </c>
    </row>
    <row r="5" spans="1:19">
      <c r="A5" s="5">
        <v>4</v>
      </c>
      <c r="B5" s="22">
        <v>2509253070</v>
      </c>
      <c r="C5" s="22" t="s">
        <v>2093</v>
      </c>
      <c r="D5" s="22" t="s">
        <v>572</v>
      </c>
      <c r="E5" s="22" t="s">
        <v>2094</v>
      </c>
      <c r="F5" s="22" t="s">
        <v>87</v>
      </c>
      <c r="G5" s="22" t="s">
        <v>52</v>
      </c>
      <c r="H5" s="22" t="s">
        <v>2102</v>
      </c>
      <c r="I5" s="22" t="s">
        <v>2106</v>
      </c>
      <c r="J5" s="22"/>
      <c r="K5" s="23">
        <v>45925</v>
      </c>
      <c r="L5" s="23">
        <v>45932</v>
      </c>
      <c r="M5" s="50" t="s">
        <v>53</v>
      </c>
      <c r="N5" s="50" t="s">
        <v>54</v>
      </c>
      <c r="O5" s="50" t="s">
        <v>41</v>
      </c>
      <c r="P5" s="34">
        <f t="shared" si="0"/>
        <v>7</v>
      </c>
      <c r="Q5" s="24">
        <v>3308.0564263322885</v>
      </c>
      <c r="R5" s="24">
        <v>0</v>
      </c>
      <c r="S5" s="24">
        <f t="shared" si="1"/>
        <v>-3308.0564263322885</v>
      </c>
    </row>
    <row r="6" spans="1:19">
      <c r="A6" s="5">
        <v>5</v>
      </c>
      <c r="B6" s="13">
        <v>2509262810</v>
      </c>
      <c r="C6" s="13" t="s">
        <v>2098</v>
      </c>
      <c r="D6" s="13" t="s">
        <v>64</v>
      </c>
      <c r="E6" s="13" t="s">
        <v>1498</v>
      </c>
      <c r="F6" s="13" t="s">
        <v>66</v>
      </c>
      <c r="G6" s="13" t="s">
        <v>52</v>
      </c>
      <c r="H6" s="13" t="s">
        <v>2102</v>
      </c>
      <c r="I6" s="13" t="s">
        <v>2107</v>
      </c>
      <c r="J6" s="13"/>
      <c r="K6" s="14">
        <v>45926</v>
      </c>
      <c r="L6" s="14">
        <v>45932</v>
      </c>
      <c r="M6" s="118" t="s">
        <v>2108</v>
      </c>
      <c r="N6" s="118" t="s">
        <v>46</v>
      </c>
      <c r="O6" s="13" t="s">
        <v>2109</v>
      </c>
      <c r="P6" s="35">
        <f t="shared" si="0"/>
        <v>6</v>
      </c>
      <c r="Q6" s="15">
        <v>3308.0564263322885</v>
      </c>
      <c r="R6" s="15">
        <v>0</v>
      </c>
      <c r="S6" s="15">
        <f t="shared" si="1"/>
        <v>-3308.0564263322885</v>
      </c>
    </row>
    <row r="7" spans="1:19">
      <c r="A7" s="5">
        <v>6</v>
      </c>
      <c r="B7" s="22">
        <v>2509262815</v>
      </c>
      <c r="C7" s="22" t="s">
        <v>2100</v>
      </c>
      <c r="D7" s="22" t="s">
        <v>881</v>
      </c>
      <c r="E7" s="22" t="s">
        <v>2101</v>
      </c>
      <c r="F7" s="22" t="s">
        <v>457</v>
      </c>
      <c r="G7" s="22" t="s">
        <v>52</v>
      </c>
      <c r="H7" s="22" t="s">
        <v>2102</v>
      </c>
      <c r="I7" s="22" t="s">
        <v>2110</v>
      </c>
      <c r="J7" s="22"/>
      <c r="K7" s="23">
        <v>45926</v>
      </c>
      <c r="L7" s="23">
        <v>45932</v>
      </c>
      <c r="M7" s="50" t="s">
        <v>53</v>
      </c>
      <c r="N7" s="50" t="s">
        <v>54</v>
      </c>
      <c r="O7" s="50" t="s">
        <v>41</v>
      </c>
      <c r="P7" s="34">
        <f t="shared" si="0"/>
        <v>6</v>
      </c>
      <c r="Q7" s="24">
        <v>3308.0564263322885</v>
      </c>
      <c r="R7" s="24">
        <v>0</v>
      </c>
      <c r="S7" s="24">
        <f t="shared" si="1"/>
        <v>-3308.0564263322885</v>
      </c>
    </row>
    <row r="8" spans="1:19">
      <c r="A8" s="5">
        <v>7</v>
      </c>
      <c r="B8" s="5">
        <v>2509262810</v>
      </c>
      <c r="C8" s="5" t="s">
        <v>2111</v>
      </c>
      <c r="D8" s="5" t="s">
        <v>514</v>
      </c>
      <c r="E8" s="5" t="s">
        <v>2112</v>
      </c>
      <c r="F8" s="5" t="s">
        <v>516</v>
      </c>
      <c r="G8" s="5" t="s">
        <v>190</v>
      </c>
      <c r="H8" s="5" t="s">
        <v>2102</v>
      </c>
      <c r="I8" s="5">
        <v>202501442</v>
      </c>
      <c r="J8" s="5"/>
      <c r="K8" s="6">
        <v>45926</v>
      </c>
      <c r="L8" s="6">
        <v>45932</v>
      </c>
      <c r="M8" s="42" t="s">
        <v>53</v>
      </c>
      <c r="N8" s="42" t="s">
        <v>54</v>
      </c>
      <c r="O8" s="42" t="s">
        <v>41</v>
      </c>
      <c r="P8" s="30">
        <f t="shared" si="0"/>
        <v>6</v>
      </c>
      <c r="Q8" s="41">
        <v>3308.0564263322885</v>
      </c>
      <c r="R8" s="41">
        <v>13500</v>
      </c>
      <c r="S8" s="41">
        <f t="shared" si="1"/>
        <v>10191.943573667711</v>
      </c>
    </row>
    <row r="9" spans="1:19">
      <c r="A9" s="5">
        <v>8</v>
      </c>
      <c r="B9" s="5">
        <v>2509262822</v>
      </c>
      <c r="C9" s="5" t="s">
        <v>2113</v>
      </c>
      <c r="D9" s="5" t="s">
        <v>855</v>
      </c>
      <c r="E9" s="5" t="s">
        <v>2068</v>
      </c>
      <c r="F9" s="5" t="s">
        <v>51</v>
      </c>
      <c r="G9" s="5" t="s">
        <v>52</v>
      </c>
      <c r="H9" s="5" t="s">
        <v>2102</v>
      </c>
      <c r="I9" s="5">
        <v>202501443</v>
      </c>
      <c r="J9" s="5"/>
      <c r="K9" s="6">
        <v>45926</v>
      </c>
      <c r="L9" s="6">
        <v>45932</v>
      </c>
      <c r="M9" s="42" t="s">
        <v>53</v>
      </c>
      <c r="N9" s="42" t="s">
        <v>54</v>
      </c>
      <c r="O9" s="42" t="s">
        <v>41</v>
      </c>
      <c r="P9" s="30">
        <f t="shared" si="0"/>
        <v>6</v>
      </c>
      <c r="Q9" s="41">
        <v>3308.0564263322885</v>
      </c>
      <c r="R9" s="41">
        <v>5500</v>
      </c>
      <c r="S9" s="41">
        <f t="shared" si="1"/>
        <v>2191.9435736677115</v>
      </c>
    </row>
    <row r="10" spans="1:19">
      <c r="A10" s="5">
        <v>9</v>
      </c>
      <c r="B10" s="5">
        <v>2509262830</v>
      </c>
      <c r="C10" s="5" t="s">
        <v>2114</v>
      </c>
      <c r="D10" s="5" t="s">
        <v>1788</v>
      </c>
      <c r="E10" s="5" t="s">
        <v>2115</v>
      </c>
      <c r="F10" s="5" t="s">
        <v>51</v>
      </c>
      <c r="G10" s="5" t="s">
        <v>52</v>
      </c>
      <c r="H10" s="5" t="s">
        <v>2102</v>
      </c>
      <c r="I10" s="5">
        <v>202501444</v>
      </c>
      <c r="J10" s="5"/>
      <c r="K10" s="6">
        <v>45926</v>
      </c>
      <c r="L10" s="6">
        <v>45932</v>
      </c>
      <c r="M10" s="42" t="s">
        <v>53</v>
      </c>
      <c r="N10" s="42" t="s">
        <v>54</v>
      </c>
      <c r="O10" s="42" t="s">
        <v>41</v>
      </c>
      <c r="P10" s="30">
        <f t="shared" si="0"/>
        <v>6</v>
      </c>
      <c r="Q10" s="41">
        <v>3308.0564263322885</v>
      </c>
      <c r="R10" s="41">
        <v>8000</v>
      </c>
      <c r="S10" s="41">
        <f t="shared" si="1"/>
        <v>4691.9435736677115</v>
      </c>
    </row>
    <row r="11" spans="1:19">
      <c r="A11" s="5">
        <v>10</v>
      </c>
      <c r="B11" s="5">
        <v>2509262836</v>
      </c>
      <c r="C11" s="5" t="s">
        <v>2116</v>
      </c>
      <c r="D11" s="5" t="s">
        <v>345</v>
      </c>
      <c r="E11" s="5" t="s">
        <v>2117</v>
      </c>
      <c r="F11" s="5" t="s">
        <v>66</v>
      </c>
      <c r="G11" s="5" t="s">
        <v>43</v>
      </c>
      <c r="H11" s="5" t="s">
        <v>2102</v>
      </c>
      <c r="I11" s="5">
        <v>202501445</v>
      </c>
      <c r="J11" s="5"/>
      <c r="K11" s="6">
        <v>45926</v>
      </c>
      <c r="L11" s="6">
        <v>45932</v>
      </c>
      <c r="M11" s="42" t="s">
        <v>53</v>
      </c>
      <c r="N11" s="42" t="s">
        <v>54</v>
      </c>
      <c r="O11" s="42" t="s">
        <v>41</v>
      </c>
      <c r="P11" s="30">
        <f t="shared" si="0"/>
        <v>6</v>
      </c>
      <c r="Q11" s="41">
        <v>3308.0564263322885</v>
      </c>
      <c r="R11" s="41">
        <v>11000</v>
      </c>
      <c r="S11" s="41">
        <f t="shared" si="1"/>
        <v>7691.9435736677115</v>
      </c>
    </row>
    <row r="12" spans="1:19">
      <c r="A12" s="5">
        <v>11</v>
      </c>
      <c r="B12" s="5">
        <v>2509262841</v>
      </c>
      <c r="C12" s="5" t="s">
        <v>2118</v>
      </c>
      <c r="D12" s="5" t="s">
        <v>153</v>
      </c>
      <c r="E12" s="5" t="s">
        <v>1931</v>
      </c>
      <c r="F12" s="5" t="s">
        <v>141</v>
      </c>
      <c r="G12" s="5" t="s">
        <v>52</v>
      </c>
      <c r="H12" s="5" t="s">
        <v>2102</v>
      </c>
      <c r="I12" s="5">
        <v>202501446</v>
      </c>
      <c r="J12" s="5"/>
      <c r="K12" s="6">
        <v>45926</v>
      </c>
      <c r="L12" s="6">
        <v>45932</v>
      </c>
      <c r="M12" s="42" t="s">
        <v>53</v>
      </c>
      <c r="N12" s="42" t="s">
        <v>54</v>
      </c>
      <c r="O12" s="42" t="s">
        <v>41</v>
      </c>
      <c r="P12" s="30">
        <f t="shared" si="0"/>
        <v>6</v>
      </c>
      <c r="Q12" s="41">
        <v>3308.0564263322885</v>
      </c>
      <c r="R12" s="41">
        <v>5500</v>
      </c>
      <c r="S12" s="41">
        <f t="shared" si="1"/>
        <v>2191.9435736677115</v>
      </c>
    </row>
    <row r="13" spans="1:19">
      <c r="A13" s="5">
        <v>12</v>
      </c>
      <c r="B13" s="9">
        <v>2509262846</v>
      </c>
      <c r="C13" s="9" t="s">
        <v>2119</v>
      </c>
      <c r="D13" s="9" t="s">
        <v>440</v>
      </c>
      <c r="E13" s="9" t="s">
        <v>1850</v>
      </c>
      <c r="F13" s="9" t="s">
        <v>169</v>
      </c>
      <c r="G13" s="9" t="s">
        <v>52</v>
      </c>
      <c r="H13" s="9" t="s">
        <v>2102</v>
      </c>
      <c r="I13" s="9">
        <v>202501447</v>
      </c>
      <c r="J13" s="9"/>
      <c r="K13" s="10">
        <v>45926</v>
      </c>
      <c r="L13" s="10">
        <v>45932</v>
      </c>
      <c r="M13" s="54" t="s">
        <v>53</v>
      </c>
      <c r="N13" s="54" t="s">
        <v>94</v>
      </c>
      <c r="O13" s="54" t="s">
        <v>1844</v>
      </c>
      <c r="P13" s="32">
        <f t="shared" si="0"/>
        <v>6</v>
      </c>
      <c r="Q13" s="11">
        <v>3308.0564263322885</v>
      </c>
      <c r="R13" s="11">
        <v>5500</v>
      </c>
      <c r="S13" s="11">
        <f t="shared" si="1"/>
        <v>2191.9435736677115</v>
      </c>
    </row>
    <row r="14" spans="1:19">
      <c r="A14" s="5">
        <v>13</v>
      </c>
      <c r="B14" s="5">
        <v>2509271130</v>
      </c>
      <c r="C14" s="5" t="s">
        <v>2120</v>
      </c>
      <c r="D14" s="5" t="s">
        <v>1662</v>
      </c>
      <c r="E14" s="5" t="s">
        <v>2009</v>
      </c>
      <c r="F14" s="5" t="s">
        <v>58</v>
      </c>
      <c r="G14" s="5" t="s">
        <v>52</v>
      </c>
      <c r="H14" s="5" t="s">
        <v>2102</v>
      </c>
      <c r="I14" s="5">
        <v>202501448</v>
      </c>
      <c r="J14" s="5"/>
      <c r="K14" s="6">
        <v>45927</v>
      </c>
      <c r="L14" s="6">
        <v>45932</v>
      </c>
      <c r="M14" s="42" t="s">
        <v>53</v>
      </c>
      <c r="N14" s="42" t="s">
        <v>54</v>
      </c>
      <c r="O14" s="42" t="s">
        <v>41</v>
      </c>
      <c r="P14" s="30">
        <f t="shared" si="0"/>
        <v>5</v>
      </c>
      <c r="Q14" s="41">
        <v>3308.0564263322885</v>
      </c>
      <c r="R14" s="41">
        <v>5500</v>
      </c>
      <c r="S14" s="41">
        <f t="shared" si="1"/>
        <v>2191.9435736677115</v>
      </c>
    </row>
    <row r="15" spans="1:19">
      <c r="A15" s="5">
        <v>14</v>
      </c>
      <c r="B15" s="5">
        <v>2509271139</v>
      </c>
      <c r="C15" s="5" t="s">
        <v>2121</v>
      </c>
      <c r="D15" s="5" t="s">
        <v>437</v>
      </c>
      <c r="E15" s="5" t="s">
        <v>1445</v>
      </c>
      <c r="F15" s="5" t="s">
        <v>71</v>
      </c>
      <c r="G15" s="5" t="s">
        <v>52</v>
      </c>
      <c r="H15" s="5" t="s">
        <v>2102</v>
      </c>
      <c r="I15" s="5">
        <v>202501449</v>
      </c>
      <c r="J15" s="5"/>
      <c r="K15" s="6">
        <v>45927</v>
      </c>
      <c r="L15" s="6">
        <v>45932</v>
      </c>
      <c r="M15" s="42" t="s">
        <v>53</v>
      </c>
      <c r="N15" s="42" t="s">
        <v>54</v>
      </c>
      <c r="O15" s="42" t="s">
        <v>41</v>
      </c>
      <c r="P15" s="30">
        <f t="shared" si="0"/>
        <v>5</v>
      </c>
      <c r="Q15" s="41">
        <v>3308.0564263322885</v>
      </c>
      <c r="R15" s="41">
        <v>8500</v>
      </c>
      <c r="S15" s="41">
        <f t="shared" si="1"/>
        <v>5191.9435736677115</v>
      </c>
    </row>
    <row r="16" spans="1:19">
      <c r="A16" s="5">
        <v>15</v>
      </c>
      <c r="B16" s="5">
        <v>2509271305</v>
      </c>
      <c r="C16" s="5" t="s">
        <v>2122</v>
      </c>
      <c r="D16" s="5" t="s">
        <v>309</v>
      </c>
      <c r="E16" s="5" t="s">
        <v>310</v>
      </c>
      <c r="F16" s="5" t="s">
        <v>51</v>
      </c>
      <c r="G16" s="5" t="s">
        <v>52</v>
      </c>
      <c r="H16" s="5" t="s">
        <v>2102</v>
      </c>
      <c r="I16" s="5">
        <v>202501450</v>
      </c>
      <c r="J16" s="5"/>
      <c r="K16" s="6">
        <v>45927</v>
      </c>
      <c r="L16" s="6">
        <v>45932</v>
      </c>
      <c r="M16" s="42" t="s">
        <v>53</v>
      </c>
      <c r="N16" s="42" t="s">
        <v>54</v>
      </c>
      <c r="O16" s="42" t="s">
        <v>41</v>
      </c>
      <c r="P16" s="30">
        <f t="shared" si="0"/>
        <v>5</v>
      </c>
      <c r="Q16" s="41">
        <v>3308.0564263322885</v>
      </c>
      <c r="R16" s="41">
        <v>5500</v>
      </c>
      <c r="S16" s="41">
        <f t="shared" si="1"/>
        <v>2191.9435736677115</v>
      </c>
    </row>
    <row r="17" spans="1:19">
      <c r="A17" s="5">
        <v>16</v>
      </c>
      <c r="B17" s="5">
        <v>2509271310</v>
      </c>
      <c r="C17" s="5" t="s">
        <v>2123</v>
      </c>
      <c r="D17" s="5" t="s">
        <v>218</v>
      </c>
      <c r="E17" s="5" t="s">
        <v>219</v>
      </c>
      <c r="F17" s="5" t="s">
        <v>51</v>
      </c>
      <c r="G17" s="5" t="s">
        <v>52</v>
      </c>
      <c r="H17" s="5" t="s">
        <v>2102</v>
      </c>
      <c r="I17" s="5">
        <v>202501451</v>
      </c>
      <c r="J17" s="5"/>
      <c r="K17" s="6">
        <v>45927</v>
      </c>
      <c r="L17" s="6">
        <v>45932</v>
      </c>
      <c r="M17" s="42" t="s">
        <v>53</v>
      </c>
      <c r="N17" s="42" t="s">
        <v>54</v>
      </c>
      <c r="O17" s="42" t="s">
        <v>41</v>
      </c>
      <c r="P17" s="30">
        <f t="shared" si="0"/>
        <v>5</v>
      </c>
      <c r="Q17" s="41">
        <v>3308.0564263322885</v>
      </c>
      <c r="R17" s="41">
        <v>5500</v>
      </c>
      <c r="S17" s="41">
        <f t="shared" si="1"/>
        <v>2191.9435736677115</v>
      </c>
    </row>
    <row r="18" spans="1:19">
      <c r="A18" s="5">
        <v>17</v>
      </c>
      <c r="B18" s="5">
        <v>2509272247</v>
      </c>
      <c r="C18" s="5" t="s">
        <v>2124</v>
      </c>
      <c r="D18" s="5" t="s">
        <v>49</v>
      </c>
      <c r="E18" s="5" t="s">
        <v>2125</v>
      </c>
      <c r="F18" s="5" t="s">
        <v>51</v>
      </c>
      <c r="G18" s="5" t="s">
        <v>75</v>
      </c>
      <c r="H18" s="5" t="s">
        <v>2102</v>
      </c>
      <c r="I18" s="5">
        <v>202501452</v>
      </c>
      <c r="J18" s="5"/>
      <c r="K18" s="6">
        <v>45927</v>
      </c>
      <c r="L18" s="6">
        <v>45932</v>
      </c>
      <c r="M18" s="42" t="s">
        <v>53</v>
      </c>
      <c r="N18" s="42" t="s">
        <v>54</v>
      </c>
      <c r="O18" s="42" t="s">
        <v>41</v>
      </c>
      <c r="P18" s="30">
        <f t="shared" si="0"/>
        <v>5</v>
      </c>
      <c r="Q18" s="41">
        <v>3308.0564263322885</v>
      </c>
      <c r="R18" s="41">
        <v>4500</v>
      </c>
      <c r="S18" s="41">
        <f t="shared" si="1"/>
        <v>1191.9435736677115</v>
      </c>
    </row>
    <row r="19" spans="1:19">
      <c r="A19" s="5">
        <v>18</v>
      </c>
      <c r="B19" s="5">
        <v>2509272249</v>
      </c>
      <c r="C19" s="5" t="s">
        <v>2126</v>
      </c>
      <c r="D19" s="5" t="s">
        <v>49</v>
      </c>
      <c r="E19" s="5" t="s">
        <v>2125</v>
      </c>
      <c r="F19" s="5" t="s">
        <v>51</v>
      </c>
      <c r="G19" s="5" t="s">
        <v>52</v>
      </c>
      <c r="H19" s="5" t="s">
        <v>2102</v>
      </c>
      <c r="I19" s="5">
        <v>202501453</v>
      </c>
      <c r="J19" s="5"/>
      <c r="K19" s="6">
        <v>45927</v>
      </c>
      <c r="L19" s="6">
        <v>45932</v>
      </c>
      <c r="M19" s="42" t="s">
        <v>53</v>
      </c>
      <c r="N19" s="42" t="s">
        <v>54</v>
      </c>
      <c r="O19" s="42" t="s">
        <v>41</v>
      </c>
      <c r="P19" s="30">
        <f t="shared" si="0"/>
        <v>5</v>
      </c>
      <c r="Q19" s="41">
        <v>3308.0564263322885</v>
      </c>
      <c r="R19" s="41">
        <v>5500</v>
      </c>
      <c r="S19" s="41">
        <f t="shared" si="1"/>
        <v>2191.9435736677115</v>
      </c>
    </row>
    <row r="20" spans="1:19">
      <c r="A20" s="5">
        <v>19</v>
      </c>
      <c r="B20" s="9">
        <v>2509272251</v>
      </c>
      <c r="C20" s="9" t="s">
        <v>2127</v>
      </c>
      <c r="D20" s="9" t="s">
        <v>711</v>
      </c>
      <c r="E20" s="9" t="s">
        <v>237</v>
      </c>
      <c r="F20" s="9" t="s">
        <v>51</v>
      </c>
      <c r="G20" s="9" t="s">
        <v>52</v>
      </c>
      <c r="H20" s="9" t="s">
        <v>2102</v>
      </c>
      <c r="I20" s="9">
        <v>202501454</v>
      </c>
      <c r="J20" s="9"/>
      <c r="K20" s="10">
        <v>45927</v>
      </c>
      <c r="L20" s="10">
        <v>45932</v>
      </c>
      <c r="M20" s="54" t="s">
        <v>53</v>
      </c>
      <c r="N20" s="54" t="s">
        <v>94</v>
      </c>
      <c r="O20" s="54" t="s">
        <v>1844</v>
      </c>
      <c r="P20" s="32">
        <f t="shared" si="0"/>
        <v>5</v>
      </c>
      <c r="Q20" s="11">
        <v>3308.0564263322885</v>
      </c>
      <c r="R20" s="11">
        <v>8000</v>
      </c>
      <c r="S20" s="11">
        <f t="shared" si="1"/>
        <v>4691.9435736677115</v>
      </c>
    </row>
    <row r="21" spans="1:19">
      <c r="A21" s="5">
        <v>20</v>
      </c>
      <c r="B21" s="9">
        <v>2509280138</v>
      </c>
      <c r="C21" s="9" t="s">
        <v>2128</v>
      </c>
      <c r="D21" s="9" t="s">
        <v>40</v>
      </c>
      <c r="E21" s="9" t="s">
        <v>41</v>
      </c>
      <c r="F21" s="9" t="s">
        <v>42</v>
      </c>
      <c r="G21" s="9" t="s">
        <v>75</v>
      </c>
      <c r="H21" s="9" t="s">
        <v>2102</v>
      </c>
      <c r="I21" s="9">
        <v>202501455</v>
      </c>
      <c r="J21" s="9"/>
      <c r="K21" s="10">
        <v>45928</v>
      </c>
      <c r="L21" s="10">
        <v>45932</v>
      </c>
      <c r="M21" s="54" t="s">
        <v>45</v>
      </c>
      <c r="N21" s="54" t="s">
        <v>94</v>
      </c>
      <c r="O21" s="54" t="s">
        <v>1667</v>
      </c>
      <c r="P21" s="32">
        <f t="shared" si="0"/>
        <v>4</v>
      </c>
      <c r="Q21" s="11">
        <v>3308.0564263322885</v>
      </c>
      <c r="R21" s="11">
        <v>6500</v>
      </c>
      <c r="S21" s="11">
        <f t="shared" si="1"/>
        <v>3191.9435736677115</v>
      </c>
    </row>
    <row r="22" spans="1:19">
      <c r="A22" s="5">
        <v>21</v>
      </c>
      <c r="B22" s="5">
        <v>2509280675</v>
      </c>
      <c r="C22" s="5" t="s">
        <v>2129</v>
      </c>
      <c r="D22" s="5" t="s">
        <v>804</v>
      </c>
      <c r="E22" s="5" t="s">
        <v>805</v>
      </c>
      <c r="F22" s="5" t="s">
        <v>457</v>
      </c>
      <c r="G22" s="5" t="s">
        <v>43</v>
      </c>
      <c r="H22" s="5" t="s">
        <v>2102</v>
      </c>
      <c r="I22" s="5">
        <v>202501456</v>
      </c>
      <c r="J22" s="5"/>
      <c r="K22" s="6">
        <v>45928</v>
      </c>
      <c r="L22" s="6">
        <v>45932</v>
      </c>
      <c r="M22" s="42" t="s">
        <v>53</v>
      </c>
      <c r="N22" s="42" t="s">
        <v>54</v>
      </c>
      <c r="O22" s="42" t="s">
        <v>41</v>
      </c>
      <c r="P22" s="30">
        <f t="shared" si="0"/>
        <v>4</v>
      </c>
      <c r="Q22" s="41">
        <v>3308.0564263322885</v>
      </c>
      <c r="R22" s="41">
        <v>11000</v>
      </c>
      <c r="S22" s="41">
        <f t="shared" si="1"/>
        <v>7691.9435736677115</v>
      </c>
    </row>
    <row r="23" spans="1:19">
      <c r="A23" s="5">
        <v>22</v>
      </c>
      <c r="B23" s="5">
        <v>2509280682</v>
      </c>
      <c r="C23" s="5" t="s">
        <v>2130</v>
      </c>
      <c r="D23" s="5" t="s">
        <v>293</v>
      </c>
      <c r="E23" s="5" t="s">
        <v>2131</v>
      </c>
      <c r="F23" s="5" t="s">
        <v>51</v>
      </c>
      <c r="G23" s="5" t="s">
        <v>52</v>
      </c>
      <c r="H23" s="5" t="s">
        <v>2102</v>
      </c>
      <c r="I23" s="5">
        <v>202501457</v>
      </c>
      <c r="J23" s="5"/>
      <c r="K23" s="6">
        <v>45928</v>
      </c>
      <c r="L23" s="6">
        <v>45932</v>
      </c>
      <c r="M23" s="42" t="s">
        <v>53</v>
      </c>
      <c r="N23" s="42" t="s">
        <v>54</v>
      </c>
      <c r="O23" s="42" t="s">
        <v>41</v>
      </c>
      <c r="P23" s="30">
        <f t="shared" si="0"/>
        <v>4</v>
      </c>
      <c r="Q23" s="41">
        <v>3308.0564263322885</v>
      </c>
      <c r="R23" s="41">
        <v>6000</v>
      </c>
      <c r="S23" s="41">
        <f t="shared" si="1"/>
        <v>2691.9435736677115</v>
      </c>
    </row>
    <row r="24" spans="1:19">
      <c r="A24" s="5">
        <v>23</v>
      </c>
      <c r="B24" s="5">
        <v>2509280699</v>
      </c>
      <c r="C24" s="5" t="s">
        <v>2132</v>
      </c>
      <c r="D24" s="5" t="s">
        <v>810</v>
      </c>
      <c r="E24" s="5" t="s">
        <v>2133</v>
      </c>
      <c r="F24" s="5" t="s">
        <v>457</v>
      </c>
      <c r="G24" s="5" t="s">
        <v>52</v>
      </c>
      <c r="H24" s="5" t="s">
        <v>2102</v>
      </c>
      <c r="I24" s="5">
        <v>202501458</v>
      </c>
      <c r="J24" s="5"/>
      <c r="K24" s="6">
        <v>45928</v>
      </c>
      <c r="L24" s="6">
        <v>45932</v>
      </c>
      <c r="M24" s="42" t="s">
        <v>53</v>
      </c>
      <c r="N24" s="42" t="s">
        <v>54</v>
      </c>
      <c r="O24" s="42" t="s">
        <v>41</v>
      </c>
      <c r="P24" s="30">
        <f t="shared" si="0"/>
        <v>4</v>
      </c>
      <c r="Q24" s="41">
        <v>3308.0564263322885</v>
      </c>
      <c r="R24" s="41">
        <v>5200</v>
      </c>
      <c r="S24" s="41">
        <f t="shared" si="1"/>
        <v>1891.9435736677115</v>
      </c>
    </row>
    <row r="25" spans="1:19">
      <c r="A25" s="5">
        <v>24</v>
      </c>
      <c r="B25" s="5">
        <v>2509280719</v>
      </c>
      <c r="C25" s="5" t="s">
        <v>2134</v>
      </c>
      <c r="D25" s="5" t="s">
        <v>810</v>
      </c>
      <c r="E25" s="5" t="s">
        <v>2135</v>
      </c>
      <c r="F25" s="5" t="s">
        <v>457</v>
      </c>
      <c r="G25" s="5" t="s">
        <v>52</v>
      </c>
      <c r="H25" s="5" t="s">
        <v>2102</v>
      </c>
      <c r="I25" s="5">
        <v>202501459</v>
      </c>
      <c r="J25" s="5"/>
      <c r="K25" s="6">
        <v>45928</v>
      </c>
      <c r="L25" s="6">
        <v>45932</v>
      </c>
      <c r="M25" s="42" t="s">
        <v>53</v>
      </c>
      <c r="N25" s="42" t="s">
        <v>54</v>
      </c>
      <c r="O25" s="42" t="s">
        <v>41</v>
      </c>
      <c r="P25" s="30">
        <f t="shared" si="0"/>
        <v>4</v>
      </c>
      <c r="Q25" s="41">
        <v>3308.0564263322885</v>
      </c>
      <c r="R25" s="41">
        <v>5200</v>
      </c>
      <c r="S25" s="41">
        <f t="shared" si="1"/>
        <v>1891.9435736677115</v>
      </c>
    </row>
    <row r="26" spans="1:19">
      <c r="A26" s="5">
        <v>25</v>
      </c>
      <c r="B26" s="5">
        <v>2509280736</v>
      </c>
      <c r="C26" s="5" t="s">
        <v>2136</v>
      </c>
      <c r="D26" s="5" t="s">
        <v>908</v>
      </c>
      <c r="E26" s="5" t="s">
        <v>1478</v>
      </c>
      <c r="F26" s="5" t="s">
        <v>362</v>
      </c>
      <c r="G26" s="5" t="s">
        <v>43</v>
      </c>
      <c r="H26" s="5" t="s">
        <v>2102</v>
      </c>
      <c r="I26" s="5">
        <v>202501460</v>
      </c>
      <c r="J26" s="5"/>
      <c r="K26" s="6">
        <v>45928</v>
      </c>
      <c r="L26" s="6">
        <v>45932</v>
      </c>
      <c r="M26" s="42" t="s">
        <v>53</v>
      </c>
      <c r="N26" s="42" t="s">
        <v>54</v>
      </c>
      <c r="O26" s="42" t="s">
        <v>41</v>
      </c>
      <c r="P26" s="30">
        <f t="shared" si="0"/>
        <v>4</v>
      </c>
      <c r="Q26" s="41">
        <v>3308.0564263322885</v>
      </c>
      <c r="R26" s="41">
        <v>10500</v>
      </c>
      <c r="S26" s="41">
        <f t="shared" si="1"/>
        <v>7191.9435736677115</v>
      </c>
    </row>
    <row r="27" spans="1:19">
      <c r="A27" s="5">
        <v>26</v>
      </c>
      <c r="B27" s="5">
        <v>2509281279</v>
      </c>
      <c r="C27" s="5" t="s">
        <v>2137</v>
      </c>
      <c r="D27" s="5" t="s">
        <v>1514</v>
      </c>
      <c r="E27" s="5" t="s">
        <v>1657</v>
      </c>
      <c r="F27" s="5" t="s">
        <v>71</v>
      </c>
      <c r="G27" s="5" t="s">
        <v>52</v>
      </c>
      <c r="H27" s="5" t="s">
        <v>2102</v>
      </c>
      <c r="I27" s="5">
        <v>202501461</v>
      </c>
      <c r="J27" s="5"/>
      <c r="K27" s="6">
        <v>45928</v>
      </c>
      <c r="L27" s="6">
        <v>45932</v>
      </c>
      <c r="M27" s="42" t="s">
        <v>53</v>
      </c>
      <c r="N27" s="42" t="s">
        <v>54</v>
      </c>
      <c r="O27" s="42" t="s">
        <v>41</v>
      </c>
      <c r="P27" s="30">
        <f t="shared" si="0"/>
        <v>4</v>
      </c>
      <c r="Q27" s="41">
        <v>3308.0564263322885</v>
      </c>
      <c r="R27" s="41">
        <v>8500</v>
      </c>
      <c r="S27" s="41">
        <f t="shared" si="1"/>
        <v>5191.9435736677115</v>
      </c>
    </row>
    <row r="28" spans="1:19">
      <c r="A28" s="5">
        <v>27</v>
      </c>
      <c r="B28" s="5">
        <v>2509290772</v>
      </c>
      <c r="C28" s="5" t="s">
        <v>2138</v>
      </c>
      <c r="D28" s="5" t="s">
        <v>64</v>
      </c>
      <c r="E28" s="5" t="s">
        <v>1498</v>
      </c>
      <c r="F28" s="5" t="s">
        <v>66</v>
      </c>
      <c r="G28" s="5" t="s">
        <v>52</v>
      </c>
      <c r="H28" s="5" t="s">
        <v>2102</v>
      </c>
      <c r="I28" s="5">
        <v>202501462</v>
      </c>
      <c r="J28" s="5"/>
      <c r="K28" s="6">
        <v>45929</v>
      </c>
      <c r="L28" s="6">
        <v>45932</v>
      </c>
      <c r="M28" s="42" t="s">
        <v>53</v>
      </c>
      <c r="N28" s="42" t="s">
        <v>54</v>
      </c>
      <c r="O28" s="42" t="s">
        <v>41</v>
      </c>
      <c r="P28" s="30">
        <f t="shared" si="0"/>
        <v>3</v>
      </c>
      <c r="Q28" s="41">
        <v>3308.0564263322885</v>
      </c>
      <c r="R28" s="41">
        <v>5500</v>
      </c>
      <c r="S28" s="41">
        <f t="shared" si="1"/>
        <v>2191.9435736677115</v>
      </c>
    </row>
    <row r="29" spans="1:19">
      <c r="A29" s="5">
        <v>28</v>
      </c>
      <c r="B29" s="5" t="s">
        <v>1239</v>
      </c>
      <c r="C29" s="5"/>
      <c r="D29" s="5"/>
      <c r="E29" s="5"/>
      <c r="F29" s="5"/>
      <c r="G29" s="5" t="s">
        <v>52</v>
      </c>
      <c r="H29" s="5"/>
      <c r="I29" s="5"/>
      <c r="J29" s="5"/>
      <c r="K29" s="5"/>
      <c r="L29" s="5"/>
      <c r="M29" s="5"/>
      <c r="N29" s="5"/>
      <c r="O29" s="5"/>
      <c r="P29" s="5"/>
      <c r="Q29" s="41">
        <v>3308.0564263322885</v>
      </c>
      <c r="R29" s="41">
        <v>0</v>
      </c>
      <c r="S29" s="41">
        <f t="shared" si="1"/>
        <v>-3308.0564263322885</v>
      </c>
    </row>
    <row r="30" spans="1:19">
      <c r="A30" s="5">
        <v>29</v>
      </c>
      <c r="B30" s="5" t="s">
        <v>1240</v>
      </c>
      <c r="C30" s="5"/>
      <c r="D30" s="5"/>
      <c r="E30" s="5"/>
      <c r="F30" s="5"/>
      <c r="G30" s="5" t="s">
        <v>52</v>
      </c>
      <c r="H30" s="5"/>
      <c r="I30" s="5"/>
      <c r="J30" s="5"/>
      <c r="K30" s="5"/>
      <c r="L30" s="5"/>
      <c r="M30" s="5"/>
      <c r="N30" s="5"/>
      <c r="O30" s="5"/>
      <c r="P30" s="5"/>
      <c r="Q30" s="41">
        <v>3308.0564263322885</v>
      </c>
      <c r="R30" s="41">
        <v>0</v>
      </c>
      <c r="S30" s="41">
        <f t="shared" si="1"/>
        <v>-3308.0564263322885</v>
      </c>
    </row>
    <row r="31" spans="1:19">
      <c r="A31" s="5">
        <v>30</v>
      </c>
      <c r="B31" s="22">
        <v>2509220266</v>
      </c>
      <c r="C31" s="22" t="s">
        <v>2024</v>
      </c>
      <c r="D31" s="22" t="s">
        <v>89</v>
      </c>
      <c r="E31" s="22" t="s">
        <v>2025</v>
      </c>
      <c r="F31" s="22" t="s">
        <v>79</v>
      </c>
      <c r="G31" s="22" t="s">
        <v>52</v>
      </c>
      <c r="H31" s="22" t="s">
        <v>2139</v>
      </c>
      <c r="I31" s="22" t="s">
        <v>2140</v>
      </c>
      <c r="J31" s="22"/>
      <c r="K31" s="23">
        <v>45931</v>
      </c>
      <c r="L31" s="23">
        <v>45934</v>
      </c>
      <c r="M31" s="50" t="s">
        <v>53</v>
      </c>
      <c r="N31" s="50" t="s">
        <v>54</v>
      </c>
      <c r="O31" s="50" t="s">
        <v>41</v>
      </c>
      <c r="P31" s="34">
        <f t="shared" ref="P31:P59" si="2">L31-K31</f>
        <v>3</v>
      </c>
      <c r="Q31" s="24">
        <v>3121.0850439882697</v>
      </c>
      <c r="R31" s="24">
        <v>0</v>
      </c>
      <c r="S31" s="24">
        <f t="shared" si="1"/>
        <v>-3121.0850439882697</v>
      </c>
    </row>
    <row r="32" spans="1:19">
      <c r="A32" s="5">
        <v>31</v>
      </c>
      <c r="B32" s="22">
        <v>2509262846</v>
      </c>
      <c r="C32" s="22" t="s">
        <v>2119</v>
      </c>
      <c r="D32" s="22" t="s">
        <v>440</v>
      </c>
      <c r="E32" s="22" t="s">
        <v>1850</v>
      </c>
      <c r="F32" s="22" t="s">
        <v>169</v>
      </c>
      <c r="G32" s="22" t="s">
        <v>52</v>
      </c>
      <c r="H32" s="22" t="s">
        <v>2139</v>
      </c>
      <c r="I32" s="22" t="s">
        <v>2141</v>
      </c>
      <c r="J32" s="22"/>
      <c r="K32" s="23">
        <v>45926</v>
      </c>
      <c r="L32" s="23">
        <v>45934</v>
      </c>
      <c r="M32" s="50" t="s">
        <v>53</v>
      </c>
      <c r="N32" s="50" t="s">
        <v>54</v>
      </c>
      <c r="O32" s="50" t="s">
        <v>41</v>
      </c>
      <c r="P32" s="34">
        <f t="shared" si="2"/>
        <v>8</v>
      </c>
      <c r="Q32" s="24">
        <v>3121.0850439882697</v>
      </c>
      <c r="R32" s="24">
        <v>0</v>
      </c>
      <c r="S32" s="24">
        <f t="shared" si="1"/>
        <v>-3121.0850439882697</v>
      </c>
    </row>
    <row r="33" spans="1:19">
      <c r="A33" s="5">
        <v>32</v>
      </c>
      <c r="B33" s="22">
        <v>2509272251</v>
      </c>
      <c r="C33" s="22" t="s">
        <v>2127</v>
      </c>
      <c r="D33" s="22" t="s">
        <v>711</v>
      </c>
      <c r="E33" s="22" t="s">
        <v>237</v>
      </c>
      <c r="F33" s="22" t="s">
        <v>51</v>
      </c>
      <c r="G33" s="22" t="s">
        <v>52</v>
      </c>
      <c r="H33" s="22" t="s">
        <v>2139</v>
      </c>
      <c r="I33" s="22" t="s">
        <v>2142</v>
      </c>
      <c r="J33" s="22"/>
      <c r="K33" s="23">
        <v>45927</v>
      </c>
      <c r="L33" s="23">
        <v>45934</v>
      </c>
      <c r="M33" s="50" t="s">
        <v>53</v>
      </c>
      <c r="N33" s="50" t="s">
        <v>54</v>
      </c>
      <c r="O33" s="50" t="s">
        <v>41</v>
      </c>
      <c r="P33" s="34">
        <f t="shared" si="2"/>
        <v>7</v>
      </c>
      <c r="Q33" s="24">
        <v>3121.0850439882697</v>
      </c>
      <c r="R33" s="24">
        <v>0</v>
      </c>
      <c r="S33" s="24">
        <f t="shared" si="1"/>
        <v>-3121.0850439882697</v>
      </c>
    </row>
    <row r="34" spans="1:19">
      <c r="A34" s="5">
        <v>33</v>
      </c>
      <c r="B34" s="22">
        <v>2509280138</v>
      </c>
      <c r="C34" s="22" t="s">
        <v>2128</v>
      </c>
      <c r="D34" s="22" t="s">
        <v>40</v>
      </c>
      <c r="E34" s="22" t="s">
        <v>41</v>
      </c>
      <c r="F34" s="22" t="s">
        <v>42</v>
      </c>
      <c r="G34" s="22" t="s">
        <v>75</v>
      </c>
      <c r="H34" s="22" t="s">
        <v>2139</v>
      </c>
      <c r="I34" s="22" t="s">
        <v>2143</v>
      </c>
      <c r="J34" s="22"/>
      <c r="K34" s="23">
        <v>45928</v>
      </c>
      <c r="L34" s="23">
        <v>45934</v>
      </c>
      <c r="M34" s="50" t="s">
        <v>53</v>
      </c>
      <c r="N34" s="50" t="s">
        <v>54</v>
      </c>
      <c r="O34" s="50" t="s">
        <v>41</v>
      </c>
      <c r="P34" s="34">
        <f t="shared" si="2"/>
        <v>6</v>
      </c>
      <c r="Q34" s="24">
        <v>3121.0850439882697</v>
      </c>
      <c r="R34" s="24">
        <v>0</v>
      </c>
      <c r="S34" s="24">
        <f t="shared" si="1"/>
        <v>-3121.0850439882697</v>
      </c>
    </row>
    <row r="35" spans="1:19">
      <c r="A35" s="5">
        <v>34</v>
      </c>
      <c r="B35" s="5">
        <v>2509290776</v>
      </c>
      <c r="C35" s="5" t="s">
        <v>2144</v>
      </c>
      <c r="D35" s="5" t="s">
        <v>511</v>
      </c>
      <c r="E35" s="5" t="s">
        <v>2145</v>
      </c>
      <c r="F35" s="5" t="s">
        <v>79</v>
      </c>
      <c r="G35" s="5" t="s">
        <v>75</v>
      </c>
      <c r="H35" s="5" t="s">
        <v>2139</v>
      </c>
      <c r="I35" s="5">
        <v>202501463</v>
      </c>
      <c r="J35" s="5"/>
      <c r="K35" s="6">
        <v>45929</v>
      </c>
      <c r="L35" s="6">
        <v>45934</v>
      </c>
      <c r="M35" s="42" t="s">
        <v>53</v>
      </c>
      <c r="N35" s="42" t="s">
        <v>54</v>
      </c>
      <c r="O35" s="42" t="s">
        <v>41</v>
      </c>
      <c r="P35" s="30">
        <f t="shared" si="2"/>
        <v>5</v>
      </c>
      <c r="Q35" s="41">
        <v>3121.0850439882697</v>
      </c>
      <c r="R35" s="41">
        <v>4500</v>
      </c>
      <c r="S35" s="41">
        <f t="shared" si="1"/>
        <v>1378.9149560117303</v>
      </c>
    </row>
    <row r="36" spans="1:19">
      <c r="A36" s="5">
        <v>35</v>
      </c>
      <c r="B36" s="5">
        <v>2509290777</v>
      </c>
      <c r="C36" s="5" t="s">
        <v>2146</v>
      </c>
      <c r="D36" s="5" t="s">
        <v>77</v>
      </c>
      <c r="E36" s="5" t="s">
        <v>78</v>
      </c>
      <c r="F36" s="5" t="s">
        <v>79</v>
      </c>
      <c r="G36" s="5" t="s">
        <v>52</v>
      </c>
      <c r="H36" s="5" t="s">
        <v>2139</v>
      </c>
      <c r="I36" s="5">
        <v>202501464</v>
      </c>
      <c r="J36" s="5"/>
      <c r="K36" s="6">
        <v>45929</v>
      </c>
      <c r="L36" s="6">
        <v>45934</v>
      </c>
      <c r="M36" s="42" t="s">
        <v>53</v>
      </c>
      <c r="N36" s="42" t="s">
        <v>54</v>
      </c>
      <c r="O36" s="42" t="s">
        <v>41</v>
      </c>
      <c r="P36" s="30">
        <f t="shared" si="2"/>
        <v>5</v>
      </c>
      <c r="Q36" s="41">
        <v>3121.0850439882697</v>
      </c>
      <c r="R36" s="41">
        <v>5500</v>
      </c>
      <c r="S36" s="41">
        <f t="shared" si="1"/>
        <v>2378.9149560117303</v>
      </c>
    </row>
    <row r="37" spans="1:19">
      <c r="A37" s="5">
        <v>36</v>
      </c>
      <c r="B37" s="13">
        <v>2509290779</v>
      </c>
      <c r="C37" s="13" t="s">
        <v>2147</v>
      </c>
      <c r="D37" s="13" t="s">
        <v>77</v>
      </c>
      <c r="E37" s="13" t="s">
        <v>78</v>
      </c>
      <c r="F37" s="13" t="s">
        <v>79</v>
      </c>
      <c r="G37" s="13" t="s">
        <v>52</v>
      </c>
      <c r="H37" s="13" t="s">
        <v>2139</v>
      </c>
      <c r="I37" s="13">
        <v>202501465</v>
      </c>
      <c r="J37" s="13"/>
      <c r="K37" s="14">
        <v>45929</v>
      </c>
      <c r="L37" s="14">
        <v>45934</v>
      </c>
      <c r="M37" s="118" t="s">
        <v>45</v>
      </c>
      <c r="N37" s="118" t="s">
        <v>46</v>
      </c>
      <c r="O37" s="118" t="s">
        <v>1523</v>
      </c>
      <c r="P37" s="35">
        <f t="shared" si="2"/>
        <v>5</v>
      </c>
      <c r="Q37" s="15">
        <v>3121.0850439882697</v>
      </c>
      <c r="R37" s="15">
        <v>5500</v>
      </c>
      <c r="S37" s="15">
        <f t="shared" si="1"/>
        <v>2378.9149560117303</v>
      </c>
    </row>
    <row r="38" spans="1:19">
      <c r="A38" s="5">
        <v>37</v>
      </c>
      <c r="B38" s="5">
        <v>2509290782</v>
      </c>
      <c r="C38" s="5" t="s">
        <v>2148</v>
      </c>
      <c r="D38" s="5" t="s">
        <v>1438</v>
      </c>
      <c r="E38" s="5" t="s">
        <v>2149</v>
      </c>
      <c r="F38" s="5" t="s">
        <v>202</v>
      </c>
      <c r="G38" s="5" t="s">
        <v>52</v>
      </c>
      <c r="H38" s="5" t="s">
        <v>2139</v>
      </c>
      <c r="I38" s="5">
        <v>202501466</v>
      </c>
      <c r="J38" s="5"/>
      <c r="K38" s="6">
        <v>45929</v>
      </c>
      <c r="L38" s="6">
        <v>45934</v>
      </c>
      <c r="M38" s="42" t="s">
        <v>53</v>
      </c>
      <c r="N38" s="42" t="s">
        <v>54</v>
      </c>
      <c r="O38" s="42" t="s">
        <v>41</v>
      </c>
      <c r="P38" s="30">
        <f t="shared" si="2"/>
        <v>5</v>
      </c>
      <c r="Q38" s="41">
        <v>3121.0850439882697</v>
      </c>
      <c r="R38" s="41">
        <v>8000</v>
      </c>
      <c r="S38" s="41">
        <f t="shared" si="1"/>
        <v>4878.9149560117303</v>
      </c>
    </row>
    <row r="39" spans="1:19">
      <c r="A39" s="5">
        <v>38</v>
      </c>
      <c r="B39" s="5">
        <v>2509290785</v>
      </c>
      <c r="C39" s="5" t="s">
        <v>2150</v>
      </c>
      <c r="D39" s="5" t="s">
        <v>309</v>
      </c>
      <c r="E39" s="5" t="s">
        <v>1597</v>
      </c>
      <c r="F39" s="5" t="s">
        <v>51</v>
      </c>
      <c r="G39" s="5" t="s">
        <v>52</v>
      </c>
      <c r="H39" s="5" t="s">
        <v>2139</v>
      </c>
      <c r="I39" s="5">
        <v>202501467</v>
      </c>
      <c r="J39" s="5"/>
      <c r="K39" s="6">
        <v>45929</v>
      </c>
      <c r="L39" s="6">
        <v>45934</v>
      </c>
      <c r="M39" s="42" t="s">
        <v>53</v>
      </c>
      <c r="N39" s="42" t="s">
        <v>54</v>
      </c>
      <c r="O39" s="42" t="s">
        <v>41</v>
      </c>
      <c r="P39" s="30">
        <f t="shared" si="2"/>
        <v>5</v>
      </c>
      <c r="Q39" s="41">
        <v>3121.0850439882697</v>
      </c>
      <c r="R39" s="41">
        <v>5500</v>
      </c>
      <c r="S39" s="41">
        <f t="shared" si="1"/>
        <v>2378.9149560117303</v>
      </c>
    </row>
    <row r="40" spans="1:19">
      <c r="A40" s="5">
        <v>39</v>
      </c>
      <c r="B40" s="5">
        <v>2509291846</v>
      </c>
      <c r="C40" s="5" t="s">
        <v>2151</v>
      </c>
      <c r="D40" s="5" t="s">
        <v>1261</v>
      </c>
      <c r="E40" s="5" t="s">
        <v>1262</v>
      </c>
      <c r="F40" s="5" t="s">
        <v>71</v>
      </c>
      <c r="G40" s="5" t="s">
        <v>75</v>
      </c>
      <c r="H40" s="5" t="s">
        <v>2139</v>
      </c>
      <c r="I40" s="5">
        <v>202501468</v>
      </c>
      <c r="J40" s="5"/>
      <c r="K40" s="6">
        <v>45929</v>
      </c>
      <c r="L40" s="6">
        <v>45934</v>
      </c>
      <c r="M40" s="42" t="s">
        <v>53</v>
      </c>
      <c r="N40" s="42" t="s">
        <v>54</v>
      </c>
      <c r="O40" s="42" t="s">
        <v>41</v>
      </c>
      <c r="P40" s="30">
        <f t="shared" si="2"/>
        <v>5</v>
      </c>
      <c r="Q40" s="41">
        <v>3121.0850439882697</v>
      </c>
      <c r="R40" s="41">
        <v>4500</v>
      </c>
      <c r="S40" s="41">
        <f t="shared" si="1"/>
        <v>1378.9149560117303</v>
      </c>
    </row>
    <row r="41" spans="1:19">
      <c r="A41" s="5">
        <v>40</v>
      </c>
      <c r="B41" s="5">
        <v>2509291867</v>
      </c>
      <c r="C41" s="5" t="s">
        <v>2152</v>
      </c>
      <c r="D41" s="5" t="s">
        <v>775</v>
      </c>
      <c r="E41" s="5" t="s">
        <v>1451</v>
      </c>
      <c r="F41" s="5" t="s">
        <v>202</v>
      </c>
      <c r="G41" s="5" t="s">
        <v>52</v>
      </c>
      <c r="H41" s="5" t="s">
        <v>2139</v>
      </c>
      <c r="I41" s="5">
        <v>202501469</v>
      </c>
      <c r="J41" s="5"/>
      <c r="K41" s="6">
        <v>45929</v>
      </c>
      <c r="L41" s="6">
        <v>45934</v>
      </c>
      <c r="M41" s="42" t="s">
        <v>53</v>
      </c>
      <c r="N41" s="42" t="s">
        <v>54</v>
      </c>
      <c r="O41" s="42" t="s">
        <v>41</v>
      </c>
      <c r="P41" s="30">
        <f t="shared" si="2"/>
        <v>5</v>
      </c>
      <c r="Q41" s="41">
        <v>3121.0850439882697</v>
      </c>
      <c r="R41" s="41">
        <v>8500</v>
      </c>
      <c r="S41" s="41">
        <f t="shared" si="1"/>
        <v>5378.9149560117303</v>
      </c>
    </row>
    <row r="42" spans="1:19">
      <c r="A42" s="5">
        <v>41</v>
      </c>
      <c r="B42" s="5">
        <v>2509301460</v>
      </c>
      <c r="C42" s="5" t="s">
        <v>2153</v>
      </c>
      <c r="D42" s="5" t="s">
        <v>733</v>
      </c>
      <c r="E42" s="5" t="s">
        <v>2154</v>
      </c>
      <c r="F42" s="5" t="s">
        <v>51</v>
      </c>
      <c r="G42" s="5" t="s">
        <v>52</v>
      </c>
      <c r="H42" s="5" t="s">
        <v>2139</v>
      </c>
      <c r="I42" s="5">
        <v>202501470</v>
      </c>
      <c r="J42" s="5"/>
      <c r="K42" s="6">
        <v>45930</v>
      </c>
      <c r="L42" s="6">
        <v>45934</v>
      </c>
      <c r="M42" s="42" t="s">
        <v>53</v>
      </c>
      <c r="N42" s="42" t="s">
        <v>54</v>
      </c>
      <c r="O42" s="42" t="s">
        <v>41</v>
      </c>
      <c r="P42" s="30">
        <f t="shared" si="2"/>
        <v>4</v>
      </c>
      <c r="Q42" s="41">
        <v>3121.0850439882697</v>
      </c>
      <c r="R42" s="41">
        <v>5300</v>
      </c>
      <c r="S42" s="41">
        <f t="shared" si="1"/>
        <v>2178.9149560117303</v>
      </c>
    </row>
    <row r="43" spans="1:19">
      <c r="A43" s="5">
        <v>42</v>
      </c>
      <c r="B43" s="5">
        <v>2509301486</v>
      </c>
      <c r="C43" s="5" t="s">
        <v>2155</v>
      </c>
      <c r="D43" s="5" t="s">
        <v>550</v>
      </c>
      <c r="E43" s="5" t="s">
        <v>2156</v>
      </c>
      <c r="F43" s="5" t="s">
        <v>51</v>
      </c>
      <c r="G43" s="5" t="s">
        <v>52</v>
      </c>
      <c r="H43" s="5" t="s">
        <v>2139</v>
      </c>
      <c r="I43" s="5">
        <v>202501471</v>
      </c>
      <c r="J43" s="5"/>
      <c r="K43" s="6">
        <v>45930</v>
      </c>
      <c r="L43" s="6">
        <v>45934</v>
      </c>
      <c r="M43" s="42" t="s">
        <v>53</v>
      </c>
      <c r="N43" s="42" t="s">
        <v>54</v>
      </c>
      <c r="O43" s="42" t="s">
        <v>41</v>
      </c>
      <c r="P43" s="30">
        <f t="shared" si="2"/>
        <v>4</v>
      </c>
      <c r="Q43" s="41">
        <v>3121.0850439882697</v>
      </c>
      <c r="R43" s="41">
        <v>7000</v>
      </c>
      <c r="S43" s="41">
        <f t="shared" si="1"/>
        <v>3878.9149560117303</v>
      </c>
    </row>
    <row r="44" spans="1:19">
      <c r="A44" s="5">
        <v>43</v>
      </c>
      <c r="B44" s="5">
        <v>2509301487</v>
      </c>
      <c r="C44" s="5" t="s">
        <v>2157</v>
      </c>
      <c r="D44" s="5" t="s">
        <v>810</v>
      </c>
      <c r="E44" s="5" t="s">
        <v>2158</v>
      </c>
      <c r="F44" s="5" t="s">
        <v>457</v>
      </c>
      <c r="G44" s="5" t="s">
        <v>52</v>
      </c>
      <c r="H44" s="5" t="s">
        <v>2139</v>
      </c>
      <c r="I44" s="5">
        <v>202501472</v>
      </c>
      <c r="J44" s="5"/>
      <c r="K44" s="6">
        <v>45930</v>
      </c>
      <c r="L44" s="6">
        <v>45934</v>
      </c>
      <c r="M44" s="42" t="s">
        <v>53</v>
      </c>
      <c r="N44" s="42" t="s">
        <v>54</v>
      </c>
      <c r="O44" s="42" t="s">
        <v>41</v>
      </c>
      <c r="P44" s="30">
        <f t="shared" si="2"/>
        <v>4</v>
      </c>
      <c r="Q44" s="41">
        <v>3121.0850439882697</v>
      </c>
      <c r="R44" s="41">
        <v>5200</v>
      </c>
      <c r="S44" s="41">
        <f t="shared" si="1"/>
        <v>2078.9149560117303</v>
      </c>
    </row>
    <row r="45" spans="1:19">
      <c r="A45" s="5">
        <v>44</v>
      </c>
      <c r="B45" s="5">
        <v>2509303157</v>
      </c>
      <c r="C45" s="5" t="s">
        <v>2159</v>
      </c>
      <c r="D45" s="5" t="s">
        <v>309</v>
      </c>
      <c r="E45" s="5" t="s">
        <v>1597</v>
      </c>
      <c r="F45" s="5" t="s">
        <v>51</v>
      </c>
      <c r="G45" s="5" t="s">
        <v>52</v>
      </c>
      <c r="H45" s="5" t="s">
        <v>2139</v>
      </c>
      <c r="I45" s="5">
        <v>202501473</v>
      </c>
      <c r="J45" s="5"/>
      <c r="K45" s="6">
        <v>45930</v>
      </c>
      <c r="L45" s="6">
        <v>45934</v>
      </c>
      <c r="M45" s="42" t="s">
        <v>53</v>
      </c>
      <c r="N45" s="42" t="s">
        <v>54</v>
      </c>
      <c r="O45" s="42" t="s">
        <v>41</v>
      </c>
      <c r="P45" s="30">
        <f t="shared" si="2"/>
        <v>4</v>
      </c>
      <c r="Q45" s="41">
        <v>3121.0850439882697</v>
      </c>
      <c r="R45" s="41">
        <v>5500</v>
      </c>
      <c r="S45" s="41">
        <f t="shared" si="1"/>
        <v>2378.9149560117303</v>
      </c>
    </row>
    <row r="46" spans="1:19">
      <c r="A46" s="5">
        <v>45</v>
      </c>
      <c r="B46" s="5">
        <v>2509303169</v>
      </c>
      <c r="C46" s="5" t="s">
        <v>2160</v>
      </c>
      <c r="D46" s="5" t="s">
        <v>528</v>
      </c>
      <c r="E46" s="5" t="s">
        <v>2161</v>
      </c>
      <c r="F46" s="5" t="s">
        <v>202</v>
      </c>
      <c r="G46" s="5" t="s">
        <v>52</v>
      </c>
      <c r="H46" s="5" t="s">
        <v>2139</v>
      </c>
      <c r="I46" s="5">
        <v>202501474</v>
      </c>
      <c r="J46" s="5"/>
      <c r="K46" s="6">
        <v>45930</v>
      </c>
      <c r="L46" s="6">
        <v>45934</v>
      </c>
      <c r="M46" s="42" t="s">
        <v>53</v>
      </c>
      <c r="N46" s="42" t="s">
        <v>54</v>
      </c>
      <c r="O46" s="42" t="s">
        <v>41</v>
      </c>
      <c r="P46" s="30">
        <f t="shared" si="2"/>
        <v>4</v>
      </c>
      <c r="Q46" s="41">
        <v>3121.0850439882697</v>
      </c>
      <c r="R46" s="41">
        <v>7500</v>
      </c>
      <c r="S46" s="41">
        <f t="shared" si="1"/>
        <v>4378.9149560117303</v>
      </c>
    </row>
    <row r="47" spans="1:19">
      <c r="A47" s="5">
        <v>46</v>
      </c>
      <c r="B47" s="5">
        <v>2509301499</v>
      </c>
      <c r="C47" s="5" t="s">
        <v>2162</v>
      </c>
      <c r="D47" s="5" t="s">
        <v>40</v>
      </c>
      <c r="E47" s="5" t="s">
        <v>41</v>
      </c>
      <c r="F47" s="5" t="s">
        <v>42</v>
      </c>
      <c r="G47" s="5" t="s">
        <v>190</v>
      </c>
      <c r="H47" s="5" t="s">
        <v>2139</v>
      </c>
      <c r="I47" s="5">
        <v>202501475</v>
      </c>
      <c r="J47" s="5"/>
      <c r="K47" s="6">
        <v>45930</v>
      </c>
      <c r="L47" s="6">
        <v>45934</v>
      </c>
      <c r="M47" s="42" t="s">
        <v>53</v>
      </c>
      <c r="N47" s="42" t="s">
        <v>54</v>
      </c>
      <c r="O47" s="42" t="s">
        <v>41</v>
      </c>
      <c r="P47" s="30">
        <f t="shared" si="2"/>
        <v>4</v>
      </c>
      <c r="Q47" s="41">
        <v>3121.0850439882697</v>
      </c>
      <c r="R47" s="41">
        <v>13500</v>
      </c>
      <c r="S47" s="41">
        <f t="shared" si="1"/>
        <v>10378.914956011729</v>
      </c>
    </row>
    <row r="48" spans="1:19">
      <c r="A48" s="5">
        <v>47</v>
      </c>
      <c r="B48" s="5">
        <v>2509303181</v>
      </c>
      <c r="C48" s="5" t="s">
        <v>2163</v>
      </c>
      <c r="D48" s="5" t="s">
        <v>599</v>
      </c>
      <c r="E48" s="5" t="s">
        <v>1738</v>
      </c>
      <c r="F48" s="5" t="s">
        <v>169</v>
      </c>
      <c r="G48" s="5" t="s">
        <v>43</v>
      </c>
      <c r="H48" s="5" t="s">
        <v>2139</v>
      </c>
      <c r="I48" s="5">
        <v>202501476</v>
      </c>
      <c r="J48" s="5"/>
      <c r="K48" s="6">
        <v>45930</v>
      </c>
      <c r="L48" s="6">
        <v>45934</v>
      </c>
      <c r="M48" s="42" t="s">
        <v>53</v>
      </c>
      <c r="N48" s="42" t="s">
        <v>54</v>
      </c>
      <c r="O48" s="42" t="s">
        <v>41</v>
      </c>
      <c r="P48" s="30">
        <f t="shared" si="2"/>
        <v>4</v>
      </c>
      <c r="Q48" s="41">
        <v>3121.0850439882697</v>
      </c>
      <c r="R48" s="41">
        <v>11500</v>
      </c>
      <c r="S48" s="41">
        <f t="shared" si="1"/>
        <v>8378.9149560117294</v>
      </c>
    </row>
    <row r="49" spans="1:19">
      <c r="A49" s="5">
        <v>48</v>
      </c>
      <c r="B49" s="13">
        <v>2509303186</v>
      </c>
      <c r="C49" s="13" t="s">
        <v>2164</v>
      </c>
      <c r="D49" s="13" t="s">
        <v>437</v>
      </c>
      <c r="E49" s="13" t="s">
        <v>1445</v>
      </c>
      <c r="F49" s="13" t="s">
        <v>71</v>
      </c>
      <c r="G49" s="13" t="s">
        <v>52</v>
      </c>
      <c r="H49" s="13" t="s">
        <v>2139</v>
      </c>
      <c r="I49" s="13">
        <v>202501477</v>
      </c>
      <c r="J49" s="13"/>
      <c r="K49" s="14">
        <v>45930</v>
      </c>
      <c r="L49" s="14">
        <v>45934</v>
      </c>
      <c r="M49" s="13" t="s">
        <v>45</v>
      </c>
      <c r="N49" s="13" t="s">
        <v>46</v>
      </c>
      <c r="O49" s="13" t="s">
        <v>1523</v>
      </c>
      <c r="P49" s="35">
        <f t="shared" si="2"/>
        <v>4</v>
      </c>
      <c r="Q49" s="15">
        <v>3121.0850439882697</v>
      </c>
      <c r="R49" s="15">
        <v>8500</v>
      </c>
      <c r="S49" s="15">
        <f t="shared" si="1"/>
        <v>5378.9149560117303</v>
      </c>
    </row>
    <row r="50" spans="1:19">
      <c r="A50" s="5">
        <v>49</v>
      </c>
      <c r="B50" s="5">
        <v>2510010032</v>
      </c>
      <c r="C50" s="5" t="s">
        <v>2165</v>
      </c>
      <c r="D50" s="5" t="s">
        <v>64</v>
      </c>
      <c r="E50" s="5" t="s">
        <v>1498</v>
      </c>
      <c r="F50" s="5" t="s">
        <v>66</v>
      </c>
      <c r="G50" s="5" t="s">
        <v>52</v>
      </c>
      <c r="H50" s="5" t="s">
        <v>2139</v>
      </c>
      <c r="I50" s="5">
        <v>202501478</v>
      </c>
      <c r="J50" s="5"/>
      <c r="K50" s="6">
        <v>45931</v>
      </c>
      <c r="L50" s="6">
        <v>45934</v>
      </c>
      <c r="M50" s="42" t="s">
        <v>53</v>
      </c>
      <c r="N50" s="42" t="s">
        <v>54</v>
      </c>
      <c r="O50" s="42" t="s">
        <v>41</v>
      </c>
      <c r="P50" s="30">
        <f t="shared" si="2"/>
        <v>3</v>
      </c>
      <c r="Q50" s="41">
        <v>3121.0850439882697</v>
      </c>
      <c r="R50" s="41">
        <v>5500</v>
      </c>
      <c r="S50" s="41">
        <f t="shared" si="1"/>
        <v>2378.9149560117303</v>
      </c>
    </row>
    <row r="51" spans="1:19">
      <c r="A51" s="5">
        <v>50</v>
      </c>
      <c r="B51" s="5">
        <v>2510011036</v>
      </c>
      <c r="C51" s="5" t="s">
        <v>2166</v>
      </c>
      <c r="D51" s="5" t="s">
        <v>528</v>
      </c>
      <c r="E51" s="5" t="s">
        <v>1825</v>
      </c>
      <c r="F51" s="5" t="s">
        <v>202</v>
      </c>
      <c r="G51" s="5" t="s">
        <v>52</v>
      </c>
      <c r="H51" s="5" t="s">
        <v>2139</v>
      </c>
      <c r="I51" s="5">
        <v>202501479</v>
      </c>
      <c r="J51" s="5"/>
      <c r="K51" s="6">
        <v>45931</v>
      </c>
      <c r="L51" s="6">
        <v>45934</v>
      </c>
      <c r="M51" s="42" t="s">
        <v>53</v>
      </c>
      <c r="N51" s="42" t="s">
        <v>54</v>
      </c>
      <c r="O51" s="42" t="s">
        <v>41</v>
      </c>
      <c r="P51" s="30">
        <f t="shared" si="2"/>
        <v>3</v>
      </c>
      <c r="Q51" s="41">
        <v>3121.0850439882697</v>
      </c>
      <c r="R51" s="41">
        <v>7500</v>
      </c>
      <c r="S51" s="41">
        <f t="shared" si="1"/>
        <v>4378.9149560117303</v>
      </c>
    </row>
    <row r="52" spans="1:19">
      <c r="A52" s="5">
        <v>51</v>
      </c>
      <c r="B52" s="5">
        <v>2510011042</v>
      </c>
      <c r="C52" s="5" t="s">
        <v>2167</v>
      </c>
      <c r="D52" s="5" t="s">
        <v>405</v>
      </c>
      <c r="E52" s="5" t="s">
        <v>526</v>
      </c>
      <c r="F52" s="5" t="s">
        <v>202</v>
      </c>
      <c r="G52" s="5" t="s">
        <v>52</v>
      </c>
      <c r="H52" s="5" t="s">
        <v>2139</v>
      </c>
      <c r="I52" s="5">
        <v>202501480</v>
      </c>
      <c r="J52" s="5"/>
      <c r="K52" s="6">
        <v>45931</v>
      </c>
      <c r="L52" s="6">
        <v>45934</v>
      </c>
      <c r="M52" s="42" t="s">
        <v>53</v>
      </c>
      <c r="N52" s="42" t="s">
        <v>54</v>
      </c>
      <c r="O52" s="42" t="s">
        <v>41</v>
      </c>
      <c r="P52" s="30">
        <f t="shared" si="2"/>
        <v>3</v>
      </c>
      <c r="Q52" s="41">
        <v>3121.0850439882697</v>
      </c>
      <c r="R52" s="41">
        <v>6450</v>
      </c>
      <c r="S52" s="41">
        <f t="shared" si="1"/>
        <v>3328.9149560117303</v>
      </c>
    </row>
    <row r="53" spans="1:19">
      <c r="A53" s="5">
        <v>52</v>
      </c>
      <c r="B53" s="9">
        <v>2510010844</v>
      </c>
      <c r="C53" s="9" t="s">
        <v>2168</v>
      </c>
      <c r="D53" s="9" t="s">
        <v>40</v>
      </c>
      <c r="E53" s="9" t="s">
        <v>41</v>
      </c>
      <c r="F53" s="9" t="s">
        <v>42</v>
      </c>
      <c r="G53" s="9" t="s">
        <v>190</v>
      </c>
      <c r="H53" s="9" t="s">
        <v>2139</v>
      </c>
      <c r="I53" s="9">
        <v>202501481</v>
      </c>
      <c r="J53" s="9"/>
      <c r="K53" s="10">
        <v>45931</v>
      </c>
      <c r="L53" s="10">
        <v>45934</v>
      </c>
      <c r="M53" s="54" t="s">
        <v>53</v>
      </c>
      <c r="N53" s="54" t="s">
        <v>94</v>
      </c>
      <c r="O53" s="54" t="s">
        <v>2099</v>
      </c>
      <c r="P53" s="32">
        <f t="shared" si="2"/>
        <v>3</v>
      </c>
      <c r="Q53" s="11">
        <v>3121.0850439882697</v>
      </c>
      <c r="R53" s="11">
        <v>13500</v>
      </c>
      <c r="S53" s="11">
        <f t="shared" si="1"/>
        <v>10378.914956011729</v>
      </c>
    </row>
    <row r="54" spans="1:19">
      <c r="A54" s="5">
        <v>53</v>
      </c>
      <c r="B54" s="5">
        <v>2510013345</v>
      </c>
      <c r="C54" s="5" t="s">
        <v>2169</v>
      </c>
      <c r="D54" s="5" t="s">
        <v>564</v>
      </c>
      <c r="E54" s="5" t="s">
        <v>1827</v>
      </c>
      <c r="F54" s="5" t="s">
        <v>71</v>
      </c>
      <c r="G54" s="5" t="s">
        <v>75</v>
      </c>
      <c r="H54" s="5" t="s">
        <v>2139</v>
      </c>
      <c r="I54" s="5">
        <v>202501482</v>
      </c>
      <c r="J54" s="5"/>
      <c r="K54" s="6">
        <v>45931</v>
      </c>
      <c r="L54" s="6">
        <v>45934</v>
      </c>
      <c r="M54" s="42" t="s">
        <v>53</v>
      </c>
      <c r="N54" s="42" t="s">
        <v>54</v>
      </c>
      <c r="O54" s="42" t="s">
        <v>41</v>
      </c>
      <c r="P54" s="30">
        <f t="shared" si="2"/>
        <v>3</v>
      </c>
      <c r="Q54" s="41">
        <v>3121.0850439882697</v>
      </c>
      <c r="R54" s="41">
        <v>6500</v>
      </c>
      <c r="S54" s="41">
        <f t="shared" si="1"/>
        <v>3378.9149560117303</v>
      </c>
    </row>
    <row r="55" spans="1:19">
      <c r="A55" s="5">
        <v>54</v>
      </c>
      <c r="B55" s="5">
        <v>2510013352</v>
      </c>
      <c r="C55" s="5" t="s">
        <v>2170</v>
      </c>
      <c r="D55" s="5" t="s">
        <v>955</v>
      </c>
      <c r="E55" s="5" t="s">
        <v>41</v>
      </c>
      <c r="F55" s="5" t="s">
        <v>202</v>
      </c>
      <c r="G55" s="5" t="s">
        <v>52</v>
      </c>
      <c r="H55" s="5" t="s">
        <v>2139</v>
      </c>
      <c r="I55" s="5">
        <v>202501483</v>
      </c>
      <c r="J55" s="5"/>
      <c r="K55" s="6">
        <v>45931</v>
      </c>
      <c r="L55" s="6">
        <v>45934</v>
      </c>
      <c r="M55" s="42" t="s">
        <v>53</v>
      </c>
      <c r="N55" s="42" t="s">
        <v>54</v>
      </c>
      <c r="O55" s="42" t="s">
        <v>41</v>
      </c>
      <c r="P55" s="30">
        <f t="shared" si="2"/>
        <v>3</v>
      </c>
      <c r="Q55" s="41">
        <v>3121.0850439882697</v>
      </c>
      <c r="R55" s="41">
        <v>7000</v>
      </c>
      <c r="S55" s="41">
        <f t="shared" si="1"/>
        <v>3878.9149560117303</v>
      </c>
    </row>
    <row r="56" spans="1:19">
      <c r="A56" s="5">
        <v>55</v>
      </c>
      <c r="B56" s="5">
        <v>2510013359</v>
      </c>
      <c r="C56" s="5" t="s">
        <v>2171</v>
      </c>
      <c r="D56" s="5" t="s">
        <v>440</v>
      </c>
      <c r="E56" s="5" t="s">
        <v>1850</v>
      </c>
      <c r="F56" s="5" t="s">
        <v>169</v>
      </c>
      <c r="G56" s="5" t="s">
        <v>52</v>
      </c>
      <c r="H56" s="5" t="s">
        <v>2139</v>
      </c>
      <c r="I56" s="5">
        <v>202501484</v>
      </c>
      <c r="J56" s="5"/>
      <c r="K56" s="6">
        <v>45931</v>
      </c>
      <c r="L56" s="6">
        <v>45934</v>
      </c>
      <c r="M56" s="42" t="s">
        <v>53</v>
      </c>
      <c r="N56" s="42" t="s">
        <v>54</v>
      </c>
      <c r="O56" s="42" t="s">
        <v>41</v>
      </c>
      <c r="P56" s="30">
        <f t="shared" si="2"/>
        <v>3</v>
      </c>
      <c r="Q56" s="41">
        <v>3121.0850439882697</v>
      </c>
      <c r="R56" s="41">
        <v>5500</v>
      </c>
      <c r="S56" s="41">
        <f t="shared" si="1"/>
        <v>2378.9149560117303</v>
      </c>
    </row>
    <row r="57" spans="1:19">
      <c r="A57" s="5">
        <v>56</v>
      </c>
      <c r="B57" s="9">
        <v>2510013364</v>
      </c>
      <c r="C57" s="9" t="s">
        <v>2172</v>
      </c>
      <c r="D57" s="9" t="s">
        <v>440</v>
      </c>
      <c r="E57" s="9" t="s">
        <v>1850</v>
      </c>
      <c r="F57" s="9" t="s">
        <v>169</v>
      </c>
      <c r="G57" s="9" t="s">
        <v>52</v>
      </c>
      <c r="H57" s="9" t="s">
        <v>2139</v>
      </c>
      <c r="I57" s="9">
        <v>202501485</v>
      </c>
      <c r="J57" s="9"/>
      <c r="K57" s="10">
        <v>45931</v>
      </c>
      <c r="L57" s="10">
        <v>45934</v>
      </c>
      <c r="M57" s="54" t="s">
        <v>53</v>
      </c>
      <c r="N57" s="54" t="s">
        <v>94</v>
      </c>
      <c r="O57" s="54" t="s">
        <v>2173</v>
      </c>
      <c r="P57" s="32">
        <f t="shared" si="2"/>
        <v>3</v>
      </c>
      <c r="Q57" s="11">
        <v>3121.0850439882697</v>
      </c>
      <c r="R57" s="11">
        <v>5500</v>
      </c>
      <c r="S57" s="11">
        <f t="shared" si="1"/>
        <v>2378.9149560117303</v>
      </c>
    </row>
    <row r="58" spans="1:19">
      <c r="A58" s="5">
        <v>57</v>
      </c>
      <c r="B58" s="5">
        <v>2510013369</v>
      </c>
      <c r="C58" s="5" t="s">
        <v>2174</v>
      </c>
      <c r="D58" s="5" t="s">
        <v>599</v>
      </c>
      <c r="E58" s="5" t="s">
        <v>1500</v>
      </c>
      <c r="F58" s="5" t="s">
        <v>169</v>
      </c>
      <c r="G58" s="5" t="s">
        <v>43</v>
      </c>
      <c r="H58" s="5" t="s">
        <v>2139</v>
      </c>
      <c r="I58" s="5">
        <v>202501486</v>
      </c>
      <c r="J58" s="5"/>
      <c r="K58" s="6">
        <v>45931</v>
      </c>
      <c r="L58" s="6">
        <v>45934</v>
      </c>
      <c r="M58" s="42" t="s">
        <v>53</v>
      </c>
      <c r="N58" s="42" t="s">
        <v>54</v>
      </c>
      <c r="O58" s="42" t="s">
        <v>41</v>
      </c>
      <c r="P58" s="30">
        <f t="shared" si="2"/>
        <v>3</v>
      </c>
      <c r="Q58" s="41">
        <v>3121.0850439882697</v>
      </c>
      <c r="R58" s="41">
        <v>11500</v>
      </c>
      <c r="S58" s="41">
        <f t="shared" si="1"/>
        <v>8378.9149560117294</v>
      </c>
    </row>
    <row r="59" spans="1:19">
      <c r="A59" s="5">
        <v>58</v>
      </c>
      <c r="B59" s="5">
        <v>2510013375</v>
      </c>
      <c r="C59" s="5" t="s">
        <v>2175</v>
      </c>
      <c r="D59" s="5" t="s">
        <v>444</v>
      </c>
      <c r="E59" s="5" t="s">
        <v>1835</v>
      </c>
      <c r="F59" s="5" t="s">
        <v>109</v>
      </c>
      <c r="G59" s="5" t="s">
        <v>52</v>
      </c>
      <c r="H59" s="5" t="s">
        <v>2139</v>
      </c>
      <c r="I59" s="5">
        <v>202501487</v>
      </c>
      <c r="J59" s="5"/>
      <c r="K59" s="6">
        <v>45931</v>
      </c>
      <c r="L59" s="6">
        <v>45934</v>
      </c>
      <c r="M59" s="42" t="s">
        <v>53</v>
      </c>
      <c r="N59" s="42" t="s">
        <v>54</v>
      </c>
      <c r="O59" s="42" t="s">
        <v>41</v>
      </c>
      <c r="P59" s="30">
        <f t="shared" si="2"/>
        <v>3</v>
      </c>
      <c r="Q59" s="41">
        <v>3121.0850439882697</v>
      </c>
      <c r="R59" s="41">
        <v>5950</v>
      </c>
      <c r="S59" s="41">
        <f t="shared" si="1"/>
        <v>2828.9149560117303</v>
      </c>
    </row>
    <row r="60" spans="1:19">
      <c r="A60" s="5">
        <v>59</v>
      </c>
      <c r="B60" s="5" t="s">
        <v>1239</v>
      </c>
      <c r="C60" s="5"/>
      <c r="D60" s="5"/>
      <c r="E60" s="5"/>
      <c r="F60" s="5"/>
      <c r="G60" s="5" t="s">
        <v>52</v>
      </c>
      <c r="H60" s="5"/>
      <c r="I60" s="5"/>
      <c r="J60" s="5"/>
      <c r="K60" s="5"/>
      <c r="L60" s="5"/>
      <c r="M60" s="5"/>
      <c r="N60" s="5"/>
      <c r="O60" s="5"/>
      <c r="P60" s="5"/>
      <c r="Q60" s="41">
        <v>3121.0850439882697</v>
      </c>
      <c r="R60" s="41">
        <v>0</v>
      </c>
      <c r="S60" s="41">
        <f t="shared" si="1"/>
        <v>-3121.0850439882697</v>
      </c>
    </row>
    <row r="61" spans="1:19">
      <c r="A61" s="5">
        <v>60</v>
      </c>
      <c r="B61" s="5" t="s">
        <v>1240</v>
      </c>
      <c r="C61" s="5"/>
      <c r="D61" s="5"/>
      <c r="E61" s="5"/>
      <c r="F61" s="5"/>
      <c r="G61" s="5" t="s">
        <v>52</v>
      </c>
      <c r="H61" s="5"/>
      <c r="I61" s="5"/>
      <c r="J61" s="5"/>
      <c r="K61" s="5"/>
      <c r="L61" s="5"/>
      <c r="M61" s="5"/>
      <c r="N61" s="5"/>
      <c r="O61" s="5"/>
      <c r="P61" s="5"/>
      <c r="Q61" s="41">
        <v>3121.0850439882697</v>
      </c>
      <c r="R61" s="41">
        <v>0</v>
      </c>
      <c r="S61" s="41">
        <f t="shared" si="1"/>
        <v>-3121.0850439882697</v>
      </c>
    </row>
    <row r="62" spans="1:19">
      <c r="A62" s="5">
        <v>61</v>
      </c>
      <c r="B62" s="22">
        <v>2509172819</v>
      </c>
      <c r="C62" s="22" t="s">
        <v>1957</v>
      </c>
      <c r="D62" s="22" t="s">
        <v>1662</v>
      </c>
      <c r="E62" s="22" t="s">
        <v>1318</v>
      </c>
      <c r="F62" s="22" t="s">
        <v>58</v>
      </c>
      <c r="G62" s="22" t="s">
        <v>52</v>
      </c>
      <c r="H62" s="22" t="s">
        <v>2177</v>
      </c>
      <c r="I62" s="22" t="s">
        <v>2178</v>
      </c>
      <c r="J62" s="22"/>
      <c r="K62" s="23">
        <v>45930</v>
      </c>
      <c r="L62" s="23">
        <v>45936</v>
      </c>
      <c r="M62" s="50" t="s">
        <v>53</v>
      </c>
      <c r="N62" s="50" t="s">
        <v>54</v>
      </c>
      <c r="O62" s="50" t="s">
        <v>41</v>
      </c>
      <c r="P62" s="34">
        <f t="shared" ref="P62:P90" si="3">L62-K62</f>
        <v>6</v>
      </c>
      <c r="Q62" s="24">
        <v>3121.0850439882697</v>
      </c>
      <c r="R62" s="24">
        <v>0</v>
      </c>
      <c r="S62" s="24">
        <f t="shared" si="1"/>
        <v>-3121.0850439882697</v>
      </c>
    </row>
    <row r="63" spans="1:19">
      <c r="A63" s="5">
        <v>62</v>
      </c>
      <c r="B63" s="13">
        <v>2510013364</v>
      </c>
      <c r="C63" s="13" t="s">
        <v>2172</v>
      </c>
      <c r="D63" s="13" t="s">
        <v>440</v>
      </c>
      <c r="E63" s="13" t="s">
        <v>1850</v>
      </c>
      <c r="F63" s="13" t="s">
        <v>169</v>
      </c>
      <c r="G63" s="13" t="s">
        <v>52</v>
      </c>
      <c r="H63" s="13" t="s">
        <v>2177</v>
      </c>
      <c r="I63" s="13" t="s">
        <v>2179</v>
      </c>
      <c r="J63" s="13"/>
      <c r="K63" s="14">
        <v>45931</v>
      </c>
      <c r="L63" s="14">
        <v>45936</v>
      </c>
      <c r="M63" s="118" t="s">
        <v>53</v>
      </c>
      <c r="N63" s="118" t="s">
        <v>46</v>
      </c>
      <c r="O63" s="118" t="s">
        <v>2173</v>
      </c>
      <c r="P63" s="35">
        <f t="shared" si="3"/>
        <v>5</v>
      </c>
      <c r="Q63" s="15">
        <v>3121.0850439882697</v>
      </c>
      <c r="R63" s="15">
        <v>0</v>
      </c>
      <c r="S63" s="15">
        <f t="shared" si="1"/>
        <v>-3121.0850439882697</v>
      </c>
    </row>
    <row r="64" spans="1:19">
      <c r="A64" s="5">
        <v>63</v>
      </c>
      <c r="B64" s="5">
        <v>2510021555</v>
      </c>
      <c r="C64" s="5" t="s">
        <v>2180</v>
      </c>
      <c r="D64" s="5" t="s">
        <v>1475</v>
      </c>
      <c r="E64" s="5" t="s">
        <v>1476</v>
      </c>
      <c r="F64" s="5" t="s">
        <v>362</v>
      </c>
      <c r="G64" s="5" t="s">
        <v>43</v>
      </c>
      <c r="H64" s="5" t="s">
        <v>2177</v>
      </c>
      <c r="I64" s="5">
        <v>202501488</v>
      </c>
      <c r="J64" s="5"/>
      <c r="K64" s="6">
        <v>45932</v>
      </c>
      <c r="L64" s="6">
        <v>45936</v>
      </c>
      <c r="M64" s="42" t="s">
        <v>53</v>
      </c>
      <c r="N64" s="42" t="s">
        <v>54</v>
      </c>
      <c r="O64" s="42" t="s">
        <v>41</v>
      </c>
      <c r="P64" s="30">
        <f t="shared" si="3"/>
        <v>4</v>
      </c>
      <c r="Q64" s="41">
        <v>3121.0850439882697</v>
      </c>
      <c r="R64" s="41">
        <v>10500</v>
      </c>
      <c r="S64" s="41">
        <f t="shared" si="1"/>
        <v>7378.9149560117303</v>
      </c>
    </row>
    <row r="65" spans="1:19">
      <c r="A65" s="5">
        <v>64</v>
      </c>
      <c r="B65" s="5">
        <v>2510021563</v>
      </c>
      <c r="C65" s="5" t="s">
        <v>2181</v>
      </c>
      <c r="D65" s="5" t="s">
        <v>1475</v>
      </c>
      <c r="E65" s="5" t="s">
        <v>1476</v>
      </c>
      <c r="F65" s="5" t="s">
        <v>362</v>
      </c>
      <c r="G65" s="5" t="s">
        <v>43</v>
      </c>
      <c r="H65" s="5" t="s">
        <v>2177</v>
      </c>
      <c r="I65" s="5">
        <v>202501489</v>
      </c>
      <c r="J65" s="5"/>
      <c r="K65" s="6">
        <v>45932</v>
      </c>
      <c r="L65" s="6">
        <v>45936</v>
      </c>
      <c r="M65" s="42" t="s">
        <v>53</v>
      </c>
      <c r="N65" s="42" t="s">
        <v>54</v>
      </c>
      <c r="O65" s="42" t="s">
        <v>41</v>
      </c>
      <c r="P65" s="30">
        <f t="shared" si="3"/>
        <v>4</v>
      </c>
      <c r="Q65" s="41">
        <v>3121.0850439882697</v>
      </c>
      <c r="R65" s="41">
        <v>10500</v>
      </c>
      <c r="S65" s="41">
        <f t="shared" si="1"/>
        <v>7378.9149560117303</v>
      </c>
    </row>
    <row r="66" spans="1:19">
      <c r="A66" s="5">
        <v>65</v>
      </c>
      <c r="B66" s="5">
        <v>2509301488</v>
      </c>
      <c r="C66" s="5" t="s">
        <v>2182</v>
      </c>
      <c r="D66" s="5" t="s">
        <v>810</v>
      </c>
      <c r="E66" s="5" t="s">
        <v>2158</v>
      </c>
      <c r="F66" s="5" t="s">
        <v>457</v>
      </c>
      <c r="G66" s="5" t="s">
        <v>52</v>
      </c>
      <c r="H66" s="5" t="s">
        <v>2177</v>
      </c>
      <c r="I66" s="5">
        <v>202501490</v>
      </c>
      <c r="J66" s="5"/>
      <c r="K66" s="6">
        <v>45931</v>
      </c>
      <c r="L66" s="6">
        <v>45936</v>
      </c>
      <c r="M66" s="42" t="s">
        <v>53</v>
      </c>
      <c r="N66" s="42" t="s">
        <v>54</v>
      </c>
      <c r="O66" s="42" t="s">
        <v>41</v>
      </c>
      <c r="P66" s="30">
        <f t="shared" si="3"/>
        <v>5</v>
      </c>
      <c r="Q66" s="41">
        <v>3121.0850439882697</v>
      </c>
      <c r="R66" s="41">
        <v>5200</v>
      </c>
      <c r="S66" s="41">
        <f t="shared" ref="S66:S129" si="4">R66-Q66</f>
        <v>2078.9149560117303</v>
      </c>
    </row>
    <row r="67" spans="1:19">
      <c r="A67" s="5">
        <v>66</v>
      </c>
      <c r="B67" s="5">
        <v>2510021573</v>
      </c>
      <c r="C67" s="5" t="s">
        <v>2183</v>
      </c>
      <c r="D67" s="5" t="s">
        <v>810</v>
      </c>
      <c r="E67" s="5" t="s">
        <v>2184</v>
      </c>
      <c r="F67" s="5" t="s">
        <v>457</v>
      </c>
      <c r="G67" s="5" t="s">
        <v>52</v>
      </c>
      <c r="H67" s="5" t="s">
        <v>2177</v>
      </c>
      <c r="I67" s="5">
        <v>202501491</v>
      </c>
      <c r="J67" s="5"/>
      <c r="K67" s="6">
        <v>45932</v>
      </c>
      <c r="L67" s="6">
        <v>45936</v>
      </c>
      <c r="M67" s="42" t="s">
        <v>53</v>
      </c>
      <c r="N67" s="42" t="s">
        <v>54</v>
      </c>
      <c r="O67" s="42" t="s">
        <v>41</v>
      </c>
      <c r="P67" s="30">
        <f t="shared" si="3"/>
        <v>4</v>
      </c>
      <c r="Q67" s="41">
        <v>3121.0850439882697</v>
      </c>
      <c r="R67" s="41">
        <v>5200</v>
      </c>
      <c r="S67" s="41">
        <f t="shared" si="4"/>
        <v>2078.9149560117303</v>
      </c>
    </row>
    <row r="68" spans="1:19">
      <c r="A68" s="5">
        <v>67</v>
      </c>
      <c r="B68" s="5">
        <v>2510021581</v>
      </c>
      <c r="C68" s="5" t="s">
        <v>2185</v>
      </c>
      <c r="D68" s="5" t="s">
        <v>804</v>
      </c>
      <c r="E68" s="5" t="s">
        <v>2186</v>
      </c>
      <c r="F68" s="5" t="s">
        <v>457</v>
      </c>
      <c r="G68" s="5" t="s">
        <v>75</v>
      </c>
      <c r="H68" s="5" t="s">
        <v>2177</v>
      </c>
      <c r="I68" s="5">
        <v>202501492</v>
      </c>
      <c r="J68" s="5"/>
      <c r="K68" s="6">
        <v>45932</v>
      </c>
      <c r="L68" s="6">
        <v>45936</v>
      </c>
      <c r="M68" s="42" t="s">
        <v>53</v>
      </c>
      <c r="N68" s="42" t="s">
        <v>54</v>
      </c>
      <c r="O68" s="42" t="s">
        <v>41</v>
      </c>
      <c r="P68" s="30">
        <f t="shared" si="3"/>
        <v>4</v>
      </c>
      <c r="Q68" s="41">
        <v>3121.0850439882697</v>
      </c>
      <c r="R68" s="41">
        <v>4000</v>
      </c>
      <c r="S68" s="41">
        <f t="shared" si="4"/>
        <v>878.91495601173028</v>
      </c>
    </row>
    <row r="69" spans="1:19">
      <c r="A69" s="5">
        <v>68</v>
      </c>
      <c r="B69" s="5">
        <v>2510021591</v>
      </c>
      <c r="C69" s="5" t="s">
        <v>2187</v>
      </c>
      <c r="D69" s="5" t="s">
        <v>77</v>
      </c>
      <c r="E69" s="5" t="s">
        <v>1874</v>
      </c>
      <c r="F69" s="5" t="s">
        <v>79</v>
      </c>
      <c r="G69" s="5" t="s">
        <v>52</v>
      </c>
      <c r="H69" s="5" t="s">
        <v>2177</v>
      </c>
      <c r="I69" s="5">
        <v>202501493</v>
      </c>
      <c r="J69" s="5"/>
      <c r="K69" s="6">
        <v>45932</v>
      </c>
      <c r="L69" s="6">
        <v>45936</v>
      </c>
      <c r="M69" s="42" t="s">
        <v>53</v>
      </c>
      <c r="N69" s="42" t="s">
        <v>54</v>
      </c>
      <c r="O69" s="42" t="s">
        <v>41</v>
      </c>
      <c r="P69" s="30">
        <f t="shared" si="3"/>
        <v>4</v>
      </c>
      <c r="Q69" s="41">
        <v>3121.0850439882697</v>
      </c>
      <c r="R69" s="41">
        <v>5500</v>
      </c>
      <c r="S69" s="41">
        <f t="shared" si="4"/>
        <v>2378.9149560117303</v>
      </c>
    </row>
    <row r="70" spans="1:19">
      <c r="A70" s="5">
        <v>69</v>
      </c>
      <c r="B70" s="5">
        <v>2510023354</v>
      </c>
      <c r="C70" s="5" t="s">
        <v>2188</v>
      </c>
      <c r="D70" s="5" t="s">
        <v>631</v>
      </c>
      <c r="E70" s="5" t="s">
        <v>1797</v>
      </c>
      <c r="F70" s="5" t="s">
        <v>87</v>
      </c>
      <c r="G70" s="5" t="s">
        <v>52</v>
      </c>
      <c r="H70" s="5" t="s">
        <v>2177</v>
      </c>
      <c r="I70" s="5">
        <v>202501494</v>
      </c>
      <c r="J70" s="5"/>
      <c r="K70" s="6">
        <v>45932</v>
      </c>
      <c r="L70" s="6">
        <v>45936</v>
      </c>
      <c r="M70" s="42" t="s">
        <v>53</v>
      </c>
      <c r="N70" s="42" t="s">
        <v>54</v>
      </c>
      <c r="O70" s="42" t="s">
        <v>41</v>
      </c>
      <c r="P70" s="30">
        <f t="shared" si="3"/>
        <v>4</v>
      </c>
      <c r="Q70" s="41">
        <v>3121.0850439882697</v>
      </c>
      <c r="R70" s="41">
        <v>8000</v>
      </c>
      <c r="S70" s="41">
        <f t="shared" si="4"/>
        <v>4878.9149560117303</v>
      </c>
    </row>
    <row r="71" spans="1:19">
      <c r="A71" s="5">
        <v>70</v>
      </c>
      <c r="B71" s="13">
        <v>2510023357</v>
      </c>
      <c r="C71" s="13" t="s">
        <v>2189</v>
      </c>
      <c r="D71" s="13" t="s">
        <v>405</v>
      </c>
      <c r="E71" s="13" t="s">
        <v>1276</v>
      </c>
      <c r="F71" s="13" t="s">
        <v>202</v>
      </c>
      <c r="G71" s="13" t="s">
        <v>52</v>
      </c>
      <c r="H71" s="13" t="s">
        <v>2177</v>
      </c>
      <c r="I71" s="13">
        <v>202501495</v>
      </c>
      <c r="J71" s="13"/>
      <c r="K71" s="14">
        <v>45932</v>
      </c>
      <c r="L71" s="14">
        <v>45936</v>
      </c>
      <c r="M71" s="118" t="s">
        <v>45</v>
      </c>
      <c r="N71" s="118" t="s">
        <v>46</v>
      </c>
      <c r="O71" s="118" t="s">
        <v>1603</v>
      </c>
      <c r="P71" s="35">
        <f t="shared" si="3"/>
        <v>4</v>
      </c>
      <c r="Q71" s="15">
        <v>3121.0850439882697</v>
      </c>
      <c r="R71" s="15">
        <v>6450</v>
      </c>
      <c r="S71" s="15">
        <f t="shared" si="4"/>
        <v>3328.9149560117303</v>
      </c>
    </row>
    <row r="72" spans="1:19">
      <c r="A72" s="5">
        <v>71</v>
      </c>
      <c r="B72" s="5">
        <v>2510023359</v>
      </c>
      <c r="C72" s="5" t="s">
        <v>2190</v>
      </c>
      <c r="D72" s="5" t="s">
        <v>405</v>
      </c>
      <c r="E72" s="5" t="s">
        <v>1276</v>
      </c>
      <c r="F72" s="5" t="s">
        <v>202</v>
      </c>
      <c r="G72" s="5" t="s">
        <v>52</v>
      </c>
      <c r="H72" s="5" t="s">
        <v>2177</v>
      </c>
      <c r="I72" s="5">
        <v>202501496</v>
      </c>
      <c r="J72" s="5"/>
      <c r="K72" s="6">
        <v>45932</v>
      </c>
      <c r="L72" s="6">
        <v>45936</v>
      </c>
      <c r="M72" s="42" t="s">
        <v>53</v>
      </c>
      <c r="N72" s="42" t="s">
        <v>54</v>
      </c>
      <c r="O72" s="42" t="s">
        <v>41</v>
      </c>
      <c r="P72" s="30">
        <f t="shared" si="3"/>
        <v>4</v>
      </c>
      <c r="Q72" s="41">
        <v>3121.0850439882697</v>
      </c>
      <c r="R72" s="41">
        <v>6450</v>
      </c>
      <c r="S72" s="41">
        <f t="shared" si="4"/>
        <v>3328.9149560117303</v>
      </c>
    </row>
    <row r="73" spans="1:19">
      <c r="A73" s="5">
        <v>72</v>
      </c>
      <c r="B73" s="5">
        <v>2510023363</v>
      </c>
      <c r="C73" s="5" t="s">
        <v>2191</v>
      </c>
      <c r="D73" s="5" t="s">
        <v>564</v>
      </c>
      <c r="E73" s="5" t="s">
        <v>1485</v>
      </c>
      <c r="F73" s="5" t="s">
        <v>71</v>
      </c>
      <c r="G73" s="5" t="s">
        <v>75</v>
      </c>
      <c r="H73" s="5" t="s">
        <v>2177</v>
      </c>
      <c r="I73" s="5">
        <v>202501497</v>
      </c>
      <c r="J73" s="5"/>
      <c r="K73" s="6">
        <v>45932</v>
      </c>
      <c r="L73" s="6">
        <v>45936</v>
      </c>
      <c r="M73" s="42" t="s">
        <v>53</v>
      </c>
      <c r="N73" s="42" t="s">
        <v>54</v>
      </c>
      <c r="O73" s="42" t="s">
        <v>41</v>
      </c>
      <c r="P73" s="30">
        <f t="shared" si="3"/>
        <v>4</v>
      </c>
      <c r="Q73" s="41">
        <v>3121.0850439882697</v>
      </c>
      <c r="R73" s="41">
        <v>6500</v>
      </c>
      <c r="S73" s="41">
        <f t="shared" si="4"/>
        <v>3378.9149560117303</v>
      </c>
    </row>
    <row r="74" spans="1:19">
      <c r="A74" s="5">
        <v>73</v>
      </c>
      <c r="B74" s="5">
        <v>2510023366</v>
      </c>
      <c r="C74" s="5" t="s">
        <v>2192</v>
      </c>
      <c r="D74" s="5" t="s">
        <v>564</v>
      </c>
      <c r="E74" s="5" t="s">
        <v>1485</v>
      </c>
      <c r="F74" s="5" t="s">
        <v>71</v>
      </c>
      <c r="G74" s="5" t="s">
        <v>75</v>
      </c>
      <c r="H74" s="5" t="s">
        <v>2177</v>
      </c>
      <c r="I74" s="5">
        <v>202501498</v>
      </c>
      <c r="J74" s="5"/>
      <c r="K74" s="6">
        <v>45932</v>
      </c>
      <c r="L74" s="6">
        <v>45936</v>
      </c>
      <c r="M74" s="42" t="s">
        <v>53</v>
      </c>
      <c r="N74" s="42" t="s">
        <v>54</v>
      </c>
      <c r="O74" s="42" t="s">
        <v>41</v>
      </c>
      <c r="P74" s="30">
        <f t="shared" si="3"/>
        <v>4</v>
      </c>
      <c r="Q74" s="41">
        <v>3121.0850439882697</v>
      </c>
      <c r="R74" s="41">
        <v>6500</v>
      </c>
      <c r="S74" s="41">
        <f t="shared" si="4"/>
        <v>3378.9149560117303</v>
      </c>
    </row>
    <row r="75" spans="1:19">
      <c r="A75" s="5">
        <v>74</v>
      </c>
      <c r="B75" s="5">
        <v>2510023371</v>
      </c>
      <c r="C75" s="5" t="s">
        <v>2193</v>
      </c>
      <c r="D75" s="5" t="s">
        <v>2194</v>
      </c>
      <c r="E75" s="5" t="s">
        <v>2195</v>
      </c>
      <c r="F75" s="5" t="s">
        <v>66</v>
      </c>
      <c r="G75" s="5" t="s">
        <v>75</v>
      </c>
      <c r="H75" s="5" t="s">
        <v>2177</v>
      </c>
      <c r="I75" s="5">
        <v>202501499</v>
      </c>
      <c r="J75" s="5"/>
      <c r="K75" s="6">
        <v>45932</v>
      </c>
      <c r="L75" s="6">
        <v>45936</v>
      </c>
      <c r="M75" s="42" t="s">
        <v>53</v>
      </c>
      <c r="N75" s="42" t="s">
        <v>54</v>
      </c>
      <c r="O75" s="42" t="s">
        <v>41</v>
      </c>
      <c r="P75" s="30">
        <f t="shared" si="3"/>
        <v>4</v>
      </c>
      <c r="Q75" s="41">
        <v>3121.0850439882697</v>
      </c>
      <c r="R75" s="61">
        <v>2500</v>
      </c>
      <c r="S75" s="41">
        <f t="shared" si="4"/>
        <v>-621.08504398826972</v>
      </c>
    </row>
    <row r="76" spans="1:19">
      <c r="A76" s="5">
        <v>75</v>
      </c>
      <c r="B76" s="5">
        <v>2510031550</v>
      </c>
      <c r="C76" s="5" t="s">
        <v>2196</v>
      </c>
      <c r="D76" s="5" t="s">
        <v>711</v>
      </c>
      <c r="E76" s="5" t="s">
        <v>2197</v>
      </c>
      <c r="F76" s="5" t="s">
        <v>71</v>
      </c>
      <c r="G76" s="5" t="s">
        <v>52</v>
      </c>
      <c r="H76" s="5" t="s">
        <v>2177</v>
      </c>
      <c r="I76" s="5">
        <v>202501500</v>
      </c>
      <c r="J76" s="5"/>
      <c r="K76" s="6">
        <v>45933</v>
      </c>
      <c r="L76" s="6">
        <v>45936</v>
      </c>
      <c r="M76" s="42" t="s">
        <v>53</v>
      </c>
      <c r="N76" s="42" t="s">
        <v>54</v>
      </c>
      <c r="O76" s="42" t="s">
        <v>41</v>
      </c>
      <c r="P76" s="30">
        <f t="shared" si="3"/>
        <v>3</v>
      </c>
      <c r="Q76" s="41">
        <v>3121.0850439882697</v>
      </c>
      <c r="R76" s="41">
        <v>8000</v>
      </c>
      <c r="S76" s="41">
        <f t="shared" si="4"/>
        <v>4878.9149560117303</v>
      </c>
    </row>
    <row r="77" spans="1:19">
      <c r="A77" s="5">
        <v>76</v>
      </c>
      <c r="B77" s="5">
        <v>2510031555</v>
      </c>
      <c r="C77" s="5" t="s">
        <v>2198</v>
      </c>
      <c r="D77" s="5" t="s">
        <v>2194</v>
      </c>
      <c r="E77" s="5" t="s">
        <v>2195</v>
      </c>
      <c r="F77" s="5" t="s">
        <v>66</v>
      </c>
      <c r="G77" s="5" t="s">
        <v>75</v>
      </c>
      <c r="H77" s="5" t="s">
        <v>2177</v>
      </c>
      <c r="I77" s="5">
        <v>202501501</v>
      </c>
      <c r="J77" s="5"/>
      <c r="K77" s="6">
        <v>45933</v>
      </c>
      <c r="L77" s="6">
        <v>45936</v>
      </c>
      <c r="M77" s="42" t="s">
        <v>53</v>
      </c>
      <c r="N77" s="42" t="s">
        <v>54</v>
      </c>
      <c r="O77" s="42" t="s">
        <v>41</v>
      </c>
      <c r="P77" s="30">
        <f t="shared" si="3"/>
        <v>3</v>
      </c>
      <c r="Q77" s="41">
        <v>3121.0850439882697</v>
      </c>
      <c r="R77" s="61">
        <v>2500</v>
      </c>
      <c r="S77" s="41">
        <f t="shared" si="4"/>
        <v>-621.08504398826972</v>
      </c>
    </row>
    <row r="78" spans="1:19">
      <c r="A78" s="5">
        <v>77</v>
      </c>
      <c r="B78" s="5">
        <v>2510031560</v>
      </c>
      <c r="C78" s="5" t="s">
        <v>2199</v>
      </c>
      <c r="D78" s="5" t="s">
        <v>2194</v>
      </c>
      <c r="E78" s="5" t="s">
        <v>2195</v>
      </c>
      <c r="F78" s="5" t="s">
        <v>66</v>
      </c>
      <c r="G78" s="5" t="s">
        <v>75</v>
      </c>
      <c r="H78" s="5" t="s">
        <v>2177</v>
      </c>
      <c r="I78" s="5">
        <v>202501502</v>
      </c>
      <c r="J78" s="5"/>
      <c r="K78" s="6">
        <v>45933</v>
      </c>
      <c r="L78" s="6">
        <v>45936</v>
      </c>
      <c r="M78" s="42" t="s">
        <v>53</v>
      </c>
      <c r="N78" s="42" t="s">
        <v>54</v>
      </c>
      <c r="O78" s="42" t="s">
        <v>41</v>
      </c>
      <c r="P78" s="30">
        <f t="shared" si="3"/>
        <v>3</v>
      </c>
      <c r="Q78" s="41">
        <v>3121.0850439882697</v>
      </c>
      <c r="R78" s="61">
        <v>2500</v>
      </c>
      <c r="S78" s="41">
        <f t="shared" si="4"/>
        <v>-621.08504398826972</v>
      </c>
    </row>
    <row r="79" spans="1:19">
      <c r="A79" s="5">
        <v>78</v>
      </c>
      <c r="B79" s="5">
        <v>2510031567</v>
      </c>
      <c r="C79" s="5" t="s">
        <v>2200</v>
      </c>
      <c r="D79" s="5" t="s">
        <v>1692</v>
      </c>
      <c r="E79" s="5" t="s">
        <v>1743</v>
      </c>
      <c r="F79" s="5" t="s">
        <v>457</v>
      </c>
      <c r="G79" s="5" t="s">
        <v>75</v>
      </c>
      <c r="H79" s="5" t="s">
        <v>2177</v>
      </c>
      <c r="I79" s="5">
        <v>202501503</v>
      </c>
      <c r="J79" s="5"/>
      <c r="K79" s="6">
        <v>45933</v>
      </c>
      <c r="L79" s="6">
        <v>45936</v>
      </c>
      <c r="M79" s="42" t="s">
        <v>53</v>
      </c>
      <c r="N79" s="42" t="s">
        <v>54</v>
      </c>
      <c r="O79" s="42" t="s">
        <v>41</v>
      </c>
      <c r="P79" s="30">
        <f t="shared" si="3"/>
        <v>3</v>
      </c>
      <c r="Q79" s="41">
        <v>3121.0850439882697</v>
      </c>
      <c r="R79" s="41">
        <v>4600</v>
      </c>
      <c r="S79" s="41">
        <f t="shared" si="4"/>
        <v>1478.9149560117303</v>
      </c>
    </row>
    <row r="80" spans="1:19">
      <c r="A80" s="5">
        <v>79</v>
      </c>
      <c r="B80" s="5">
        <v>2510030370</v>
      </c>
      <c r="C80" s="5" t="s">
        <v>2201</v>
      </c>
      <c r="D80" s="5" t="s">
        <v>40</v>
      </c>
      <c r="E80" s="5" t="s">
        <v>41</v>
      </c>
      <c r="F80" s="5" t="s">
        <v>42</v>
      </c>
      <c r="G80" s="5" t="s">
        <v>52</v>
      </c>
      <c r="H80" s="5" t="s">
        <v>2177</v>
      </c>
      <c r="I80" s="5">
        <v>202501504</v>
      </c>
      <c r="J80" s="5"/>
      <c r="K80" s="6">
        <v>45933</v>
      </c>
      <c r="L80" s="6">
        <v>45936</v>
      </c>
      <c r="M80" s="42" t="s">
        <v>53</v>
      </c>
      <c r="N80" s="42" t="s">
        <v>54</v>
      </c>
      <c r="O80" s="42" t="s">
        <v>41</v>
      </c>
      <c r="P80" s="30">
        <f t="shared" si="3"/>
        <v>3</v>
      </c>
      <c r="Q80" s="41">
        <v>3121.0850439882697</v>
      </c>
      <c r="R80" s="41">
        <v>9500</v>
      </c>
      <c r="S80" s="41">
        <f t="shared" si="4"/>
        <v>6378.9149560117303</v>
      </c>
    </row>
    <row r="81" spans="1:19">
      <c r="A81" s="5">
        <v>80</v>
      </c>
      <c r="B81" s="5">
        <v>2510031571</v>
      </c>
      <c r="C81" s="5" t="s">
        <v>2202</v>
      </c>
      <c r="D81" s="5" t="s">
        <v>440</v>
      </c>
      <c r="E81" s="5" t="s">
        <v>441</v>
      </c>
      <c r="F81" s="5" t="s">
        <v>169</v>
      </c>
      <c r="G81" s="5" t="s">
        <v>52</v>
      </c>
      <c r="H81" s="5" t="s">
        <v>2177</v>
      </c>
      <c r="I81" s="5">
        <v>202501505</v>
      </c>
      <c r="J81" s="5"/>
      <c r="K81" s="6">
        <v>45933</v>
      </c>
      <c r="L81" s="6">
        <v>45936</v>
      </c>
      <c r="M81" s="42" t="s">
        <v>53</v>
      </c>
      <c r="N81" s="42" t="s">
        <v>54</v>
      </c>
      <c r="O81" s="42" t="s">
        <v>41</v>
      </c>
      <c r="P81" s="30">
        <f t="shared" si="3"/>
        <v>3</v>
      </c>
      <c r="Q81" s="41">
        <v>3121.0850439882697</v>
      </c>
      <c r="R81" s="41">
        <v>5500</v>
      </c>
      <c r="S81" s="41">
        <f t="shared" si="4"/>
        <v>2378.9149560117303</v>
      </c>
    </row>
    <row r="82" spans="1:19">
      <c r="A82" s="5">
        <v>81</v>
      </c>
      <c r="B82" s="5">
        <v>2510033094</v>
      </c>
      <c r="C82" s="5" t="s">
        <v>2203</v>
      </c>
      <c r="D82" s="5" t="s">
        <v>564</v>
      </c>
      <c r="E82" s="5" t="s">
        <v>565</v>
      </c>
      <c r="F82" s="5" t="s">
        <v>71</v>
      </c>
      <c r="G82" s="5" t="s">
        <v>75</v>
      </c>
      <c r="H82" s="5" t="s">
        <v>2177</v>
      </c>
      <c r="I82" s="5">
        <v>202501506</v>
      </c>
      <c r="J82" s="5"/>
      <c r="K82" s="6">
        <v>45933</v>
      </c>
      <c r="L82" s="6">
        <v>45936</v>
      </c>
      <c r="M82" s="42" t="s">
        <v>53</v>
      </c>
      <c r="N82" s="42" t="s">
        <v>54</v>
      </c>
      <c r="O82" s="42" t="s">
        <v>41</v>
      </c>
      <c r="P82" s="30">
        <f t="shared" si="3"/>
        <v>3</v>
      </c>
      <c r="Q82" s="41">
        <v>3121.0850439882697</v>
      </c>
      <c r="R82" s="41">
        <v>6500</v>
      </c>
      <c r="S82" s="41">
        <f t="shared" si="4"/>
        <v>3378.9149560117303</v>
      </c>
    </row>
    <row r="83" spans="1:19">
      <c r="A83" s="5">
        <v>82</v>
      </c>
      <c r="B83" s="5">
        <v>2510033099</v>
      </c>
      <c r="C83" s="5" t="s">
        <v>2204</v>
      </c>
      <c r="D83" s="5" t="s">
        <v>405</v>
      </c>
      <c r="E83" s="5" t="s">
        <v>2205</v>
      </c>
      <c r="F83" s="5" t="s">
        <v>202</v>
      </c>
      <c r="G83" s="5" t="s">
        <v>52</v>
      </c>
      <c r="H83" s="5" t="s">
        <v>2177</v>
      </c>
      <c r="I83" s="5">
        <v>202501507</v>
      </c>
      <c r="J83" s="5"/>
      <c r="K83" s="6">
        <v>45933</v>
      </c>
      <c r="L83" s="6">
        <v>45936</v>
      </c>
      <c r="M83" s="42" t="s">
        <v>53</v>
      </c>
      <c r="N83" s="42" t="s">
        <v>54</v>
      </c>
      <c r="O83" s="42" t="s">
        <v>41</v>
      </c>
      <c r="P83" s="30">
        <f t="shared" si="3"/>
        <v>3</v>
      </c>
      <c r="Q83" s="41">
        <v>3121.0850439882697</v>
      </c>
      <c r="R83" s="41">
        <v>6450</v>
      </c>
      <c r="S83" s="41">
        <f t="shared" si="4"/>
        <v>3328.9149560117303</v>
      </c>
    </row>
    <row r="84" spans="1:19">
      <c r="A84" s="5">
        <v>83</v>
      </c>
      <c r="B84" s="5">
        <v>2510033109</v>
      </c>
      <c r="C84" s="5" t="s">
        <v>2206</v>
      </c>
      <c r="D84" s="5" t="s">
        <v>855</v>
      </c>
      <c r="E84" s="5" t="s">
        <v>2068</v>
      </c>
      <c r="F84" s="5" t="s">
        <v>51</v>
      </c>
      <c r="G84" s="5" t="s">
        <v>52</v>
      </c>
      <c r="H84" s="5" t="s">
        <v>2177</v>
      </c>
      <c r="I84" s="5">
        <v>202501508</v>
      </c>
      <c r="J84" s="5"/>
      <c r="K84" s="6">
        <v>45933</v>
      </c>
      <c r="L84" s="6">
        <v>45936</v>
      </c>
      <c r="M84" s="42" t="s">
        <v>53</v>
      </c>
      <c r="N84" s="42" t="s">
        <v>54</v>
      </c>
      <c r="O84" s="42" t="s">
        <v>41</v>
      </c>
      <c r="P84" s="30">
        <f t="shared" si="3"/>
        <v>3</v>
      </c>
      <c r="Q84" s="41">
        <v>3121.0850439882697</v>
      </c>
      <c r="R84" s="41">
        <v>5500</v>
      </c>
      <c r="S84" s="41">
        <f t="shared" si="4"/>
        <v>2378.9149560117303</v>
      </c>
    </row>
    <row r="85" spans="1:19">
      <c r="A85" s="5">
        <v>84</v>
      </c>
      <c r="B85" s="5">
        <v>2510033117</v>
      </c>
      <c r="C85" s="5" t="s">
        <v>2207</v>
      </c>
      <c r="D85" s="5" t="s">
        <v>405</v>
      </c>
      <c r="E85" s="5" t="s">
        <v>2208</v>
      </c>
      <c r="F85" s="5" t="s">
        <v>202</v>
      </c>
      <c r="G85" s="5" t="s">
        <v>52</v>
      </c>
      <c r="H85" s="5" t="s">
        <v>2177</v>
      </c>
      <c r="I85" s="5">
        <v>202501509</v>
      </c>
      <c r="J85" s="5"/>
      <c r="K85" s="6">
        <v>45933</v>
      </c>
      <c r="L85" s="6">
        <v>45936</v>
      </c>
      <c r="M85" s="42" t="s">
        <v>53</v>
      </c>
      <c r="N85" s="42" t="s">
        <v>54</v>
      </c>
      <c r="O85" s="42" t="s">
        <v>41</v>
      </c>
      <c r="P85" s="30">
        <f t="shared" si="3"/>
        <v>3</v>
      </c>
      <c r="Q85" s="41">
        <v>3121.0850439882697</v>
      </c>
      <c r="R85" s="41">
        <v>6450</v>
      </c>
      <c r="S85" s="41">
        <f t="shared" si="4"/>
        <v>3328.9149560117303</v>
      </c>
    </row>
    <row r="86" spans="1:19">
      <c r="A86" s="5">
        <v>85</v>
      </c>
      <c r="B86" s="5">
        <v>2510033123</v>
      </c>
      <c r="C86" s="5" t="s">
        <v>2209</v>
      </c>
      <c r="D86" s="5" t="s">
        <v>564</v>
      </c>
      <c r="E86" s="5" t="s">
        <v>1485</v>
      </c>
      <c r="F86" s="5" t="s">
        <v>71</v>
      </c>
      <c r="G86" s="5" t="s">
        <v>52</v>
      </c>
      <c r="H86" s="5" t="s">
        <v>2177</v>
      </c>
      <c r="I86" s="5">
        <v>202501510</v>
      </c>
      <c r="J86" s="5"/>
      <c r="K86" s="6">
        <v>45933</v>
      </c>
      <c r="L86" s="6">
        <v>45936</v>
      </c>
      <c r="M86" s="42" t="s">
        <v>53</v>
      </c>
      <c r="N86" s="42" t="s">
        <v>54</v>
      </c>
      <c r="O86" s="42" t="s">
        <v>41</v>
      </c>
      <c r="P86" s="30">
        <f t="shared" si="3"/>
        <v>3</v>
      </c>
      <c r="Q86" s="41">
        <v>3121.0850439882697</v>
      </c>
      <c r="R86" s="41">
        <v>8500</v>
      </c>
      <c r="S86" s="41">
        <f t="shared" si="4"/>
        <v>5378.9149560117303</v>
      </c>
    </row>
    <row r="87" spans="1:19">
      <c r="A87" s="5">
        <v>86</v>
      </c>
      <c r="B87" s="5">
        <v>2510033131</v>
      </c>
      <c r="C87" s="5" t="s">
        <v>2210</v>
      </c>
      <c r="D87" s="5" t="s">
        <v>2211</v>
      </c>
      <c r="E87" s="5" t="s">
        <v>2212</v>
      </c>
      <c r="F87" s="5" t="s">
        <v>51</v>
      </c>
      <c r="G87" s="5" t="s">
        <v>43</v>
      </c>
      <c r="H87" s="5" t="s">
        <v>2177</v>
      </c>
      <c r="I87" s="5">
        <v>202501511</v>
      </c>
      <c r="J87" s="5"/>
      <c r="K87" s="6">
        <v>45933</v>
      </c>
      <c r="L87" s="6">
        <v>45936</v>
      </c>
      <c r="M87" s="42" t="s">
        <v>53</v>
      </c>
      <c r="N87" s="42" t="s">
        <v>54</v>
      </c>
      <c r="O87" s="42" t="s">
        <v>41</v>
      </c>
      <c r="P87" s="30">
        <f t="shared" si="3"/>
        <v>3</v>
      </c>
      <c r="Q87" s="41">
        <v>3121.0850439882697</v>
      </c>
      <c r="R87" s="41">
        <v>11000</v>
      </c>
      <c r="S87" s="41">
        <f t="shared" si="4"/>
        <v>7878.9149560117303</v>
      </c>
    </row>
    <row r="88" spans="1:19">
      <c r="A88" s="5">
        <v>87</v>
      </c>
      <c r="B88" s="5">
        <v>2510033136</v>
      </c>
      <c r="C88" s="5" t="s">
        <v>2213</v>
      </c>
      <c r="D88" s="5" t="s">
        <v>86</v>
      </c>
      <c r="E88" s="5" t="s">
        <v>1714</v>
      </c>
      <c r="F88" s="5" t="s">
        <v>87</v>
      </c>
      <c r="G88" s="5" t="s">
        <v>75</v>
      </c>
      <c r="H88" s="5" t="s">
        <v>2177</v>
      </c>
      <c r="I88" s="5">
        <v>202501512</v>
      </c>
      <c r="J88" s="5"/>
      <c r="K88" s="6">
        <v>45933</v>
      </c>
      <c r="L88" s="6">
        <v>45936</v>
      </c>
      <c r="M88" s="42" t="s">
        <v>53</v>
      </c>
      <c r="N88" s="42" t="s">
        <v>54</v>
      </c>
      <c r="O88" s="42" t="s">
        <v>41</v>
      </c>
      <c r="P88" s="30">
        <f t="shared" si="3"/>
        <v>3</v>
      </c>
      <c r="Q88" s="41">
        <v>3121.0850439882697</v>
      </c>
      <c r="R88" s="41">
        <v>4500</v>
      </c>
      <c r="S88" s="41">
        <f t="shared" si="4"/>
        <v>1378.9149560117303</v>
      </c>
    </row>
    <row r="89" spans="1:19">
      <c r="A89" s="5">
        <v>88</v>
      </c>
      <c r="B89" s="5">
        <v>2510033147</v>
      </c>
      <c r="C89" s="5" t="s">
        <v>2214</v>
      </c>
      <c r="D89" s="5" t="s">
        <v>440</v>
      </c>
      <c r="E89" s="5" t="s">
        <v>441</v>
      </c>
      <c r="F89" s="5" t="s">
        <v>169</v>
      </c>
      <c r="G89" s="5" t="s">
        <v>52</v>
      </c>
      <c r="H89" s="5" t="s">
        <v>2177</v>
      </c>
      <c r="I89" s="5">
        <v>202501514</v>
      </c>
      <c r="J89" s="5"/>
      <c r="K89" s="6">
        <v>45933</v>
      </c>
      <c r="L89" s="6">
        <v>45936</v>
      </c>
      <c r="M89" s="42" t="s">
        <v>53</v>
      </c>
      <c r="N89" s="42" t="s">
        <v>54</v>
      </c>
      <c r="O89" s="42" t="s">
        <v>41</v>
      </c>
      <c r="P89" s="30">
        <f t="shared" si="3"/>
        <v>3</v>
      </c>
      <c r="Q89" s="41">
        <v>3121.0850439882697</v>
      </c>
      <c r="R89" s="41">
        <v>5500</v>
      </c>
      <c r="S89" s="41">
        <f t="shared" si="4"/>
        <v>2378.9149560117303</v>
      </c>
    </row>
    <row r="90" spans="1:19">
      <c r="A90" s="5">
        <v>89</v>
      </c>
      <c r="B90" s="5">
        <v>2510033152</v>
      </c>
      <c r="C90" s="5" t="s">
        <v>2215</v>
      </c>
      <c r="D90" s="5" t="s">
        <v>1282</v>
      </c>
      <c r="E90" s="5" t="s">
        <v>1877</v>
      </c>
      <c r="F90" s="5" t="s">
        <v>62</v>
      </c>
      <c r="G90" s="5" t="s">
        <v>52</v>
      </c>
      <c r="H90" s="5" t="s">
        <v>2177</v>
      </c>
      <c r="I90" s="5">
        <v>202501515</v>
      </c>
      <c r="J90" s="5"/>
      <c r="K90" s="6">
        <v>45933</v>
      </c>
      <c r="L90" s="6">
        <v>45936</v>
      </c>
      <c r="M90" s="42" t="s">
        <v>53</v>
      </c>
      <c r="N90" s="42" t="s">
        <v>54</v>
      </c>
      <c r="O90" s="42" t="s">
        <v>41</v>
      </c>
      <c r="P90" s="30">
        <f t="shared" si="3"/>
        <v>3</v>
      </c>
      <c r="Q90" s="41">
        <v>3121.0850439882697</v>
      </c>
      <c r="R90" s="41">
        <v>5500</v>
      </c>
      <c r="S90" s="41">
        <f t="shared" si="4"/>
        <v>2378.9149560117303</v>
      </c>
    </row>
    <row r="91" spans="1:19">
      <c r="A91" s="5">
        <v>90</v>
      </c>
      <c r="B91" s="5" t="s">
        <v>1239</v>
      </c>
      <c r="C91" s="5"/>
      <c r="D91" s="5"/>
      <c r="E91" s="5"/>
      <c r="F91" s="5"/>
      <c r="G91" s="5" t="s">
        <v>52</v>
      </c>
      <c r="H91" s="5"/>
      <c r="I91" s="5"/>
      <c r="J91" s="5"/>
      <c r="K91" s="5"/>
      <c r="L91" s="5"/>
      <c r="M91" s="5"/>
      <c r="N91" s="5"/>
      <c r="O91" s="5"/>
      <c r="P91" s="5"/>
      <c r="Q91" s="41">
        <v>3121.0850439882697</v>
      </c>
      <c r="R91" s="41">
        <v>0</v>
      </c>
      <c r="S91" s="41">
        <f t="shared" si="4"/>
        <v>-3121.0850439882697</v>
      </c>
    </row>
    <row r="92" spans="1:19">
      <c r="A92" s="5">
        <v>91</v>
      </c>
      <c r="B92" s="5" t="s">
        <v>1240</v>
      </c>
      <c r="C92" s="5"/>
      <c r="D92" s="5"/>
      <c r="E92" s="5"/>
      <c r="F92" s="5"/>
      <c r="G92" s="5" t="s">
        <v>52</v>
      </c>
      <c r="H92" s="5"/>
      <c r="I92" s="5"/>
      <c r="J92" s="5"/>
      <c r="K92" s="5"/>
      <c r="L92" s="5"/>
      <c r="M92" s="5"/>
      <c r="N92" s="5"/>
      <c r="O92" s="5"/>
      <c r="P92" s="5"/>
      <c r="Q92" s="41">
        <v>3121.0850439882697</v>
      </c>
      <c r="R92" s="41">
        <v>0</v>
      </c>
      <c r="S92" s="41">
        <f t="shared" si="4"/>
        <v>-3121.0850439882697</v>
      </c>
    </row>
    <row r="93" spans="1:19">
      <c r="A93" s="5">
        <v>92</v>
      </c>
      <c r="B93" s="22">
        <v>2509262810</v>
      </c>
      <c r="C93" s="22" t="s">
        <v>2098</v>
      </c>
      <c r="D93" s="22" t="s">
        <v>64</v>
      </c>
      <c r="E93" s="22" t="s">
        <v>1498</v>
      </c>
      <c r="F93" s="22" t="s">
        <v>66</v>
      </c>
      <c r="G93" s="22" t="s">
        <v>52</v>
      </c>
      <c r="H93" s="22" t="s">
        <v>2216</v>
      </c>
      <c r="I93" s="22" t="s">
        <v>2217</v>
      </c>
      <c r="J93" s="22"/>
      <c r="K93" s="23">
        <v>45934</v>
      </c>
      <c r="L93" s="23">
        <v>45939</v>
      </c>
      <c r="M93" s="50" t="s">
        <v>53</v>
      </c>
      <c r="N93" s="50" t="s">
        <v>54</v>
      </c>
      <c r="O93" s="50" t="s">
        <v>41</v>
      </c>
      <c r="P93" s="34">
        <f t="shared" ref="P93:P121" si="5">L93-K93</f>
        <v>5</v>
      </c>
      <c r="Q93" s="24">
        <v>3121.0850439882697</v>
      </c>
      <c r="R93" s="24">
        <v>0</v>
      </c>
      <c r="S93" s="24">
        <f t="shared" si="4"/>
        <v>-3121.0850439882697</v>
      </c>
    </row>
    <row r="94" spans="1:19">
      <c r="A94" s="5">
        <v>93</v>
      </c>
      <c r="B94" s="5">
        <v>2510033141</v>
      </c>
      <c r="C94" s="5" t="s">
        <v>2218</v>
      </c>
      <c r="D94" s="5" t="s">
        <v>448</v>
      </c>
      <c r="E94" s="5" t="s">
        <v>522</v>
      </c>
      <c r="F94" s="5" t="s">
        <v>109</v>
      </c>
      <c r="G94" s="5" t="s">
        <v>43</v>
      </c>
      <c r="H94" s="5" t="s">
        <v>2216</v>
      </c>
      <c r="I94" s="5">
        <v>202501516</v>
      </c>
      <c r="J94" s="5"/>
      <c r="K94" s="6">
        <v>45933</v>
      </c>
      <c r="L94" s="6">
        <v>45939</v>
      </c>
      <c r="M94" s="42" t="s">
        <v>53</v>
      </c>
      <c r="N94" s="42" t="s">
        <v>54</v>
      </c>
      <c r="O94" s="42" t="s">
        <v>41</v>
      </c>
      <c r="P94" s="30">
        <f t="shared" si="5"/>
        <v>6</v>
      </c>
      <c r="Q94" s="41">
        <v>3121.0850439882697</v>
      </c>
      <c r="R94" s="41">
        <v>11500</v>
      </c>
      <c r="S94" s="41">
        <f t="shared" si="4"/>
        <v>8378.9149560117294</v>
      </c>
    </row>
    <row r="95" spans="1:19">
      <c r="A95" s="5">
        <v>94</v>
      </c>
      <c r="B95" s="5">
        <v>2510041204</v>
      </c>
      <c r="C95" s="5" t="s">
        <v>2219</v>
      </c>
      <c r="D95" s="5" t="s">
        <v>77</v>
      </c>
      <c r="E95" s="5" t="s">
        <v>1874</v>
      </c>
      <c r="F95" s="5" t="s">
        <v>79</v>
      </c>
      <c r="G95" s="5" t="s">
        <v>75</v>
      </c>
      <c r="H95" s="5" t="s">
        <v>2216</v>
      </c>
      <c r="I95" s="5">
        <v>202501517</v>
      </c>
      <c r="J95" s="5"/>
      <c r="K95" s="6">
        <v>45934</v>
      </c>
      <c r="L95" s="6">
        <v>45939</v>
      </c>
      <c r="M95" s="42" t="s">
        <v>53</v>
      </c>
      <c r="N95" s="42" t="s">
        <v>54</v>
      </c>
      <c r="O95" s="42" t="s">
        <v>41</v>
      </c>
      <c r="P95" s="30">
        <f t="shared" si="5"/>
        <v>5</v>
      </c>
      <c r="Q95" s="41">
        <v>3121.0850439882697</v>
      </c>
      <c r="R95" s="41">
        <v>4500</v>
      </c>
      <c r="S95" s="41">
        <f t="shared" si="4"/>
        <v>1378.9149560117303</v>
      </c>
    </row>
    <row r="96" spans="1:19">
      <c r="A96" s="5">
        <v>95</v>
      </c>
      <c r="B96" s="5">
        <v>2510041213</v>
      </c>
      <c r="C96" s="5" t="s">
        <v>2220</v>
      </c>
      <c r="D96" s="5" t="s">
        <v>64</v>
      </c>
      <c r="E96" s="5" t="s">
        <v>65</v>
      </c>
      <c r="F96" s="5" t="s">
        <v>66</v>
      </c>
      <c r="G96" s="5" t="s">
        <v>52</v>
      </c>
      <c r="H96" s="5" t="s">
        <v>2216</v>
      </c>
      <c r="I96" s="5">
        <v>202501518</v>
      </c>
      <c r="J96" s="5"/>
      <c r="K96" s="6">
        <v>45934</v>
      </c>
      <c r="L96" s="6">
        <v>45939</v>
      </c>
      <c r="M96" s="42" t="s">
        <v>53</v>
      </c>
      <c r="N96" s="42" t="s">
        <v>54</v>
      </c>
      <c r="O96" s="42" t="s">
        <v>41</v>
      </c>
      <c r="P96" s="30">
        <f t="shared" si="5"/>
        <v>5</v>
      </c>
      <c r="Q96" s="41">
        <v>3121.0850439882697</v>
      </c>
      <c r="R96" s="41">
        <v>5500</v>
      </c>
      <c r="S96" s="41">
        <f t="shared" si="4"/>
        <v>2378.9149560117303</v>
      </c>
    </row>
    <row r="97" spans="1:19">
      <c r="A97" s="5">
        <v>96</v>
      </c>
      <c r="B97" s="5">
        <v>2510041218</v>
      </c>
      <c r="C97" s="5" t="s">
        <v>2221</v>
      </c>
      <c r="D97" s="5" t="s">
        <v>810</v>
      </c>
      <c r="E97" s="5" t="s">
        <v>2222</v>
      </c>
      <c r="F97" s="5" t="s">
        <v>457</v>
      </c>
      <c r="G97" s="5" t="s">
        <v>52</v>
      </c>
      <c r="H97" s="5" t="s">
        <v>2216</v>
      </c>
      <c r="I97" s="5">
        <v>202501519</v>
      </c>
      <c r="J97" s="5"/>
      <c r="K97" s="6">
        <v>45934</v>
      </c>
      <c r="L97" s="6">
        <v>45939</v>
      </c>
      <c r="M97" s="42" t="s">
        <v>53</v>
      </c>
      <c r="N97" s="42" t="s">
        <v>54</v>
      </c>
      <c r="O97" s="42" t="s">
        <v>41</v>
      </c>
      <c r="P97" s="30">
        <f t="shared" si="5"/>
        <v>5</v>
      </c>
      <c r="Q97" s="41">
        <v>3121.0850439882697</v>
      </c>
      <c r="R97" s="41">
        <v>5200</v>
      </c>
      <c r="S97" s="41">
        <f t="shared" si="4"/>
        <v>2078.9149560117303</v>
      </c>
    </row>
    <row r="98" spans="1:19">
      <c r="A98" s="5">
        <v>97</v>
      </c>
      <c r="B98" s="5">
        <v>2510041207</v>
      </c>
      <c r="C98" s="5" t="s">
        <v>2223</v>
      </c>
      <c r="D98" s="5" t="s">
        <v>804</v>
      </c>
      <c r="E98" s="5" t="s">
        <v>805</v>
      </c>
      <c r="F98" s="5" t="s">
        <v>457</v>
      </c>
      <c r="G98" s="5" t="s">
        <v>43</v>
      </c>
      <c r="H98" s="5" t="s">
        <v>2216</v>
      </c>
      <c r="I98" s="5">
        <v>202501520</v>
      </c>
      <c r="J98" s="5"/>
      <c r="K98" s="6">
        <v>45934</v>
      </c>
      <c r="L98" s="6">
        <v>45939</v>
      </c>
      <c r="M98" s="42" t="s">
        <v>53</v>
      </c>
      <c r="N98" s="42" t="s">
        <v>54</v>
      </c>
      <c r="O98" s="42" t="s">
        <v>41</v>
      </c>
      <c r="P98" s="30">
        <f t="shared" si="5"/>
        <v>5</v>
      </c>
      <c r="Q98" s="41">
        <v>3121.0850439882697</v>
      </c>
      <c r="R98" s="41">
        <v>11000</v>
      </c>
      <c r="S98" s="41">
        <f t="shared" si="4"/>
        <v>7878.9149560117303</v>
      </c>
    </row>
    <row r="99" spans="1:19">
      <c r="A99" s="5">
        <v>98</v>
      </c>
      <c r="B99" s="5">
        <v>2510041217</v>
      </c>
      <c r="C99" s="5" t="s">
        <v>2224</v>
      </c>
      <c r="D99" s="5" t="s">
        <v>1475</v>
      </c>
      <c r="E99" s="5" t="s">
        <v>1476</v>
      </c>
      <c r="F99" s="5" t="s">
        <v>362</v>
      </c>
      <c r="G99" s="5" t="s">
        <v>75</v>
      </c>
      <c r="H99" s="5" t="s">
        <v>2216</v>
      </c>
      <c r="I99" s="5">
        <v>202501521</v>
      </c>
      <c r="J99" s="5"/>
      <c r="K99" s="6">
        <v>45934</v>
      </c>
      <c r="L99" s="6">
        <v>45939</v>
      </c>
      <c r="M99" s="42" t="s">
        <v>53</v>
      </c>
      <c r="N99" s="42" t="s">
        <v>54</v>
      </c>
      <c r="O99" s="42" t="s">
        <v>41</v>
      </c>
      <c r="P99" s="30">
        <f t="shared" si="5"/>
        <v>5</v>
      </c>
      <c r="Q99" s="41">
        <v>3121.0850439882697</v>
      </c>
      <c r="R99" s="41">
        <v>4500</v>
      </c>
      <c r="S99" s="41">
        <f t="shared" si="4"/>
        <v>1378.9149560117303</v>
      </c>
    </row>
    <row r="100" spans="1:19">
      <c r="A100" s="5">
        <v>99</v>
      </c>
      <c r="B100" s="5">
        <v>2510041223</v>
      </c>
      <c r="C100" s="5" t="s">
        <v>2225</v>
      </c>
      <c r="D100" s="5" t="s">
        <v>631</v>
      </c>
      <c r="E100" s="5" t="s">
        <v>1919</v>
      </c>
      <c r="F100" s="5" t="s">
        <v>87</v>
      </c>
      <c r="G100" s="5" t="s">
        <v>52</v>
      </c>
      <c r="H100" s="5" t="s">
        <v>2216</v>
      </c>
      <c r="I100" s="5">
        <v>202501522</v>
      </c>
      <c r="J100" s="5"/>
      <c r="K100" s="6">
        <v>45934</v>
      </c>
      <c r="L100" s="6">
        <v>45939</v>
      </c>
      <c r="M100" s="42" t="s">
        <v>53</v>
      </c>
      <c r="N100" s="42" t="s">
        <v>54</v>
      </c>
      <c r="O100" s="42" t="s">
        <v>41</v>
      </c>
      <c r="P100" s="30">
        <f t="shared" si="5"/>
        <v>5</v>
      </c>
      <c r="Q100" s="41">
        <v>3121.0850439882697</v>
      </c>
      <c r="R100" s="41">
        <v>8000</v>
      </c>
      <c r="S100" s="41">
        <f t="shared" si="4"/>
        <v>4878.9149560117303</v>
      </c>
    </row>
    <row r="101" spans="1:19">
      <c r="A101" s="5">
        <v>100</v>
      </c>
      <c r="B101" s="5">
        <v>2510042645</v>
      </c>
      <c r="C101" s="5" t="s">
        <v>2226</v>
      </c>
      <c r="D101" s="5" t="s">
        <v>309</v>
      </c>
      <c r="E101" s="5" t="s">
        <v>1597</v>
      </c>
      <c r="F101" s="5" t="s">
        <v>51</v>
      </c>
      <c r="G101" s="5" t="s">
        <v>52</v>
      </c>
      <c r="H101" s="5" t="s">
        <v>2216</v>
      </c>
      <c r="I101" s="5">
        <v>202501523</v>
      </c>
      <c r="J101" s="5"/>
      <c r="K101" s="6">
        <v>45934</v>
      </c>
      <c r="L101" s="6">
        <v>45939</v>
      </c>
      <c r="M101" s="42" t="s">
        <v>53</v>
      </c>
      <c r="N101" s="42" t="s">
        <v>54</v>
      </c>
      <c r="O101" s="42" t="s">
        <v>41</v>
      </c>
      <c r="P101" s="30">
        <f t="shared" si="5"/>
        <v>5</v>
      </c>
      <c r="Q101" s="41">
        <v>3121.0850439882697</v>
      </c>
      <c r="R101" s="41">
        <v>5500</v>
      </c>
      <c r="S101" s="41">
        <f t="shared" si="4"/>
        <v>2378.9149560117303</v>
      </c>
    </row>
    <row r="102" spans="1:19">
      <c r="A102" s="5">
        <v>101</v>
      </c>
      <c r="B102" s="5">
        <v>2510050397</v>
      </c>
      <c r="C102" s="5" t="s">
        <v>2227</v>
      </c>
      <c r="D102" s="5" t="s">
        <v>405</v>
      </c>
      <c r="E102" s="5" t="s">
        <v>2208</v>
      </c>
      <c r="F102" s="5" t="s">
        <v>202</v>
      </c>
      <c r="G102" s="5" t="s">
        <v>52</v>
      </c>
      <c r="H102" s="5" t="s">
        <v>2216</v>
      </c>
      <c r="I102" s="5">
        <v>202501524</v>
      </c>
      <c r="J102" s="5"/>
      <c r="K102" s="6">
        <v>45935</v>
      </c>
      <c r="L102" s="6">
        <v>45939</v>
      </c>
      <c r="M102" s="42" t="s">
        <v>53</v>
      </c>
      <c r="N102" s="42" t="s">
        <v>54</v>
      </c>
      <c r="O102" s="42" t="s">
        <v>41</v>
      </c>
      <c r="P102" s="30">
        <f t="shared" si="5"/>
        <v>4</v>
      </c>
      <c r="Q102" s="41">
        <v>3121.0850439882697</v>
      </c>
      <c r="R102" s="41">
        <v>6450</v>
      </c>
      <c r="S102" s="41">
        <f t="shared" si="4"/>
        <v>3328.9149560117303</v>
      </c>
    </row>
    <row r="103" spans="1:19">
      <c r="A103" s="5">
        <v>102</v>
      </c>
      <c r="B103" s="5">
        <v>2510050406</v>
      </c>
      <c r="C103" s="5" t="s">
        <v>2228</v>
      </c>
      <c r="D103" s="5" t="s">
        <v>405</v>
      </c>
      <c r="E103" s="5" t="s">
        <v>2229</v>
      </c>
      <c r="F103" s="5" t="s">
        <v>202</v>
      </c>
      <c r="G103" s="5" t="s">
        <v>52</v>
      </c>
      <c r="H103" s="5" t="s">
        <v>2216</v>
      </c>
      <c r="I103" s="5">
        <v>202501525</v>
      </c>
      <c r="J103" s="5"/>
      <c r="K103" s="6">
        <v>45935</v>
      </c>
      <c r="L103" s="6">
        <v>45939</v>
      </c>
      <c r="M103" s="42" t="s">
        <v>53</v>
      </c>
      <c r="N103" s="42" t="s">
        <v>54</v>
      </c>
      <c r="O103" s="42" t="s">
        <v>41</v>
      </c>
      <c r="P103" s="30">
        <f t="shared" si="5"/>
        <v>4</v>
      </c>
      <c r="Q103" s="41">
        <v>3121.0850439882697</v>
      </c>
      <c r="R103" s="41">
        <v>6450</v>
      </c>
      <c r="S103" s="41">
        <f t="shared" si="4"/>
        <v>3328.9149560117303</v>
      </c>
    </row>
    <row r="104" spans="1:19">
      <c r="A104" s="5">
        <v>103</v>
      </c>
      <c r="B104" s="13">
        <v>2510050414</v>
      </c>
      <c r="C104" s="13" t="s">
        <v>2230</v>
      </c>
      <c r="D104" s="13" t="s">
        <v>83</v>
      </c>
      <c r="E104" s="13" t="s">
        <v>84</v>
      </c>
      <c r="F104" s="13" t="s">
        <v>62</v>
      </c>
      <c r="G104" s="13" t="s">
        <v>52</v>
      </c>
      <c r="H104" s="13" t="s">
        <v>2216</v>
      </c>
      <c r="I104" s="13">
        <v>202501526</v>
      </c>
      <c r="J104" s="13"/>
      <c r="K104" s="14">
        <v>45935</v>
      </c>
      <c r="L104" s="14">
        <v>45939</v>
      </c>
      <c r="M104" s="13" t="s">
        <v>45</v>
      </c>
      <c r="N104" s="13" t="s">
        <v>46</v>
      </c>
      <c r="O104" s="13" t="s">
        <v>1523</v>
      </c>
      <c r="P104" s="35">
        <f t="shared" si="5"/>
        <v>4</v>
      </c>
      <c r="Q104" s="15">
        <v>3121.0850439882697</v>
      </c>
      <c r="R104" s="15">
        <v>6000</v>
      </c>
      <c r="S104" s="15">
        <f t="shared" si="4"/>
        <v>2878.9149560117303</v>
      </c>
    </row>
    <row r="105" spans="1:19">
      <c r="A105" s="5">
        <v>104</v>
      </c>
      <c r="B105" s="5">
        <v>2510050425</v>
      </c>
      <c r="C105" s="5" t="s">
        <v>2231</v>
      </c>
      <c r="D105" s="5" t="s">
        <v>345</v>
      </c>
      <c r="E105" s="5" t="s">
        <v>2232</v>
      </c>
      <c r="F105" s="5" t="s">
        <v>66</v>
      </c>
      <c r="G105" s="5" t="s">
        <v>52</v>
      </c>
      <c r="H105" s="5" t="s">
        <v>2216</v>
      </c>
      <c r="I105" s="5">
        <v>202501527</v>
      </c>
      <c r="J105" s="5"/>
      <c r="K105" s="6">
        <v>45935</v>
      </c>
      <c r="L105" s="6">
        <v>45939</v>
      </c>
      <c r="M105" s="42" t="s">
        <v>53</v>
      </c>
      <c r="N105" s="42" t="s">
        <v>54</v>
      </c>
      <c r="O105" s="42" t="s">
        <v>41</v>
      </c>
      <c r="P105" s="30">
        <f t="shared" si="5"/>
        <v>4</v>
      </c>
      <c r="Q105" s="41">
        <v>3121.0850439882697</v>
      </c>
      <c r="R105" s="41">
        <v>6000</v>
      </c>
      <c r="S105" s="41">
        <f t="shared" si="4"/>
        <v>2878.9149560117303</v>
      </c>
    </row>
    <row r="106" spans="1:19">
      <c r="A106" s="5">
        <v>105</v>
      </c>
      <c r="B106" s="5">
        <v>2510050433</v>
      </c>
      <c r="C106" s="5" t="s">
        <v>2233</v>
      </c>
      <c r="D106" s="5" t="s">
        <v>581</v>
      </c>
      <c r="E106" s="5" t="s">
        <v>1269</v>
      </c>
      <c r="F106" s="5" t="s">
        <v>202</v>
      </c>
      <c r="G106" s="5" t="s">
        <v>52</v>
      </c>
      <c r="H106" s="5" t="s">
        <v>2216</v>
      </c>
      <c r="I106" s="5">
        <v>202501528</v>
      </c>
      <c r="J106" s="5"/>
      <c r="K106" s="6">
        <v>45935</v>
      </c>
      <c r="L106" s="6">
        <v>45939</v>
      </c>
      <c r="M106" s="42" t="s">
        <v>53</v>
      </c>
      <c r="N106" s="42" t="s">
        <v>54</v>
      </c>
      <c r="O106" s="42" t="s">
        <v>41</v>
      </c>
      <c r="P106" s="30">
        <f t="shared" si="5"/>
        <v>4</v>
      </c>
      <c r="Q106" s="41">
        <v>3121.0850439882697</v>
      </c>
      <c r="R106" s="41">
        <v>8000</v>
      </c>
      <c r="S106" s="41">
        <f t="shared" si="4"/>
        <v>4878.9149560117303</v>
      </c>
    </row>
    <row r="107" spans="1:19">
      <c r="A107" s="5">
        <v>106</v>
      </c>
      <c r="B107" s="5">
        <v>2510050439</v>
      </c>
      <c r="C107" s="5" t="s">
        <v>2234</v>
      </c>
      <c r="D107" s="5" t="s">
        <v>64</v>
      </c>
      <c r="E107" s="5" t="s">
        <v>1498</v>
      </c>
      <c r="F107" s="5" t="s">
        <v>66</v>
      </c>
      <c r="G107" s="5" t="s">
        <v>52</v>
      </c>
      <c r="H107" s="5" t="s">
        <v>2216</v>
      </c>
      <c r="I107" s="5">
        <v>202501529</v>
      </c>
      <c r="J107" s="5"/>
      <c r="K107" s="6">
        <v>45935</v>
      </c>
      <c r="L107" s="6">
        <v>45939</v>
      </c>
      <c r="M107" s="42" t="s">
        <v>53</v>
      </c>
      <c r="N107" s="42" t="s">
        <v>54</v>
      </c>
      <c r="O107" s="42" t="s">
        <v>41</v>
      </c>
      <c r="P107" s="30">
        <f t="shared" si="5"/>
        <v>4</v>
      </c>
      <c r="Q107" s="41">
        <v>3121.0850439882697</v>
      </c>
      <c r="R107" s="41">
        <v>5500</v>
      </c>
      <c r="S107" s="41">
        <f t="shared" si="4"/>
        <v>2378.9149560117303</v>
      </c>
    </row>
    <row r="108" spans="1:19">
      <c r="A108" s="5">
        <v>107</v>
      </c>
      <c r="B108" s="5">
        <v>2510050442</v>
      </c>
      <c r="C108" s="5" t="s">
        <v>2235</v>
      </c>
      <c r="D108" s="5" t="s">
        <v>64</v>
      </c>
      <c r="E108" s="5" t="s">
        <v>1498</v>
      </c>
      <c r="F108" s="5" t="s">
        <v>66</v>
      </c>
      <c r="G108" s="5" t="s">
        <v>52</v>
      </c>
      <c r="H108" s="5" t="s">
        <v>2216</v>
      </c>
      <c r="I108" s="5">
        <v>202501530</v>
      </c>
      <c r="J108" s="5"/>
      <c r="K108" s="6">
        <v>45935</v>
      </c>
      <c r="L108" s="6">
        <v>45939</v>
      </c>
      <c r="M108" s="42" t="s">
        <v>53</v>
      </c>
      <c r="N108" s="42" t="s">
        <v>54</v>
      </c>
      <c r="O108" s="42" t="s">
        <v>41</v>
      </c>
      <c r="P108" s="30">
        <f t="shared" si="5"/>
        <v>4</v>
      </c>
      <c r="Q108" s="41">
        <v>3121.0850439882697</v>
      </c>
      <c r="R108" s="41">
        <v>5500</v>
      </c>
      <c r="S108" s="41">
        <f t="shared" si="4"/>
        <v>2378.9149560117303</v>
      </c>
    </row>
    <row r="109" spans="1:19">
      <c r="A109" s="5">
        <v>108</v>
      </c>
      <c r="B109" s="5">
        <v>2510050005</v>
      </c>
      <c r="C109" s="5" t="s">
        <v>2236</v>
      </c>
      <c r="D109" s="5" t="s">
        <v>40</v>
      </c>
      <c r="E109" s="5" t="s">
        <v>41</v>
      </c>
      <c r="F109" s="5" t="s">
        <v>42</v>
      </c>
      <c r="G109" s="5" t="s">
        <v>43</v>
      </c>
      <c r="H109" s="5" t="s">
        <v>2216</v>
      </c>
      <c r="I109" s="5">
        <v>202501531</v>
      </c>
      <c r="J109" s="5"/>
      <c r="K109" s="6">
        <v>45935</v>
      </c>
      <c r="L109" s="6">
        <v>45939</v>
      </c>
      <c r="M109" s="42" t="s">
        <v>53</v>
      </c>
      <c r="N109" s="42" t="s">
        <v>54</v>
      </c>
      <c r="O109" s="42" t="s">
        <v>41</v>
      </c>
      <c r="P109" s="30">
        <f t="shared" si="5"/>
        <v>4</v>
      </c>
      <c r="Q109" s="41">
        <v>3121.0850439882697</v>
      </c>
      <c r="R109" s="41">
        <v>14500</v>
      </c>
      <c r="S109" s="41">
        <f t="shared" si="4"/>
        <v>11378.914956011729</v>
      </c>
    </row>
    <row r="110" spans="1:19">
      <c r="A110" s="5">
        <v>109</v>
      </c>
      <c r="B110" s="5">
        <v>2510051251</v>
      </c>
      <c r="C110" s="5" t="s">
        <v>2237</v>
      </c>
      <c r="D110" s="5" t="s">
        <v>405</v>
      </c>
      <c r="E110" s="5" t="s">
        <v>2238</v>
      </c>
      <c r="F110" s="5" t="s">
        <v>202</v>
      </c>
      <c r="G110" s="5" t="s">
        <v>52</v>
      </c>
      <c r="H110" s="5" t="s">
        <v>2216</v>
      </c>
      <c r="I110" s="5">
        <v>202501532</v>
      </c>
      <c r="J110" s="5"/>
      <c r="K110" s="6">
        <v>45935</v>
      </c>
      <c r="L110" s="6">
        <v>45939</v>
      </c>
      <c r="M110" s="42" t="s">
        <v>53</v>
      </c>
      <c r="N110" s="42" t="s">
        <v>54</v>
      </c>
      <c r="O110" s="42" t="s">
        <v>41</v>
      </c>
      <c r="P110" s="30">
        <f t="shared" si="5"/>
        <v>4</v>
      </c>
      <c r="Q110" s="41">
        <v>3121.0850439882697</v>
      </c>
      <c r="R110" s="41">
        <v>6450</v>
      </c>
      <c r="S110" s="41">
        <f t="shared" si="4"/>
        <v>3328.9149560117303</v>
      </c>
    </row>
    <row r="111" spans="1:19">
      <c r="A111" s="5">
        <v>110</v>
      </c>
      <c r="B111" s="5">
        <v>2510051252</v>
      </c>
      <c r="C111" s="5" t="s">
        <v>2239</v>
      </c>
      <c r="D111" s="5" t="s">
        <v>405</v>
      </c>
      <c r="E111" s="5" t="s">
        <v>459</v>
      </c>
      <c r="F111" s="5" t="s">
        <v>202</v>
      </c>
      <c r="G111" s="5" t="s">
        <v>52</v>
      </c>
      <c r="H111" s="5" t="s">
        <v>2216</v>
      </c>
      <c r="I111" s="5">
        <v>202501533</v>
      </c>
      <c r="J111" s="5"/>
      <c r="K111" s="6">
        <v>45935</v>
      </c>
      <c r="L111" s="6">
        <v>45939</v>
      </c>
      <c r="M111" s="42" t="s">
        <v>53</v>
      </c>
      <c r="N111" s="42" t="s">
        <v>54</v>
      </c>
      <c r="O111" s="42" t="s">
        <v>41</v>
      </c>
      <c r="P111" s="30">
        <f t="shared" si="5"/>
        <v>4</v>
      </c>
      <c r="Q111" s="41">
        <v>3121.0850439882697</v>
      </c>
      <c r="R111" s="41">
        <v>6450</v>
      </c>
      <c r="S111" s="41">
        <f t="shared" si="4"/>
        <v>3328.9149560117303</v>
      </c>
    </row>
    <row r="112" spans="1:19">
      <c r="A112" s="5">
        <v>111</v>
      </c>
      <c r="B112" s="5">
        <v>2510051255</v>
      </c>
      <c r="C112" s="5" t="s">
        <v>2240</v>
      </c>
      <c r="D112" s="5" t="s">
        <v>309</v>
      </c>
      <c r="E112" s="5" t="s">
        <v>1597</v>
      </c>
      <c r="F112" s="5" t="s">
        <v>51</v>
      </c>
      <c r="G112" s="5" t="s">
        <v>52</v>
      </c>
      <c r="H112" s="5" t="s">
        <v>2216</v>
      </c>
      <c r="I112" s="5">
        <v>202501534</v>
      </c>
      <c r="J112" s="5"/>
      <c r="K112" s="6">
        <v>45935</v>
      </c>
      <c r="L112" s="6">
        <v>45939</v>
      </c>
      <c r="M112" s="42" t="s">
        <v>53</v>
      </c>
      <c r="N112" s="42" t="s">
        <v>54</v>
      </c>
      <c r="O112" s="42" t="s">
        <v>41</v>
      </c>
      <c r="P112" s="30">
        <f t="shared" si="5"/>
        <v>4</v>
      </c>
      <c r="Q112" s="41">
        <v>3121.0850439882697</v>
      </c>
      <c r="R112" s="41">
        <v>5500</v>
      </c>
      <c r="S112" s="41">
        <f t="shared" si="4"/>
        <v>2378.9149560117303</v>
      </c>
    </row>
    <row r="113" spans="1:19">
      <c r="A113" s="5">
        <v>112</v>
      </c>
      <c r="B113" s="5">
        <v>2510051259</v>
      </c>
      <c r="C113" s="5" t="s">
        <v>2241</v>
      </c>
      <c r="D113" s="5" t="s">
        <v>218</v>
      </c>
      <c r="E113" s="5" t="s">
        <v>219</v>
      </c>
      <c r="F113" s="5" t="s">
        <v>51</v>
      </c>
      <c r="G113" s="5" t="s">
        <v>52</v>
      </c>
      <c r="H113" s="5" t="s">
        <v>2216</v>
      </c>
      <c r="I113" s="5">
        <v>202501535</v>
      </c>
      <c r="J113" s="5"/>
      <c r="K113" s="6">
        <v>45935</v>
      </c>
      <c r="L113" s="6">
        <v>45939</v>
      </c>
      <c r="M113" s="42" t="s">
        <v>53</v>
      </c>
      <c r="N113" s="42" t="s">
        <v>54</v>
      </c>
      <c r="O113" s="42" t="s">
        <v>41</v>
      </c>
      <c r="P113" s="30">
        <f t="shared" si="5"/>
        <v>4</v>
      </c>
      <c r="Q113" s="41">
        <v>3121.0850439882697</v>
      </c>
      <c r="R113" s="41">
        <v>5500</v>
      </c>
      <c r="S113" s="41">
        <f t="shared" si="4"/>
        <v>2378.9149560117303</v>
      </c>
    </row>
    <row r="114" spans="1:19">
      <c r="A114" s="5">
        <v>113</v>
      </c>
      <c r="B114" s="5">
        <v>2510050584</v>
      </c>
      <c r="C114" s="5" t="s">
        <v>2242</v>
      </c>
      <c r="D114" s="5" t="s">
        <v>2243</v>
      </c>
      <c r="E114" s="5" t="s">
        <v>41</v>
      </c>
      <c r="F114" s="5" t="s">
        <v>58</v>
      </c>
      <c r="G114" s="5" t="s">
        <v>52</v>
      </c>
      <c r="H114" s="5" t="s">
        <v>2216</v>
      </c>
      <c r="I114" s="5">
        <v>202501536</v>
      </c>
      <c r="J114" s="5"/>
      <c r="K114" s="6">
        <v>45935</v>
      </c>
      <c r="L114" s="6">
        <v>45939</v>
      </c>
      <c r="M114" s="42" t="s">
        <v>53</v>
      </c>
      <c r="N114" s="42" t="s">
        <v>54</v>
      </c>
      <c r="O114" s="42" t="s">
        <v>41</v>
      </c>
      <c r="P114" s="30">
        <f t="shared" si="5"/>
        <v>4</v>
      </c>
      <c r="Q114" s="41">
        <v>3121.0850439882697</v>
      </c>
      <c r="R114" s="41">
        <v>7000</v>
      </c>
      <c r="S114" s="41">
        <f t="shared" si="4"/>
        <v>3878.9149560117303</v>
      </c>
    </row>
    <row r="115" spans="1:19">
      <c r="A115" s="5">
        <v>114</v>
      </c>
      <c r="B115" s="5">
        <v>2510051263</v>
      </c>
      <c r="C115" s="5" t="s">
        <v>2244</v>
      </c>
      <c r="D115" s="5" t="s">
        <v>745</v>
      </c>
      <c r="E115" s="5" t="s">
        <v>2245</v>
      </c>
      <c r="F115" s="5" t="s">
        <v>202</v>
      </c>
      <c r="G115" s="5" t="s">
        <v>75</v>
      </c>
      <c r="H115" s="5" t="s">
        <v>2216</v>
      </c>
      <c r="I115" s="5">
        <v>202501537</v>
      </c>
      <c r="J115" s="5"/>
      <c r="K115" s="6">
        <v>45935</v>
      </c>
      <c r="L115" s="6">
        <v>45939</v>
      </c>
      <c r="M115" s="42" t="s">
        <v>53</v>
      </c>
      <c r="N115" s="42" t="s">
        <v>54</v>
      </c>
      <c r="O115" s="42" t="s">
        <v>41</v>
      </c>
      <c r="P115" s="30">
        <f t="shared" si="5"/>
        <v>4</v>
      </c>
      <c r="Q115" s="41">
        <v>3121.0850439882697</v>
      </c>
      <c r="R115" s="41">
        <v>4900</v>
      </c>
      <c r="S115" s="41">
        <f t="shared" si="4"/>
        <v>1778.9149560117303</v>
      </c>
    </row>
    <row r="116" spans="1:19">
      <c r="A116" s="5">
        <v>115</v>
      </c>
      <c r="B116" s="5">
        <v>2510051265</v>
      </c>
      <c r="C116" s="5" t="s">
        <v>2246</v>
      </c>
      <c r="D116" s="5" t="s">
        <v>86</v>
      </c>
      <c r="E116" s="5" t="s">
        <v>699</v>
      </c>
      <c r="F116" s="5" t="s">
        <v>87</v>
      </c>
      <c r="G116" s="5" t="s">
        <v>75</v>
      </c>
      <c r="H116" s="5" t="s">
        <v>2216</v>
      </c>
      <c r="I116" s="5">
        <v>202501538</v>
      </c>
      <c r="J116" s="5"/>
      <c r="K116" s="6">
        <v>45935</v>
      </c>
      <c r="L116" s="6">
        <v>45939</v>
      </c>
      <c r="M116" s="42" t="s">
        <v>53</v>
      </c>
      <c r="N116" s="42" t="s">
        <v>54</v>
      </c>
      <c r="O116" s="42" t="s">
        <v>41</v>
      </c>
      <c r="P116" s="30">
        <f t="shared" si="5"/>
        <v>4</v>
      </c>
      <c r="Q116" s="41">
        <v>3121.0850439882697</v>
      </c>
      <c r="R116" s="41">
        <v>4500</v>
      </c>
      <c r="S116" s="41">
        <f t="shared" si="4"/>
        <v>1378.9149560117303</v>
      </c>
    </row>
    <row r="117" spans="1:19">
      <c r="A117" s="5">
        <v>116</v>
      </c>
      <c r="B117" s="5">
        <v>2510051268</v>
      </c>
      <c r="C117" s="5" t="s">
        <v>2247</v>
      </c>
      <c r="D117" s="5" t="s">
        <v>2248</v>
      </c>
      <c r="E117" s="5" t="s">
        <v>2249</v>
      </c>
      <c r="F117" s="5" t="s">
        <v>362</v>
      </c>
      <c r="G117" s="5" t="s">
        <v>52</v>
      </c>
      <c r="H117" s="5" t="s">
        <v>2216</v>
      </c>
      <c r="I117" s="5">
        <v>202501539</v>
      </c>
      <c r="J117" s="5"/>
      <c r="K117" s="6">
        <v>45935</v>
      </c>
      <c r="L117" s="6">
        <v>45939</v>
      </c>
      <c r="M117" s="42" t="s">
        <v>53</v>
      </c>
      <c r="N117" s="42" t="s">
        <v>54</v>
      </c>
      <c r="O117" s="42" t="s">
        <v>41</v>
      </c>
      <c r="P117" s="30">
        <f t="shared" si="5"/>
        <v>4</v>
      </c>
      <c r="Q117" s="41">
        <v>3121.0850439882697</v>
      </c>
      <c r="R117" s="41">
        <v>5500</v>
      </c>
      <c r="S117" s="41">
        <f t="shared" si="4"/>
        <v>2378.9149560117303</v>
      </c>
    </row>
    <row r="118" spans="1:19">
      <c r="A118" s="5">
        <v>117</v>
      </c>
      <c r="B118" s="5">
        <v>2510062027</v>
      </c>
      <c r="C118" s="5" t="s">
        <v>2250</v>
      </c>
      <c r="D118" s="5" t="s">
        <v>1173</v>
      </c>
      <c r="E118" s="5" t="s">
        <v>2251</v>
      </c>
      <c r="F118" s="5" t="s">
        <v>58</v>
      </c>
      <c r="G118" s="5" t="s">
        <v>75</v>
      </c>
      <c r="H118" s="5" t="s">
        <v>2216</v>
      </c>
      <c r="I118" s="5">
        <v>202501540</v>
      </c>
      <c r="J118" s="5"/>
      <c r="K118" s="6">
        <v>45936</v>
      </c>
      <c r="L118" s="6">
        <v>45939</v>
      </c>
      <c r="M118" s="42" t="s">
        <v>53</v>
      </c>
      <c r="N118" s="42" t="s">
        <v>54</v>
      </c>
      <c r="O118" s="42" t="s">
        <v>41</v>
      </c>
      <c r="P118" s="30">
        <f t="shared" si="5"/>
        <v>3</v>
      </c>
      <c r="Q118" s="41">
        <v>3121.0850439882697</v>
      </c>
      <c r="R118" s="41">
        <v>4900</v>
      </c>
      <c r="S118" s="41">
        <f t="shared" si="4"/>
        <v>1778.9149560117303</v>
      </c>
    </row>
    <row r="119" spans="1:19">
      <c r="A119" s="5">
        <v>118</v>
      </c>
      <c r="B119" s="5">
        <v>2510062054</v>
      </c>
      <c r="C119" s="5" t="s">
        <v>2252</v>
      </c>
      <c r="D119" s="5" t="s">
        <v>528</v>
      </c>
      <c r="E119" s="5" t="s">
        <v>2253</v>
      </c>
      <c r="F119" s="5" t="s">
        <v>202</v>
      </c>
      <c r="G119" s="5" t="s">
        <v>52</v>
      </c>
      <c r="H119" s="5" t="s">
        <v>2216</v>
      </c>
      <c r="I119" s="5">
        <v>202501541</v>
      </c>
      <c r="J119" s="5"/>
      <c r="K119" s="6">
        <v>45936</v>
      </c>
      <c r="L119" s="6">
        <v>45939</v>
      </c>
      <c r="M119" s="42" t="s">
        <v>53</v>
      </c>
      <c r="N119" s="42" t="s">
        <v>54</v>
      </c>
      <c r="O119" s="42" t="s">
        <v>41</v>
      </c>
      <c r="P119" s="30">
        <f t="shared" si="5"/>
        <v>3</v>
      </c>
      <c r="Q119" s="41">
        <v>3121.0850439882697</v>
      </c>
      <c r="R119" s="41">
        <v>7500</v>
      </c>
      <c r="S119" s="41">
        <f t="shared" si="4"/>
        <v>4378.9149560117303</v>
      </c>
    </row>
    <row r="120" spans="1:19">
      <c r="A120" s="5">
        <v>119</v>
      </c>
      <c r="B120" s="13">
        <v>2510062079</v>
      </c>
      <c r="C120" s="13" t="s">
        <v>2254</v>
      </c>
      <c r="D120" s="13" t="s">
        <v>77</v>
      </c>
      <c r="E120" s="13" t="s">
        <v>1874</v>
      </c>
      <c r="F120" s="13" t="s">
        <v>79</v>
      </c>
      <c r="G120" s="13" t="s">
        <v>75</v>
      </c>
      <c r="H120" s="13" t="s">
        <v>2216</v>
      </c>
      <c r="I120" s="13">
        <v>202501542</v>
      </c>
      <c r="J120" s="13"/>
      <c r="K120" s="14">
        <v>45936</v>
      </c>
      <c r="L120" s="14">
        <v>45939</v>
      </c>
      <c r="M120" s="118" t="s">
        <v>45</v>
      </c>
      <c r="N120" s="118" t="s">
        <v>46</v>
      </c>
      <c r="O120" s="118" t="s">
        <v>1523</v>
      </c>
      <c r="P120" s="35">
        <f t="shared" si="5"/>
        <v>3</v>
      </c>
      <c r="Q120" s="15">
        <v>3121.0850439882697</v>
      </c>
      <c r="R120" s="15">
        <v>4500</v>
      </c>
      <c r="S120" s="15">
        <f t="shared" si="4"/>
        <v>1378.9149560117303</v>
      </c>
    </row>
    <row r="121" spans="1:19">
      <c r="A121" s="5">
        <v>120</v>
      </c>
      <c r="B121" s="5">
        <v>2510062092</v>
      </c>
      <c r="C121" s="5" t="s">
        <v>2255</v>
      </c>
      <c r="D121" s="5" t="s">
        <v>77</v>
      </c>
      <c r="E121" s="5" t="s">
        <v>1874</v>
      </c>
      <c r="F121" s="5" t="s">
        <v>79</v>
      </c>
      <c r="G121" s="5" t="s">
        <v>75</v>
      </c>
      <c r="H121" s="5" t="s">
        <v>2216</v>
      </c>
      <c r="I121" s="5">
        <v>202501543</v>
      </c>
      <c r="J121" s="5"/>
      <c r="K121" s="6">
        <v>45936</v>
      </c>
      <c r="L121" s="6">
        <v>45939</v>
      </c>
      <c r="M121" s="42" t="s">
        <v>53</v>
      </c>
      <c r="N121" s="42" t="s">
        <v>54</v>
      </c>
      <c r="O121" s="42" t="s">
        <v>41</v>
      </c>
      <c r="P121" s="30">
        <f t="shared" si="5"/>
        <v>3</v>
      </c>
      <c r="Q121" s="41">
        <v>3121.0850439882697</v>
      </c>
      <c r="R121" s="41">
        <v>4500</v>
      </c>
      <c r="S121" s="41">
        <f t="shared" si="4"/>
        <v>1378.9149560117303</v>
      </c>
    </row>
    <row r="122" spans="1:19">
      <c r="A122" s="5">
        <v>121</v>
      </c>
      <c r="B122" s="5" t="s">
        <v>1239</v>
      </c>
      <c r="C122" s="5"/>
      <c r="D122" s="5"/>
      <c r="E122" s="5"/>
      <c r="F122" s="5"/>
      <c r="G122" s="5" t="s">
        <v>52</v>
      </c>
      <c r="H122" s="5"/>
      <c r="I122" s="5"/>
      <c r="J122" s="5"/>
      <c r="K122" s="5"/>
      <c r="L122" s="5"/>
      <c r="M122" s="5"/>
      <c r="N122" s="5"/>
      <c r="O122" s="5"/>
      <c r="P122" s="5"/>
      <c r="Q122" s="41">
        <v>3121.0850439882697</v>
      </c>
      <c r="R122" s="41">
        <v>0</v>
      </c>
      <c r="S122" s="41">
        <f t="shared" si="4"/>
        <v>-3121.0850439882697</v>
      </c>
    </row>
    <row r="123" spans="1:19">
      <c r="A123" s="5">
        <v>122</v>
      </c>
      <c r="B123" s="5" t="s">
        <v>1240</v>
      </c>
      <c r="C123" s="5"/>
      <c r="D123" s="5"/>
      <c r="E123" s="5"/>
      <c r="F123" s="5"/>
      <c r="G123" s="5" t="s">
        <v>52</v>
      </c>
      <c r="H123" s="5"/>
      <c r="I123" s="5"/>
      <c r="J123" s="5"/>
      <c r="K123" s="5"/>
      <c r="L123" s="5"/>
      <c r="M123" s="5"/>
      <c r="N123" s="5"/>
      <c r="O123" s="5"/>
      <c r="P123" s="5"/>
      <c r="Q123" s="41">
        <v>3121.0850439882697</v>
      </c>
      <c r="R123" s="41">
        <v>0</v>
      </c>
      <c r="S123" s="41">
        <f t="shared" si="4"/>
        <v>-3121.0850439882697</v>
      </c>
    </row>
    <row r="124" spans="1:19">
      <c r="A124" s="5">
        <v>123</v>
      </c>
      <c r="B124" s="26">
        <v>2510023357</v>
      </c>
      <c r="C124" s="26" t="s">
        <v>2189</v>
      </c>
      <c r="D124" s="26" t="s">
        <v>405</v>
      </c>
      <c r="E124" s="26" t="s">
        <v>1276</v>
      </c>
      <c r="F124" s="26" t="s">
        <v>202</v>
      </c>
      <c r="G124" s="26" t="s">
        <v>52</v>
      </c>
      <c r="H124" s="26" t="s">
        <v>2256</v>
      </c>
      <c r="I124" s="26" t="s">
        <v>2257</v>
      </c>
      <c r="J124" s="26"/>
      <c r="K124" s="27">
        <v>45936</v>
      </c>
      <c r="L124" s="27">
        <v>45941</v>
      </c>
      <c r="M124" s="122" t="s">
        <v>45</v>
      </c>
      <c r="N124" s="122" t="s">
        <v>163</v>
      </c>
      <c r="O124" s="122" t="s">
        <v>1603</v>
      </c>
      <c r="P124" s="33">
        <f t="shared" ref="P124:P152" si="6">L124-K124</f>
        <v>5</v>
      </c>
      <c r="Q124" s="28">
        <v>3121.0850439882697</v>
      </c>
      <c r="R124" s="28">
        <v>0</v>
      </c>
      <c r="S124" s="28">
        <f t="shared" si="4"/>
        <v>-3121.0850439882697</v>
      </c>
    </row>
    <row r="125" spans="1:19">
      <c r="A125" s="5">
        <v>124</v>
      </c>
      <c r="B125" s="5">
        <v>2510062069</v>
      </c>
      <c r="C125" s="5" t="s">
        <v>2258</v>
      </c>
      <c r="D125" s="5" t="s">
        <v>437</v>
      </c>
      <c r="E125" s="5" t="s">
        <v>1445</v>
      </c>
      <c r="F125" s="5" t="s">
        <v>71</v>
      </c>
      <c r="G125" s="5" t="s">
        <v>43</v>
      </c>
      <c r="H125" s="5" t="s">
        <v>2256</v>
      </c>
      <c r="I125" s="5">
        <v>202501544</v>
      </c>
      <c r="J125" s="5"/>
      <c r="K125" s="6">
        <v>45936</v>
      </c>
      <c r="L125" s="6">
        <v>45941</v>
      </c>
      <c r="M125" s="42" t="s">
        <v>53</v>
      </c>
      <c r="N125" s="42" t="s">
        <v>54</v>
      </c>
      <c r="O125" s="42" t="s">
        <v>41</v>
      </c>
      <c r="P125" s="30">
        <f t="shared" si="6"/>
        <v>5</v>
      </c>
      <c r="Q125" s="41">
        <v>3121.0850439882697</v>
      </c>
      <c r="R125" s="41">
        <v>13500</v>
      </c>
      <c r="S125" s="41">
        <f t="shared" si="4"/>
        <v>10378.914956011729</v>
      </c>
    </row>
    <row r="126" spans="1:19">
      <c r="A126" s="5">
        <v>125</v>
      </c>
      <c r="B126" s="5">
        <v>2510062101</v>
      </c>
      <c r="C126" s="5" t="s">
        <v>2259</v>
      </c>
      <c r="D126" s="5" t="s">
        <v>775</v>
      </c>
      <c r="E126" s="5" t="s">
        <v>1451</v>
      </c>
      <c r="F126" s="5" t="s">
        <v>202</v>
      </c>
      <c r="G126" s="5" t="s">
        <v>52</v>
      </c>
      <c r="H126" s="5" t="s">
        <v>2256</v>
      </c>
      <c r="I126" s="5">
        <v>202501545</v>
      </c>
      <c r="J126" s="5"/>
      <c r="K126" s="6">
        <v>45936</v>
      </c>
      <c r="L126" s="6">
        <v>45941</v>
      </c>
      <c r="M126" s="42" t="s">
        <v>53</v>
      </c>
      <c r="N126" s="42" t="s">
        <v>54</v>
      </c>
      <c r="O126" s="42" t="s">
        <v>41</v>
      </c>
      <c r="P126" s="30">
        <f t="shared" si="6"/>
        <v>5</v>
      </c>
      <c r="Q126" s="41">
        <v>3121.0850439882697</v>
      </c>
      <c r="R126" s="41">
        <v>8500</v>
      </c>
      <c r="S126" s="41">
        <f t="shared" si="4"/>
        <v>5378.9149560117303</v>
      </c>
    </row>
    <row r="127" spans="1:19">
      <c r="A127" s="5">
        <v>126</v>
      </c>
      <c r="B127" s="5">
        <v>2510073003</v>
      </c>
      <c r="C127" s="5" t="s">
        <v>2260</v>
      </c>
      <c r="D127" s="5" t="s">
        <v>564</v>
      </c>
      <c r="E127" s="5" t="s">
        <v>2261</v>
      </c>
      <c r="F127" s="5" t="s">
        <v>71</v>
      </c>
      <c r="G127" s="5" t="s">
        <v>75</v>
      </c>
      <c r="H127" s="5" t="s">
        <v>2256</v>
      </c>
      <c r="I127" s="5">
        <v>202501546</v>
      </c>
      <c r="J127" s="5"/>
      <c r="K127" s="6">
        <v>45937</v>
      </c>
      <c r="L127" s="6">
        <v>45941</v>
      </c>
      <c r="M127" s="42" t="s">
        <v>53</v>
      </c>
      <c r="N127" s="42" t="s">
        <v>54</v>
      </c>
      <c r="O127" s="42" t="s">
        <v>41</v>
      </c>
      <c r="P127" s="30">
        <f t="shared" si="6"/>
        <v>4</v>
      </c>
      <c r="Q127" s="41">
        <v>3121.0850439882697</v>
      </c>
      <c r="R127" s="41">
        <v>6500</v>
      </c>
      <c r="S127" s="41">
        <f t="shared" si="4"/>
        <v>3378.9149560117303</v>
      </c>
    </row>
    <row r="128" spans="1:19">
      <c r="A128" s="5">
        <v>127</v>
      </c>
      <c r="B128" s="5">
        <v>2510062109</v>
      </c>
      <c r="C128" s="5" t="s">
        <v>2262</v>
      </c>
      <c r="D128" s="5" t="s">
        <v>631</v>
      </c>
      <c r="E128" s="5" t="s">
        <v>2263</v>
      </c>
      <c r="F128" s="5" t="s">
        <v>87</v>
      </c>
      <c r="G128" s="5" t="s">
        <v>52</v>
      </c>
      <c r="H128" s="5" t="s">
        <v>2256</v>
      </c>
      <c r="I128" s="5">
        <v>202501547</v>
      </c>
      <c r="J128" s="5"/>
      <c r="K128" s="6">
        <v>45936</v>
      </c>
      <c r="L128" s="6">
        <v>45941</v>
      </c>
      <c r="M128" s="42" t="s">
        <v>53</v>
      </c>
      <c r="N128" s="42" t="s">
        <v>54</v>
      </c>
      <c r="O128" s="42" t="s">
        <v>41</v>
      </c>
      <c r="P128" s="30">
        <f t="shared" si="6"/>
        <v>5</v>
      </c>
      <c r="Q128" s="41">
        <v>3121.0850439882697</v>
      </c>
      <c r="R128" s="41">
        <v>8000</v>
      </c>
      <c r="S128" s="41">
        <f t="shared" si="4"/>
        <v>4878.9149560117303</v>
      </c>
    </row>
    <row r="129" spans="1:19">
      <c r="A129" s="5">
        <v>128</v>
      </c>
      <c r="B129" s="5">
        <v>2510062119</v>
      </c>
      <c r="C129" s="5" t="s">
        <v>2264</v>
      </c>
      <c r="D129" s="5" t="s">
        <v>564</v>
      </c>
      <c r="E129" s="5" t="s">
        <v>1485</v>
      </c>
      <c r="F129" s="5" t="s">
        <v>71</v>
      </c>
      <c r="G129" s="5" t="s">
        <v>43</v>
      </c>
      <c r="H129" s="5" t="s">
        <v>2256</v>
      </c>
      <c r="I129" s="5">
        <v>202501548</v>
      </c>
      <c r="J129" s="5"/>
      <c r="K129" s="6">
        <v>45936</v>
      </c>
      <c r="L129" s="6">
        <v>45941</v>
      </c>
      <c r="M129" s="42" t="s">
        <v>53</v>
      </c>
      <c r="N129" s="42" t="s">
        <v>54</v>
      </c>
      <c r="O129" s="42" t="s">
        <v>41</v>
      </c>
      <c r="P129" s="30">
        <f t="shared" si="6"/>
        <v>5</v>
      </c>
      <c r="Q129" s="41">
        <v>3121.0850439882697</v>
      </c>
      <c r="R129" s="41">
        <v>13500</v>
      </c>
      <c r="S129" s="41">
        <f t="shared" si="4"/>
        <v>10378.914956011729</v>
      </c>
    </row>
    <row r="130" spans="1:19">
      <c r="A130" s="5">
        <v>129</v>
      </c>
      <c r="B130" s="5">
        <v>2510073004</v>
      </c>
      <c r="C130" s="5" t="s">
        <v>2265</v>
      </c>
      <c r="D130" s="5" t="s">
        <v>1514</v>
      </c>
      <c r="E130" s="5" t="s">
        <v>2266</v>
      </c>
      <c r="F130" s="5" t="s">
        <v>71</v>
      </c>
      <c r="G130" s="5" t="s">
        <v>52</v>
      </c>
      <c r="H130" s="5" t="s">
        <v>2256</v>
      </c>
      <c r="I130" s="5">
        <v>202501549</v>
      </c>
      <c r="J130" s="5"/>
      <c r="K130" s="6">
        <v>45937</v>
      </c>
      <c r="L130" s="6">
        <v>45941</v>
      </c>
      <c r="M130" s="42" t="s">
        <v>53</v>
      </c>
      <c r="N130" s="42" t="s">
        <v>54</v>
      </c>
      <c r="O130" s="42" t="s">
        <v>41</v>
      </c>
      <c r="P130" s="30">
        <f t="shared" si="6"/>
        <v>4</v>
      </c>
      <c r="Q130" s="41">
        <v>3121.0850439882697</v>
      </c>
      <c r="R130" s="41">
        <v>8500</v>
      </c>
      <c r="S130" s="41">
        <f t="shared" ref="S130:S193" si="7">R130-Q130</f>
        <v>5378.9149560117303</v>
      </c>
    </row>
    <row r="131" spans="1:19">
      <c r="A131" s="5">
        <v>130</v>
      </c>
      <c r="B131" s="5">
        <v>2510073007</v>
      </c>
      <c r="C131" s="5" t="s">
        <v>2267</v>
      </c>
      <c r="D131" s="5" t="s">
        <v>745</v>
      </c>
      <c r="E131" s="5" t="s">
        <v>2268</v>
      </c>
      <c r="F131" s="5" t="s">
        <v>202</v>
      </c>
      <c r="G131" s="5" t="s">
        <v>52</v>
      </c>
      <c r="H131" s="5" t="s">
        <v>2256</v>
      </c>
      <c r="I131" s="5">
        <v>202501550</v>
      </c>
      <c r="J131" s="5"/>
      <c r="K131" s="6">
        <v>45937</v>
      </c>
      <c r="L131" s="6">
        <v>45941</v>
      </c>
      <c r="M131" s="42" t="s">
        <v>53</v>
      </c>
      <c r="N131" s="42" t="s">
        <v>54</v>
      </c>
      <c r="O131" s="42" t="s">
        <v>41</v>
      </c>
      <c r="P131" s="30">
        <f t="shared" si="6"/>
        <v>4</v>
      </c>
      <c r="Q131" s="41">
        <v>3121.0850439882697</v>
      </c>
      <c r="R131" s="41">
        <v>8000</v>
      </c>
      <c r="S131" s="41">
        <f t="shared" si="7"/>
        <v>4878.9149560117303</v>
      </c>
    </row>
    <row r="132" spans="1:19">
      <c r="A132" s="5">
        <v>131</v>
      </c>
      <c r="B132" s="13">
        <v>2510073009</v>
      </c>
      <c r="C132" s="13" t="s">
        <v>2269</v>
      </c>
      <c r="D132" s="13" t="s">
        <v>733</v>
      </c>
      <c r="E132" s="13" t="s">
        <v>2270</v>
      </c>
      <c r="F132" s="13" t="s">
        <v>51</v>
      </c>
      <c r="G132" s="13" t="s">
        <v>75</v>
      </c>
      <c r="H132" s="13" t="s">
        <v>2256</v>
      </c>
      <c r="I132" s="13">
        <v>202501551</v>
      </c>
      <c r="J132" s="13"/>
      <c r="K132" s="14">
        <v>45937</v>
      </c>
      <c r="L132" s="14">
        <v>45941</v>
      </c>
      <c r="M132" s="118" t="s">
        <v>45</v>
      </c>
      <c r="N132" s="118" t="s">
        <v>46</v>
      </c>
      <c r="O132" s="118" t="s">
        <v>1603</v>
      </c>
      <c r="P132" s="35">
        <f t="shared" si="6"/>
        <v>4</v>
      </c>
      <c r="Q132" s="15">
        <v>3121.0850439882697</v>
      </c>
      <c r="R132" s="15">
        <v>4500</v>
      </c>
      <c r="S132" s="15">
        <f t="shared" si="7"/>
        <v>1378.9149560117303</v>
      </c>
    </row>
    <row r="133" spans="1:19">
      <c r="A133" s="5">
        <v>132</v>
      </c>
      <c r="B133" s="5">
        <v>2510073010</v>
      </c>
      <c r="C133" s="5" t="s">
        <v>2271</v>
      </c>
      <c r="D133" s="5" t="s">
        <v>550</v>
      </c>
      <c r="E133" s="5" t="s">
        <v>2156</v>
      </c>
      <c r="F133" s="5" t="s">
        <v>51</v>
      </c>
      <c r="G133" s="5" t="s">
        <v>52</v>
      </c>
      <c r="H133" s="5" t="s">
        <v>2256</v>
      </c>
      <c r="I133" s="5">
        <v>202501552</v>
      </c>
      <c r="J133" s="5"/>
      <c r="K133" s="6">
        <v>45937</v>
      </c>
      <c r="L133" s="6">
        <v>45941</v>
      </c>
      <c r="M133" s="42" t="s">
        <v>53</v>
      </c>
      <c r="N133" s="42" t="s">
        <v>54</v>
      </c>
      <c r="O133" s="42" t="s">
        <v>41</v>
      </c>
      <c r="P133" s="30">
        <f t="shared" si="6"/>
        <v>4</v>
      </c>
      <c r="Q133" s="41">
        <v>3121.0850439882697</v>
      </c>
      <c r="R133" s="41">
        <v>7000</v>
      </c>
      <c r="S133" s="41">
        <f t="shared" si="7"/>
        <v>3878.9149560117303</v>
      </c>
    </row>
    <row r="134" spans="1:19">
      <c r="A134" s="5">
        <v>133</v>
      </c>
      <c r="B134" s="5">
        <v>2510071624</v>
      </c>
      <c r="C134" s="5" t="s">
        <v>2272</v>
      </c>
      <c r="D134" s="5" t="s">
        <v>40</v>
      </c>
      <c r="E134" s="5" t="s">
        <v>41</v>
      </c>
      <c r="F134" s="5" t="s">
        <v>42</v>
      </c>
      <c r="G134" s="5" t="s">
        <v>75</v>
      </c>
      <c r="H134" s="5" t="s">
        <v>2256</v>
      </c>
      <c r="I134" s="5">
        <v>202501553</v>
      </c>
      <c r="J134" s="5"/>
      <c r="K134" s="6">
        <v>45937</v>
      </c>
      <c r="L134" s="6">
        <v>45941</v>
      </c>
      <c r="M134" s="42" t="s">
        <v>53</v>
      </c>
      <c r="N134" s="42" t="s">
        <v>54</v>
      </c>
      <c r="O134" s="42" t="s">
        <v>41</v>
      </c>
      <c r="P134" s="30">
        <f t="shared" si="6"/>
        <v>4</v>
      </c>
      <c r="Q134" s="41">
        <v>3121.0850439882697</v>
      </c>
      <c r="R134" s="41">
        <v>6500</v>
      </c>
      <c r="S134" s="41">
        <f t="shared" si="7"/>
        <v>3378.9149560117303</v>
      </c>
    </row>
    <row r="135" spans="1:19">
      <c r="A135" s="5">
        <v>134</v>
      </c>
      <c r="B135" s="5">
        <v>2510073020</v>
      </c>
      <c r="C135" s="5" t="s">
        <v>2273</v>
      </c>
      <c r="D135" s="5" t="s">
        <v>2274</v>
      </c>
      <c r="E135" s="5" t="s">
        <v>2275</v>
      </c>
      <c r="F135" s="5" t="s">
        <v>58</v>
      </c>
      <c r="G135" s="5" t="s">
        <v>75</v>
      </c>
      <c r="H135" s="5" t="s">
        <v>2256</v>
      </c>
      <c r="I135" s="5">
        <v>202501554</v>
      </c>
      <c r="J135" s="5"/>
      <c r="K135" s="6">
        <v>45937</v>
      </c>
      <c r="L135" s="6">
        <v>45941</v>
      </c>
      <c r="M135" s="42" t="s">
        <v>53</v>
      </c>
      <c r="N135" s="42" t="s">
        <v>54</v>
      </c>
      <c r="O135" s="42" t="s">
        <v>41</v>
      </c>
      <c r="P135" s="30">
        <f t="shared" si="6"/>
        <v>4</v>
      </c>
      <c r="Q135" s="41">
        <v>3121.0850439882697</v>
      </c>
      <c r="R135" s="41">
        <v>4500</v>
      </c>
      <c r="S135" s="41">
        <f t="shared" si="7"/>
        <v>1378.9149560117303</v>
      </c>
    </row>
    <row r="136" spans="1:19">
      <c r="A136" s="5">
        <v>135</v>
      </c>
      <c r="B136" s="5">
        <v>2510073028</v>
      </c>
      <c r="C136" s="5" t="s">
        <v>2276</v>
      </c>
      <c r="D136" s="5" t="s">
        <v>437</v>
      </c>
      <c r="E136" s="5" t="s">
        <v>1445</v>
      </c>
      <c r="F136" s="5" t="s">
        <v>71</v>
      </c>
      <c r="G136" s="5" t="s">
        <v>43</v>
      </c>
      <c r="H136" s="5" t="s">
        <v>2256</v>
      </c>
      <c r="I136" s="5">
        <v>202501555</v>
      </c>
      <c r="J136" s="5"/>
      <c r="K136" s="6">
        <v>45937</v>
      </c>
      <c r="L136" s="6">
        <v>45941</v>
      </c>
      <c r="M136" s="42" t="s">
        <v>53</v>
      </c>
      <c r="N136" s="42" t="s">
        <v>54</v>
      </c>
      <c r="O136" s="42" t="s">
        <v>41</v>
      </c>
      <c r="P136" s="30">
        <f t="shared" si="6"/>
        <v>4</v>
      </c>
      <c r="Q136" s="41">
        <v>3121.0850439882697</v>
      </c>
      <c r="R136" s="41">
        <v>13500</v>
      </c>
      <c r="S136" s="41">
        <f t="shared" si="7"/>
        <v>10378.914956011729</v>
      </c>
    </row>
    <row r="137" spans="1:19">
      <c r="A137" s="5">
        <v>136</v>
      </c>
      <c r="B137" s="5">
        <v>2510073047</v>
      </c>
      <c r="C137" s="5" t="s">
        <v>2277</v>
      </c>
      <c r="D137" s="5" t="s">
        <v>1629</v>
      </c>
      <c r="E137" s="5" t="s">
        <v>1812</v>
      </c>
      <c r="F137" s="5" t="s">
        <v>141</v>
      </c>
      <c r="G137" s="5" t="s">
        <v>52</v>
      </c>
      <c r="H137" s="5" t="s">
        <v>2256</v>
      </c>
      <c r="I137" s="5">
        <v>202501556</v>
      </c>
      <c r="J137" s="5"/>
      <c r="K137" s="6">
        <v>45937</v>
      </c>
      <c r="L137" s="6">
        <v>45941</v>
      </c>
      <c r="M137" s="42" t="s">
        <v>53</v>
      </c>
      <c r="N137" s="42" t="s">
        <v>54</v>
      </c>
      <c r="O137" s="42" t="s">
        <v>41</v>
      </c>
      <c r="P137" s="30">
        <f t="shared" si="6"/>
        <v>4</v>
      </c>
      <c r="Q137" s="41">
        <v>3121.0850439882697</v>
      </c>
      <c r="R137" s="41">
        <v>5500</v>
      </c>
      <c r="S137" s="41">
        <f t="shared" si="7"/>
        <v>2378.9149560117303</v>
      </c>
    </row>
    <row r="138" spans="1:19">
      <c r="A138" s="5">
        <v>137</v>
      </c>
      <c r="B138" s="5">
        <v>2510073071</v>
      </c>
      <c r="C138" s="5" t="s">
        <v>2278</v>
      </c>
      <c r="D138" s="5" t="s">
        <v>2194</v>
      </c>
      <c r="E138" s="5" t="s">
        <v>2279</v>
      </c>
      <c r="F138" s="5" t="s">
        <v>66</v>
      </c>
      <c r="G138" s="5" t="s">
        <v>75</v>
      </c>
      <c r="H138" s="5" t="s">
        <v>2256</v>
      </c>
      <c r="I138" s="5">
        <v>202501557</v>
      </c>
      <c r="J138" s="5"/>
      <c r="K138" s="6">
        <v>45937</v>
      </c>
      <c r="L138" s="6">
        <v>45941</v>
      </c>
      <c r="M138" s="42" t="s">
        <v>53</v>
      </c>
      <c r="N138" s="42" t="s">
        <v>54</v>
      </c>
      <c r="O138" s="42" t="s">
        <v>41</v>
      </c>
      <c r="P138" s="30">
        <f t="shared" si="6"/>
        <v>4</v>
      </c>
      <c r="Q138" s="41">
        <v>3121.0850439882697</v>
      </c>
      <c r="R138" s="61">
        <v>2500</v>
      </c>
      <c r="S138" s="41">
        <f t="shared" si="7"/>
        <v>-621.08504398826972</v>
      </c>
    </row>
    <row r="139" spans="1:19">
      <c r="A139" s="5">
        <v>138</v>
      </c>
      <c r="B139" s="5">
        <v>2510073085</v>
      </c>
      <c r="C139" s="5" t="s">
        <v>2280</v>
      </c>
      <c r="D139" s="5" t="s">
        <v>444</v>
      </c>
      <c r="E139" s="5" t="s">
        <v>1835</v>
      </c>
      <c r="F139" s="5" t="s">
        <v>109</v>
      </c>
      <c r="G139" s="5" t="s">
        <v>52</v>
      </c>
      <c r="H139" s="5" t="s">
        <v>2256</v>
      </c>
      <c r="I139" s="5">
        <v>202501558</v>
      </c>
      <c r="J139" s="5"/>
      <c r="K139" s="6">
        <v>45937</v>
      </c>
      <c r="L139" s="6">
        <v>45941</v>
      </c>
      <c r="M139" s="42" t="s">
        <v>53</v>
      </c>
      <c r="N139" s="42" t="s">
        <v>54</v>
      </c>
      <c r="O139" s="42" t="s">
        <v>41</v>
      </c>
      <c r="P139" s="30">
        <f t="shared" si="6"/>
        <v>4</v>
      </c>
      <c r="Q139" s="41">
        <v>3121.0850439882697</v>
      </c>
      <c r="R139" s="41">
        <v>5950</v>
      </c>
      <c r="S139" s="41">
        <f t="shared" si="7"/>
        <v>2828.9149560117303</v>
      </c>
    </row>
    <row r="140" spans="1:19">
      <c r="A140" s="5">
        <v>139</v>
      </c>
      <c r="B140" s="5">
        <v>2510073106</v>
      </c>
      <c r="C140" s="5" t="s">
        <v>2281</v>
      </c>
      <c r="D140" s="5" t="s">
        <v>60</v>
      </c>
      <c r="E140" s="5" t="s">
        <v>1896</v>
      </c>
      <c r="F140" s="5" t="s">
        <v>62</v>
      </c>
      <c r="G140" s="5" t="s">
        <v>52</v>
      </c>
      <c r="H140" s="5" t="s">
        <v>2256</v>
      </c>
      <c r="I140" s="5">
        <v>202501559</v>
      </c>
      <c r="J140" s="5"/>
      <c r="K140" s="6">
        <v>45937</v>
      </c>
      <c r="L140" s="6">
        <v>45941</v>
      </c>
      <c r="M140" s="42" t="s">
        <v>53</v>
      </c>
      <c r="N140" s="42" t="s">
        <v>54</v>
      </c>
      <c r="O140" s="42" t="s">
        <v>41</v>
      </c>
      <c r="P140" s="30">
        <f t="shared" si="6"/>
        <v>4</v>
      </c>
      <c r="Q140" s="41">
        <v>3121.0850439882697</v>
      </c>
      <c r="R140" s="41">
        <v>6000</v>
      </c>
      <c r="S140" s="41">
        <f t="shared" si="7"/>
        <v>2878.9149560117303</v>
      </c>
    </row>
    <row r="141" spans="1:19">
      <c r="A141" s="5">
        <v>140</v>
      </c>
      <c r="B141" s="5">
        <v>2510080965</v>
      </c>
      <c r="C141" s="5" t="s">
        <v>2282</v>
      </c>
      <c r="D141" s="5" t="s">
        <v>564</v>
      </c>
      <c r="E141" s="5" t="s">
        <v>1443</v>
      </c>
      <c r="F141" s="5" t="s">
        <v>71</v>
      </c>
      <c r="G141" s="5" t="s">
        <v>52</v>
      </c>
      <c r="H141" s="5" t="s">
        <v>2256</v>
      </c>
      <c r="I141" s="5">
        <v>202501560</v>
      </c>
      <c r="J141" s="5"/>
      <c r="K141" s="6">
        <v>45938</v>
      </c>
      <c r="L141" s="6">
        <v>45941</v>
      </c>
      <c r="M141" s="42" t="s">
        <v>53</v>
      </c>
      <c r="N141" s="42" t="s">
        <v>54</v>
      </c>
      <c r="O141" s="42" t="s">
        <v>41</v>
      </c>
      <c r="P141" s="30">
        <f t="shared" si="6"/>
        <v>3</v>
      </c>
      <c r="Q141" s="41">
        <v>3121.0850439882697</v>
      </c>
      <c r="R141" s="41">
        <v>8500</v>
      </c>
      <c r="S141" s="41">
        <f t="shared" si="7"/>
        <v>5378.9149560117303</v>
      </c>
    </row>
    <row r="142" spans="1:19">
      <c r="A142" s="5">
        <v>141</v>
      </c>
      <c r="B142" s="5">
        <v>2510081015</v>
      </c>
      <c r="C142" s="5" t="s">
        <v>2283</v>
      </c>
      <c r="D142" s="5" t="s">
        <v>2194</v>
      </c>
      <c r="E142" s="5" t="s">
        <v>2279</v>
      </c>
      <c r="F142" s="5" t="s">
        <v>66</v>
      </c>
      <c r="G142" s="5" t="s">
        <v>75</v>
      </c>
      <c r="H142" s="5" t="s">
        <v>2256</v>
      </c>
      <c r="I142" s="5">
        <v>202501561</v>
      </c>
      <c r="J142" s="5"/>
      <c r="K142" s="6">
        <v>45938</v>
      </c>
      <c r="L142" s="6">
        <v>45941</v>
      </c>
      <c r="M142" s="42" t="s">
        <v>53</v>
      </c>
      <c r="N142" s="42" t="s">
        <v>54</v>
      </c>
      <c r="O142" s="42" t="s">
        <v>41</v>
      </c>
      <c r="P142" s="30">
        <f t="shared" si="6"/>
        <v>3</v>
      </c>
      <c r="Q142" s="41">
        <v>3121.0850439882697</v>
      </c>
      <c r="R142" s="61">
        <v>2500</v>
      </c>
      <c r="S142" s="41">
        <f t="shared" si="7"/>
        <v>-621.08504398826972</v>
      </c>
    </row>
    <row r="143" spans="1:19">
      <c r="A143" s="5">
        <v>142</v>
      </c>
      <c r="B143" s="5">
        <v>2510081034</v>
      </c>
      <c r="C143" s="5" t="s">
        <v>2284</v>
      </c>
      <c r="D143" s="5" t="s">
        <v>64</v>
      </c>
      <c r="E143" s="5" t="s">
        <v>1498</v>
      </c>
      <c r="F143" s="5" t="s">
        <v>66</v>
      </c>
      <c r="G143" s="5" t="s">
        <v>52</v>
      </c>
      <c r="H143" s="5" t="s">
        <v>2256</v>
      </c>
      <c r="I143" s="5">
        <v>202501562</v>
      </c>
      <c r="J143" s="5"/>
      <c r="K143" s="6">
        <v>45938</v>
      </c>
      <c r="L143" s="6">
        <v>45941</v>
      </c>
      <c r="M143" s="42" t="s">
        <v>53</v>
      </c>
      <c r="N143" s="42" t="s">
        <v>54</v>
      </c>
      <c r="O143" s="42" t="s">
        <v>41</v>
      </c>
      <c r="P143" s="30">
        <f t="shared" si="6"/>
        <v>3</v>
      </c>
      <c r="Q143" s="41">
        <v>3121.0850439882697</v>
      </c>
      <c r="R143" s="41">
        <v>5500</v>
      </c>
      <c r="S143" s="41">
        <f t="shared" si="7"/>
        <v>2378.9149560117303</v>
      </c>
    </row>
    <row r="144" spans="1:19">
      <c r="A144" s="5">
        <v>143</v>
      </c>
      <c r="B144" s="5">
        <v>2510081050</v>
      </c>
      <c r="C144" s="5" t="s">
        <v>2285</v>
      </c>
      <c r="D144" s="5" t="s">
        <v>1662</v>
      </c>
      <c r="E144" s="5" t="s">
        <v>1318</v>
      </c>
      <c r="F144" s="5" t="s">
        <v>58</v>
      </c>
      <c r="G144" s="5" t="s">
        <v>52</v>
      </c>
      <c r="H144" s="5" t="s">
        <v>2256</v>
      </c>
      <c r="I144" s="5">
        <v>202501563</v>
      </c>
      <c r="J144" s="5"/>
      <c r="K144" s="6">
        <v>45938</v>
      </c>
      <c r="L144" s="6">
        <v>45941</v>
      </c>
      <c r="M144" s="42" t="s">
        <v>53</v>
      </c>
      <c r="N144" s="42" t="s">
        <v>54</v>
      </c>
      <c r="O144" s="42" t="s">
        <v>41</v>
      </c>
      <c r="P144" s="30">
        <f t="shared" si="6"/>
        <v>3</v>
      </c>
      <c r="Q144" s="41">
        <v>3121.0850439882697</v>
      </c>
      <c r="R144" s="41">
        <v>5500</v>
      </c>
      <c r="S144" s="41">
        <f t="shared" si="7"/>
        <v>2378.9149560117303</v>
      </c>
    </row>
    <row r="145" spans="1:19">
      <c r="A145" s="5">
        <v>144</v>
      </c>
      <c r="B145" s="5">
        <v>2510081063</v>
      </c>
      <c r="C145" s="5" t="s">
        <v>2286</v>
      </c>
      <c r="D145" s="5" t="s">
        <v>1475</v>
      </c>
      <c r="E145" s="5" t="s">
        <v>1476</v>
      </c>
      <c r="F145" s="5" t="s">
        <v>362</v>
      </c>
      <c r="G145" s="5" t="s">
        <v>75</v>
      </c>
      <c r="H145" s="5" t="s">
        <v>2256</v>
      </c>
      <c r="I145" s="5">
        <v>202501564</v>
      </c>
      <c r="J145" s="5"/>
      <c r="K145" s="6">
        <v>45938</v>
      </c>
      <c r="L145" s="6">
        <v>45941</v>
      </c>
      <c r="M145" s="42" t="s">
        <v>53</v>
      </c>
      <c r="N145" s="42" t="s">
        <v>54</v>
      </c>
      <c r="O145" s="42" t="s">
        <v>41</v>
      </c>
      <c r="P145" s="30">
        <f t="shared" si="6"/>
        <v>3</v>
      </c>
      <c r="Q145" s="41">
        <v>3121.0850439882697</v>
      </c>
      <c r="R145" s="41">
        <v>4500</v>
      </c>
      <c r="S145" s="41">
        <f t="shared" si="7"/>
        <v>1378.9149560117303</v>
      </c>
    </row>
    <row r="146" spans="1:19">
      <c r="A146" s="5">
        <v>145</v>
      </c>
      <c r="B146" s="5">
        <v>2510081086</v>
      </c>
      <c r="C146" s="5" t="s">
        <v>2287</v>
      </c>
      <c r="D146" s="5" t="s">
        <v>2288</v>
      </c>
      <c r="E146" s="5" t="s">
        <v>2289</v>
      </c>
      <c r="F146" s="5" t="s">
        <v>62</v>
      </c>
      <c r="G146" s="5" t="s">
        <v>75</v>
      </c>
      <c r="H146" s="5" t="s">
        <v>2256</v>
      </c>
      <c r="I146" s="5">
        <v>202501565</v>
      </c>
      <c r="J146" s="5"/>
      <c r="K146" s="6">
        <v>45938</v>
      </c>
      <c r="L146" s="6">
        <v>45941</v>
      </c>
      <c r="M146" s="42" t="s">
        <v>53</v>
      </c>
      <c r="N146" s="42" t="s">
        <v>54</v>
      </c>
      <c r="O146" s="42" t="s">
        <v>41</v>
      </c>
      <c r="P146" s="30">
        <f t="shared" si="6"/>
        <v>3</v>
      </c>
      <c r="Q146" s="41">
        <v>3121.0850439882697</v>
      </c>
      <c r="R146" s="41">
        <v>4500</v>
      </c>
      <c r="S146" s="41">
        <f t="shared" si="7"/>
        <v>1378.9149560117303</v>
      </c>
    </row>
    <row r="147" spans="1:19">
      <c r="A147" s="5">
        <v>146</v>
      </c>
      <c r="B147" s="17">
        <v>2510081094</v>
      </c>
      <c r="C147" s="17" t="s">
        <v>2290</v>
      </c>
      <c r="D147" s="17" t="s">
        <v>309</v>
      </c>
      <c r="E147" s="17" t="s">
        <v>310</v>
      </c>
      <c r="F147" s="17" t="s">
        <v>51</v>
      </c>
      <c r="G147" s="17" t="s">
        <v>52</v>
      </c>
      <c r="H147" s="17" t="s">
        <v>2256</v>
      </c>
      <c r="I147" s="17">
        <v>202501566</v>
      </c>
      <c r="J147" s="17"/>
      <c r="K147" s="18">
        <v>45938</v>
      </c>
      <c r="L147" s="18">
        <v>45941</v>
      </c>
      <c r="M147" s="46" t="s">
        <v>53</v>
      </c>
      <c r="N147" s="46" t="s">
        <v>480</v>
      </c>
      <c r="O147" s="46" t="s">
        <v>2291</v>
      </c>
      <c r="P147" s="31">
        <f t="shared" si="6"/>
        <v>3</v>
      </c>
      <c r="Q147" s="19">
        <v>3121.0850439882697</v>
      </c>
      <c r="R147" s="19">
        <v>5500</v>
      </c>
      <c r="S147" s="19">
        <f t="shared" si="7"/>
        <v>2378.9149560117303</v>
      </c>
    </row>
    <row r="148" spans="1:19">
      <c r="A148" s="5">
        <v>147</v>
      </c>
      <c r="B148" s="5">
        <v>2510083322</v>
      </c>
      <c r="C148" s="5" t="s">
        <v>2292</v>
      </c>
      <c r="D148" s="5" t="s">
        <v>631</v>
      </c>
      <c r="E148" s="5" t="s">
        <v>664</v>
      </c>
      <c r="F148" s="5" t="s">
        <v>87</v>
      </c>
      <c r="G148" s="5" t="s">
        <v>52</v>
      </c>
      <c r="H148" s="5" t="s">
        <v>2256</v>
      </c>
      <c r="I148" s="5">
        <v>202501567</v>
      </c>
      <c r="J148" s="5"/>
      <c r="K148" s="6">
        <v>45938</v>
      </c>
      <c r="L148" s="6">
        <v>45941</v>
      </c>
      <c r="M148" s="42" t="s">
        <v>53</v>
      </c>
      <c r="N148" s="42" t="s">
        <v>54</v>
      </c>
      <c r="O148" s="42" t="s">
        <v>41</v>
      </c>
      <c r="P148" s="30">
        <f t="shared" si="6"/>
        <v>3</v>
      </c>
      <c r="Q148" s="41">
        <v>3121.0850439882697</v>
      </c>
      <c r="R148" s="41">
        <v>8000</v>
      </c>
      <c r="S148" s="41">
        <f t="shared" si="7"/>
        <v>4878.9149560117303</v>
      </c>
    </row>
    <row r="149" spans="1:19">
      <c r="A149" s="5">
        <v>148</v>
      </c>
      <c r="B149" s="5">
        <v>2510083330</v>
      </c>
      <c r="C149" s="5" t="s">
        <v>2293</v>
      </c>
      <c r="D149" s="5" t="s">
        <v>564</v>
      </c>
      <c r="E149" s="5" t="s">
        <v>2294</v>
      </c>
      <c r="F149" s="5" t="s">
        <v>71</v>
      </c>
      <c r="G149" s="5" t="s">
        <v>75</v>
      </c>
      <c r="H149" s="5" t="s">
        <v>2256</v>
      </c>
      <c r="I149" s="5">
        <v>202501568</v>
      </c>
      <c r="J149" s="5"/>
      <c r="K149" s="6">
        <v>45938</v>
      </c>
      <c r="L149" s="6">
        <v>45941</v>
      </c>
      <c r="M149" s="42" t="s">
        <v>53</v>
      </c>
      <c r="N149" s="42" t="s">
        <v>54</v>
      </c>
      <c r="O149" s="42" t="s">
        <v>41</v>
      </c>
      <c r="P149" s="30">
        <f t="shared" si="6"/>
        <v>3</v>
      </c>
      <c r="Q149" s="41">
        <v>3121.0850439882697</v>
      </c>
      <c r="R149" s="41">
        <v>6500</v>
      </c>
      <c r="S149" s="41">
        <f t="shared" si="7"/>
        <v>3378.9149560117303</v>
      </c>
    </row>
    <row r="150" spans="1:19">
      <c r="A150" s="5">
        <v>149</v>
      </c>
      <c r="B150" s="5">
        <v>2510083334</v>
      </c>
      <c r="C150" s="5" t="s">
        <v>2295</v>
      </c>
      <c r="D150" s="5" t="s">
        <v>564</v>
      </c>
      <c r="E150" s="5" t="s">
        <v>2294</v>
      </c>
      <c r="F150" s="5" t="s">
        <v>71</v>
      </c>
      <c r="G150" s="5" t="s">
        <v>75</v>
      </c>
      <c r="H150" s="5" t="s">
        <v>2256</v>
      </c>
      <c r="I150" s="5">
        <v>202501569</v>
      </c>
      <c r="J150" s="5"/>
      <c r="K150" s="6">
        <v>45938</v>
      </c>
      <c r="L150" s="6">
        <v>45941</v>
      </c>
      <c r="M150" s="42" t="s">
        <v>53</v>
      </c>
      <c r="N150" s="42" t="s">
        <v>54</v>
      </c>
      <c r="O150" s="42" t="s">
        <v>41</v>
      </c>
      <c r="P150" s="30">
        <f t="shared" si="6"/>
        <v>3</v>
      </c>
      <c r="Q150" s="41">
        <v>3121.0850439882697</v>
      </c>
      <c r="R150" s="41">
        <v>6500</v>
      </c>
      <c r="S150" s="41">
        <f t="shared" si="7"/>
        <v>3378.9149560117303</v>
      </c>
    </row>
    <row r="151" spans="1:19">
      <c r="A151" s="5">
        <v>150</v>
      </c>
      <c r="B151" s="5">
        <v>2510083339</v>
      </c>
      <c r="C151" s="5" t="s">
        <v>2296</v>
      </c>
      <c r="D151" s="5" t="s">
        <v>1173</v>
      </c>
      <c r="E151" s="5" t="s">
        <v>2297</v>
      </c>
      <c r="F151" s="5" t="s">
        <v>58</v>
      </c>
      <c r="G151" s="5" t="s">
        <v>75</v>
      </c>
      <c r="H151" s="5" t="s">
        <v>2256</v>
      </c>
      <c r="I151" s="5">
        <v>202501570</v>
      </c>
      <c r="J151" s="5"/>
      <c r="K151" s="6">
        <v>45938</v>
      </c>
      <c r="L151" s="6">
        <v>45941</v>
      </c>
      <c r="M151" s="42" t="s">
        <v>53</v>
      </c>
      <c r="N151" s="42" t="s">
        <v>54</v>
      </c>
      <c r="O151" s="42" t="s">
        <v>41</v>
      </c>
      <c r="P151" s="30">
        <f t="shared" si="6"/>
        <v>3</v>
      </c>
      <c r="Q151" s="41">
        <v>3121.0850439882697</v>
      </c>
      <c r="R151" s="41">
        <v>4900</v>
      </c>
      <c r="S151" s="41">
        <f t="shared" si="7"/>
        <v>1778.9149560117303</v>
      </c>
    </row>
    <row r="152" spans="1:19">
      <c r="A152" s="5">
        <v>151</v>
      </c>
      <c r="B152" s="5">
        <v>2510083354</v>
      </c>
      <c r="C152" s="5" t="s">
        <v>2298</v>
      </c>
      <c r="D152" s="5" t="s">
        <v>528</v>
      </c>
      <c r="E152" s="5" t="s">
        <v>2161</v>
      </c>
      <c r="F152" s="5" t="s">
        <v>202</v>
      </c>
      <c r="G152" s="5" t="s">
        <v>52</v>
      </c>
      <c r="H152" s="5" t="s">
        <v>2256</v>
      </c>
      <c r="I152" s="5">
        <v>202501571</v>
      </c>
      <c r="J152" s="5"/>
      <c r="K152" s="6">
        <v>45938</v>
      </c>
      <c r="L152" s="6">
        <v>45941</v>
      </c>
      <c r="M152" s="42" t="s">
        <v>53</v>
      </c>
      <c r="N152" s="42" t="s">
        <v>54</v>
      </c>
      <c r="O152" s="42" t="s">
        <v>41</v>
      </c>
      <c r="P152" s="30">
        <f t="shared" si="6"/>
        <v>3</v>
      </c>
      <c r="Q152" s="41">
        <v>3121.0850439882697</v>
      </c>
      <c r="R152" s="41">
        <v>7500</v>
      </c>
      <c r="S152" s="41">
        <f t="shared" si="7"/>
        <v>4378.9149560117303</v>
      </c>
    </row>
    <row r="153" spans="1:19">
      <c r="A153" s="5">
        <v>152</v>
      </c>
      <c r="B153" s="5" t="s">
        <v>1239</v>
      </c>
      <c r="C153" s="5"/>
      <c r="D153" s="5"/>
      <c r="E153" s="5"/>
      <c r="F153" s="5"/>
      <c r="G153" s="5" t="s">
        <v>52</v>
      </c>
      <c r="H153" s="5"/>
      <c r="I153" s="5"/>
      <c r="J153" s="5"/>
      <c r="K153" s="5"/>
      <c r="L153" s="5"/>
      <c r="M153" s="5"/>
      <c r="N153" s="5"/>
      <c r="O153" s="5"/>
      <c r="P153" s="5"/>
      <c r="Q153" s="41">
        <v>3121.0850439882697</v>
      </c>
      <c r="R153" s="41">
        <v>0</v>
      </c>
      <c r="S153" s="41">
        <f t="shared" si="7"/>
        <v>-3121.0850439882697</v>
      </c>
    </row>
    <row r="154" spans="1:19">
      <c r="A154" s="5">
        <v>153</v>
      </c>
      <c r="B154" s="5" t="s">
        <v>1240</v>
      </c>
      <c r="C154" s="5"/>
      <c r="D154" s="5"/>
      <c r="E154" s="5"/>
      <c r="F154" s="5"/>
      <c r="G154" s="5" t="s">
        <v>52</v>
      </c>
      <c r="H154" s="5"/>
      <c r="I154" s="5"/>
      <c r="J154" s="5"/>
      <c r="K154" s="5"/>
      <c r="L154" s="5"/>
      <c r="M154" s="5"/>
      <c r="N154" s="5"/>
      <c r="O154" s="5"/>
      <c r="P154" s="5"/>
      <c r="Q154" s="41">
        <v>3121.0850439882697</v>
      </c>
      <c r="R154" s="41">
        <v>0</v>
      </c>
      <c r="S154" s="41">
        <f t="shared" si="7"/>
        <v>-3121.0850439882697</v>
      </c>
    </row>
    <row r="155" spans="1:19">
      <c r="A155" s="5">
        <v>154</v>
      </c>
      <c r="B155" s="17">
        <v>2510013364</v>
      </c>
      <c r="C155" s="17" t="s">
        <v>2172</v>
      </c>
      <c r="D155" s="17" t="s">
        <v>440</v>
      </c>
      <c r="E155" s="17" t="s">
        <v>1850</v>
      </c>
      <c r="F155" s="17" t="s">
        <v>169</v>
      </c>
      <c r="G155" s="17" t="s">
        <v>52</v>
      </c>
      <c r="H155" s="17" t="s">
        <v>2299</v>
      </c>
      <c r="I155" s="17" t="s">
        <v>2300</v>
      </c>
      <c r="J155" s="17"/>
      <c r="K155" s="18">
        <v>45938</v>
      </c>
      <c r="L155" s="18">
        <v>45945</v>
      </c>
      <c r="M155" s="46" t="s">
        <v>53</v>
      </c>
      <c r="N155" s="46" t="s">
        <v>480</v>
      </c>
      <c r="O155" s="46" t="s">
        <v>2301</v>
      </c>
      <c r="P155" s="31">
        <f t="shared" ref="P155:P177" si="8">L155-K155</f>
        <v>7</v>
      </c>
      <c r="Q155" s="19">
        <v>3771.7454545454548</v>
      </c>
      <c r="R155" s="19">
        <v>0</v>
      </c>
      <c r="S155" s="19">
        <f t="shared" si="7"/>
        <v>-3771.7454545454548</v>
      </c>
    </row>
    <row r="156" spans="1:19">
      <c r="A156" s="5">
        <v>155</v>
      </c>
      <c r="B156" s="5">
        <v>2510083345</v>
      </c>
      <c r="C156" s="5" t="s">
        <v>2302</v>
      </c>
      <c r="D156" s="5" t="s">
        <v>964</v>
      </c>
      <c r="E156" s="5" t="s">
        <v>1900</v>
      </c>
      <c r="F156" s="5" t="s">
        <v>109</v>
      </c>
      <c r="G156" s="5" t="s">
        <v>43</v>
      </c>
      <c r="H156" s="5" t="s">
        <v>2299</v>
      </c>
      <c r="I156" s="5">
        <v>202501572</v>
      </c>
      <c r="J156" s="5"/>
      <c r="K156" s="6">
        <v>45938</v>
      </c>
      <c r="L156" s="6">
        <v>45945</v>
      </c>
      <c r="M156" s="42" t="s">
        <v>53</v>
      </c>
      <c r="N156" s="42" t="s">
        <v>54</v>
      </c>
      <c r="O156" s="42" t="s">
        <v>41</v>
      </c>
      <c r="P156" s="30">
        <f t="shared" si="8"/>
        <v>7</v>
      </c>
      <c r="Q156" s="41">
        <v>3771.7454545454548</v>
      </c>
      <c r="R156" s="41">
        <v>11000</v>
      </c>
      <c r="S156" s="41">
        <f t="shared" si="7"/>
        <v>7228.2545454545452</v>
      </c>
    </row>
    <row r="157" spans="1:19">
      <c r="A157" s="5">
        <v>156</v>
      </c>
      <c r="B157" s="9">
        <v>2510083350</v>
      </c>
      <c r="C157" s="9" t="s">
        <v>2303</v>
      </c>
      <c r="D157" s="9" t="s">
        <v>599</v>
      </c>
      <c r="E157" s="9" t="s">
        <v>2304</v>
      </c>
      <c r="F157" s="9" t="s">
        <v>169</v>
      </c>
      <c r="G157" s="9" t="s">
        <v>43</v>
      </c>
      <c r="H157" s="9" t="s">
        <v>2299</v>
      </c>
      <c r="I157" s="9">
        <v>202501573</v>
      </c>
      <c r="J157" s="9"/>
      <c r="K157" s="10">
        <v>45938</v>
      </c>
      <c r="L157" s="10">
        <v>45945</v>
      </c>
      <c r="M157" s="54" t="s">
        <v>45</v>
      </c>
      <c r="N157" s="54" t="s">
        <v>94</v>
      </c>
      <c r="O157" s="54" t="s">
        <v>1667</v>
      </c>
      <c r="P157" s="32">
        <f t="shared" si="8"/>
        <v>7</v>
      </c>
      <c r="Q157" s="11">
        <v>3771.7454545454548</v>
      </c>
      <c r="R157" s="11">
        <v>11500</v>
      </c>
      <c r="S157" s="11">
        <f t="shared" si="7"/>
        <v>7728.2545454545452</v>
      </c>
    </row>
    <row r="158" spans="1:19">
      <c r="A158" s="5">
        <v>157</v>
      </c>
      <c r="B158" s="5">
        <v>2510081781</v>
      </c>
      <c r="C158" s="5" t="s">
        <v>2305</v>
      </c>
      <c r="D158" s="5" t="s">
        <v>40</v>
      </c>
      <c r="E158" s="5" t="s">
        <v>41</v>
      </c>
      <c r="F158" s="5" t="s">
        <v>42</v>
      </c>
      <c r="G158" s="5" t="s">
        <v>52</v>
      </c>
      <c r="H158" s="5" t="s">
        <v>2299</v>
      </c>
      <c r="I158" s="5">
        <v>202501574</v>
      </c>
      <c r="J158" s="5"/>
      <c r="K158" s="6">
        <v>45938</v>
      </c>
      <c r="L158" s="6">
        <v>45945</v>
      </c>
      <c r="M158" s="42" t="s">
        <v>53</v>
      </c>
      <c r="N158" s="42" t="s">
        <v>54</v>
      </c>
      <c r="O158" s="42" t="s">
        <v>41</v>
      </c>
      <c r="P158" s="30">
        <f t="shared" si="8"/>
        <v>7</v>
      </c>
      <c r="Q158" s="41">
        <v>3771.7454545454548</v>
      </c>
      <c r="R158" s="41">
        <v>9500</v>
      </c>
      <c r="S158" s="41">
        <f t="shared" si="7"/>
        <v>5728.2545454545452</v>
      </c>
    </row>
    <row r="159" spans="1:19">
      <c r="A159" s="5">
        <v>158</v>
      </c>
      <c r="B159" s="5">
        <v>2510081668</v>
      </c>
      <c r="C159" s="5" t="s">
        <v>2306</v>
      </c>
      <c r="D159" s="5" t="s">
        <v>40</v>
      </c>
      <c r="E159" s="5" t="s">
        <v>41</v>
      </c>
      <c r="F159" s="5" t="s">
        <v>42</v>
      </c>
      <c r="G159" s="5" t="s">
        <v>52</v>
      </c>
      <c r="H159" s="5" t="s">
        <v>2299</v>
      </c>
      <c r="I159" s="5">
        <v>202501575</v>
      </c>
      <c r="J159" s="5"/>
      <c r="K159" s="6">
        <v>45938</v>
      </c>
      <c r="L159" s="6">
        <v>45945</v>
      </c>
      <c r="M159" s="42" t="s">
        <v>53</v>
      </c>
      <c r="N159" s="42" t="s">
        <v>54</v>
      </c>
      <c r="O159" s="42" t="s">
        <v>41</v>
      </c>
      <c r="P159" s="30">
        <f t="shared" si="8"/>
        <v>7</v>
      </c>
      <c r="Q159" s="41">
        <v>3771.7454545454548</v>
      </c>
      <c r="R159" s="41">
        <v>9500</v>
      </c>
      <c r="S159" s="41">
        <f t="shared" si="7"/>
        <v>5728.2545454545452</v>
      </c>
    </row>
    <row r="160" spans="1:19">
      <c r="A160" s="5">
        <v>159</v>
      </c>
      <c r="B160" s="5">
        <v>2510081618</v>
      </c>
      <c r="C160" s="5" t="s">
        <v>2307</v>
      </c>
      <c r="D160" s="5" t="s">
        <v>40</v>
      </c>
      <c r="E160" s="5" t="s">
        <v>41</v>
      </c>
      <c r="F160" s="5" t="s">
        <v>42</v>
      </c>
      <c r="G160" s="5" t="s">
        <v>43</v>
      </c>
      <c r="H160" s="5" t="s">
        <v>2299</v>
      </c>
      <c r="I160" s="5">
        <v>202501576</v>
      </c>
      <c r="J160" s="5"/>
      <c r="K160" s="6">
        <v>45938</v>
      </c>
      <c r="L160" s="6">
        <v>45945</v>
      </c>
      <c r="M160" s="42" t="s">
        <v>53</v>
      </c>
      <c r="N160" s="42" t="s">
        <v>54</v>
      </c>
      <c r="O160" s="42" t="s">
        <v>41</v>
      </c>
      <c r="P160" s="30">
        <f t="shared" si="8"/>
        <v>7</v>
      </c>
      <c r="Q160" s="41">
        <v>3771.7454545454548</v>
      </c>
      <c r="R160" s="41">
        <v>14500</v>
      </c>
      <c r="S160" s="41">
        <f t="shared" si="7"/>
        <v>10728.254545454545</v>
      </c>
    </row>
    <row r="161" spans="1:19">
      <c r="A161" s="5">
        <v>160</v>
      </c>
      <c r="B161" s="5">
        <v>2510092989</v>
      </c>
      <c r="C161" s="5" t="s">
        <v>2308</v>
      </c>
      <c r="D161" s="5" t="s">
        <v>64</v>
      </c>
      <c r="E161" s="5" t="s">
        <v>65</v>
      </c>
      <c r="F161" s="5" t="s">
        <v>66</v>
      </c>
      <c r="G161" s="5" t="s">
        <v>43</v>
      </c>
      <c r="H161" s="5" t="s">
        <v>2299</v>
      </c>
      <c r="I161" s="5">
        <v>202501577</v>
      </c>
      <c r="J161" s="5"/>
      <c r="K161" s="6">
        <v>45939</v>
      </c>
      <c r="L161" s="6">
        <v>45945</v>
      </c>
      <c r="M161" s="42" t="s">
        <v>53</v>
      </c>
      <c r="N161" s="42" t="s">
        <v>54</v>
      </c>
      <c r="O161" s="42" t="s">
        <v>41</v>
      </c>
      <c r="P161" s="30">
        <f t="shared" si="8"/>
        <v>6</v>
      </c>
      <c r="Q161" s="41">
        <v>3771.7454545454548</v>
      </c>
      <c r="R161" s="41">
        <v>5500</v>
      </c>
      <c r="S161" s="41">
        <f t="shared" si="7"/>
        <v>1728.2545454545452</v>
      </c>
    </row>
    <row r="162" spans="1:19">
      <c r="A162" s="5">
        <v>161</v>
      </c>
      <c r="B162" s="5">
        <v>2510083357</v>
      </c>
      <c r="C162" s="5" t="s">
        <v>2309</v>
      </c>
      <c r="D162" s="5" t="s">
        <v>1261</v>
      </c>
      <c r="E162" s="5" t="s">
        <v>1262</v>
      </c>
      <c r="F162" s="5" t="s">
        <v>71</v>
      </c>
      <c r="G162" s="5" t="s">
        <v>52</v>
      </c>
      <c r="H162" s="5" t="s">
        <v>2299</v>
      </c>
      <c r="I162" s="5">
        <v>202501578</v>
      </c>
      <c r="J162" s="5"/>
      <c r="K162" s="6">
        <v>45938</v>
      </c>
      <c r="L162" s="6">
        <v>45945</v>
      </c>
      <c r="M162" s="42" t="s">
        <v>53</v>
      </c>
      <c r="N162" s="42" t="s">
        <v>54</v>
      </c>
      <c r="O162" s="42" t="s">
        <v>41</v>
      </c>
      <c r="P162" s="30">
        <f t="shared" si="8"/>
        <v>7</v>
      </c>
      <c r="Q162" s="41">
        <v>3771.7454545454548</v>
      </c>
      <c r="R162" s="41">
        <v>11000</v>
      </c>
      <c r="S162" s="41">
        <f t="shared" si="7"/>
        <v>7228.2545454545452</v>
      </c>
    </row>
    <row r="163" spans="1:19">
      <c r="A163" s="5">
        <v>162</v>
      </c>
      <c r="B163" s="5">
        <v>2510092993</v>
      </c>
      <c r="C163" s="5" t="s">
        <v>2310</v>
      </c>
      <c r="D163" s="5" t="s">
        <v>572</v>
      </c>
      <c r="E163" s="5" t="s">
        <v>2311</v>
      </c>
      <c r="F163" s="5" t="s">
        <v>87</v>
      </c>
      <c r="G163" s="5" t="s">
        <v>52</v>
      </c>
      <c r="H163" s="5" t="s">
        <v>2299</v>
      </c>
      <c r="I163" s="5">
        <v>202501579</v>
      </c>
      <c r="J163" s="5"/>
      <c r="K163" s="6">
        <v>45939</v>
      </c>
      <c r="L163" s="6">
        <v>45945</v>
      </c>
      <c r="M163" s="42" t="s">
        <v>53</v>
      </c>
      <c r="N163" s="42" t="s">
        <v>54</v>
      </c>
      <c r="O163" s="42" t="s">
        <v>41</v>
      </c>
      <c r="P163" s="30">
        <f t="shared" si="8"/>
        <v>6</v>
      </c>
      <c r="Q163" s="41">
        <v>3771.7454545454548</v>
      </c>
      <c r="R163" s="41">
        <v>6000</v>
      </c>
      <c r="S163" s="41">
        <f t="shared" si="7"/>
        <v>2228.2545454545452</v>
      </c>
    </row>
    <row r="164" spans="1:19">
      <c r="A164" s="5">
        <v>163</v>
      </c>
      <c r="B164" s="5">
        <v>2510092997</v>
      </c>
      <c r="C164" s="5" t="s">
        <v>2312</v>
      </c>
      <c r="D164" s="5" t="s">
        <v>631</v>
      </c>
      <c r="E164" s="5" t="s">
        <v>664</v>
      </c>
      <c r="F164" s="5" t="s">
        <v>87</v>
      </c>
      <c r="G164" s="5" t="s">
        <v>52</v>
      </c>
      <c r="H164" s="5" t="s">
        <v>2299</v>
      </c>
      <c r="I164" s="5">
        <v>202501580</v>
      </c>
      <c r="J164" s="5"/>
      <c r="K164" s="6">
        <v>45939</v>
      </c>
      <c r="L164" s="6">
        <v>45945</v>
      </c>
      <c r="M164" s="42" t="s">
        <v>53</v>
      </c>
      <c r="N164" s="42" t="s">
        <v>54</v>
      </c>
      <c r="O164" s="42" t="s">
        <v>41</v>
      </c>
      <c r="P164" s="30">
        <f t="shared" si="8"/>
        <v>6</v>
      </c>
      <c r="Q164" s="41">
        <v>3771.7454545454548</v>
      </c>
      <c r="R164" s="41">
        <v>8000</v>
      </c>
      <c r="S164" s="41">
        <f t="shared" si="7"/>
        <v>4228.2545454545452</v>
      </c>
    </row>
    <row r="165" spans="1:19">
      <c r="A165" s="5">
        <v>164</v>
      </c>
      <c r="B165" s="5">
        <v>2510090714</v>
      </c>
      <c r="C165" s="5" t="s">
        <v>2313</v>
      </c>
      <c r="D165" s="5" t="s">
        <v>40</v>
      </c>
      <c r="E165" s="5" t="s">
        <v>41</v>
      </c>
      <c r="F165" s="5" t="s">
        <v>42</v>
      </c>
      <c r="G165" s="5" t="s">
        <v>43</v>
      </c>
      <c r="H165" s="5" t="s">
        <v>2299</v>
      </c>
      <c r="I165" s="5">
        <v>202501581</v>
      </c>
      <c r="J165" s="5"/>
      <c r="K165" s="6">
        <v>45939</v>
      </c>
      <c r="L165" s="6">
        <v>45945</v>
      </c>
      <c r="M165" s="42" t="s">
        <v>53</v>
      </c>
      <c r="N165" s="42" t="s">
        <v>54</v>
      </c>
      <c r="O165" s="42" t="s">
        <v>41</v>
      </c>
      <c r="P165" s="30">
        <f t="shared" si="8"/>
        <v>6</v>
      </c>
      <c r="Q165" s="41">
        <v>3771.7454545454548</v>
      </c>
      <c r="R165" s="41">
        <v>14500</v>
      </c>
      <c r="S165" s="41">
        <f t="shared" si="7"/>
        <v>10728.254545454545</v>
      </c>
    </row>
    <row r="166" spans="1:19">
      <c r="A166" s="5">
        <v>165</v>
      </c>
      <c r="B166" s="5">
        <v>2510091552</v>
      </c>
      <c r="C166" s="5" t="s">
        <v>2314</v>
      </c>
      <c r="D166" s="5" t="s">
        <v>40</v>
      </c>
      <c r="E166" s="5" t="s">
        <v>41</v>
      </c>
      <c r="F166" s="5" t="s">
        <v>42</v>
      </c>
      <c r="G166" s="5" t="s">
        <v>43</v>
      </c>
      <c r="H166" s="5" t="s">
        <v>2299</v>
      </c>
      <c r="I166" s="5">
        <v>202501582</v>
      </c>
      <c r="J166" s="5"/>
      <c r="K166" s="6">
        <v>45939</v>
      </c>
      <c r="L166" s="6">
        <v>45945</v>
      </c>
      <c r="M166" s="42" t="s">
        <v>53</v>
      </c>
      <c r="N166" s="42" t="s">
        <v>54</v>
      </c>
      <c r="O166" s="42" t="s">
        <v>41</v>
      </c>
      <c r="P166" s="30">
        <f t="shared" si="8"/>
        <v>6</v>
      </c>
      <c r="Q166" s="41">
        <v>3771.7454545454548</v>
      </c>
      <c r="R166" s="41">
        <v>13500</v>
      </c>
      <c r="S166" s="41">
        <f t="shared" si="7"/>
        <v>9728.2545454545452</v>
      </c>
    </row>
    <row r="167" spans="1:19">
      <c r="A167" s="5">
        <v>166</v>
      </c>
      <c r="B167" s="5">
        <v>2510093000</v>
      </c>
      <c r="C167" s="5" t="s">
        <v>2315</v>
      </c>
      <c r="D167" s="5" t="s">
        <v>528</v>
      </c>
      <c r="E167" s="5" t="s">
        <v>2161</v>
      </c>
      <c r="F167" s="5" t="s">
        <v>202</v>
      </c>
      <c r="G167" s="5" t="s">
        <v>75</v>
      </c>
      <c r="H167" s="5" t="s">
        <v>2299</v>
      </c>
      <c r="I167" s="5">
        <v>202501583</v>
      </c>
      <c r="J167" s="5"/>
      <c r="K167" s="6">
        <v>45939</v>
      </c>
      <c r="L167" s="6">
        <v>45945</v>
      </c>
      <c r="M167" s="42" t="s">
        <v>53</v>
      </c>
      <c r="N167" s="42" t="s">
        <v>54</v>
      </c>
      <c r="O167" s="42" t="s">
        <v>41</v>
      </c>
      <c r="P167" s="30">
        <f t="shared" si="8"/>
        <v>6</v>
      </c>
      <c r="Q167" s="41">
        <v>3771.7454545454548</v>
      </c>
      <c r="R167" s="41">
        <v>4500</v>
      </c>
      <c r="S167" s="41">
        <f t="shared" si="7"/>
        <v>728.25454545454522</v>
      </c>
    </row>
    <row r="168" spans="1:19">
      <c r="A168" s="5">
        <v>167</v>
      </c>
      <c r="B168" s="5">
        <v>2510093006</v>
      </c>
      <c r="C168" s="5" t="s">
        <v>2316</v>
      </c>
      <c r="D168" s="5" t="s">
        <v>448</v>
      </c>
      <c r="E168" s="5" t="s">
        <v>522</v>
      </c>
      <c r="F168" s="5" t="s">
        <v>109</v>
      </c>
      <c r="G168" s="5" t="s">
        <v>52</v>
      </c>
      <c r="H168" s="5" t="s">
        <v>2299</v>
      </c>
      <c r="I168" s="5">
        <v>202501584</v>
      </c>
      <c r="J168" s="5"/>
      <c r="K168" s="6">
        <v>45939</v>
      </c>
      <c r="L168" s="6">
        <v>45945</v>
      </c>
      <c r="M168" s="42" t="s">
        <v>53</v>
      </c>
      <c r="N168" s="42" t="s">
        <v>54</v>
      </c>
      <c r="O168" s="42" t="s">
        <v>41</v>
      </c>
      <c r="P168" s="30">
        <f t="shared" si="8"/>
        <v>6</v>
      </c>
      <c r="Q168" s="41">
        <v>3771.7454545454548</v>
      </c>
      <c r="R168" s="41">
        <v>6500</v>
      </c>
      <c r="S168" s="41">
        <f t="shared" si="7"/>
        <v>2728.2545454545452</v>
      </c>
    </row>
    <row r="169" spans="1:19">
      <c r="A169" s="5">
        <v>168</v>
      </c>
      <c r="B169" s="5">
        <v>2510093010</v>
      </c>
      <c r="C169" s="5" t="s">
        <v>2317</v>
      </c>
      <c r="D169" s="5" t="s">
        <v>448</v>
      </c>
      <c r="E169" s="5" t="s">
        <v>522</v>
      </c>
      <c r="F169" s="5" t="s">
        <v>109</v>
      </c>
      <c r="G169" s="5" t="s">
        <v>52</v>
      </c>
      <c r="H169" s="5" t="s">
        <v>2299</v>
      </c>
      <c r="I169" s="5">
        <v>202501585</v>
      </c>
      <c r="J169" s="5"/>
      <c r="K169" s="6">
        <v>45939</v>
      </c>
      <c r="L169" s="6">
        <v>45945</v>
      </c>
      <c r="M169" s="42" t="s">
        <v>53</v>
      </c>
      <c r="N169" s="42" t="s">
        <v>54</v>
      </c>
      <c r="O169" s="42" t="s">
        <v>41</v>
      </c>
      <c r="P169" s="30">
        <f t="shared" si="8"/>
        <v>6</v>
      </c>
      <c r="Q169" s="41">
        <v>3771.7454545454548</v>
      </c>
      <c r="R169" s="41">
        <v>6500</v>
      </c>
      <c r="S169" s="41">
        <f t="shared" si="7"/>
        <v>2728.2545454545452</v>
      </c>
    </row>
    <row r="170" spans="1:19">
      <c r="A170" s="5">
        <v>169</v>
      </c>
      <c r="B170" s="5">
        <v>2510093018</v>
      </c>
      <c r="C170" s="5" t="s">
        <v>2318</v>
      </c>
      <c r="D170" s="5" t="s">
        <v>2194</v>
      </c>
      <c r="E170" s="5" t="s">
        <v>2195</v>
      </c>
      <c r="F170" s="5" t="s">
        <v>66</v>
      </c>
      <c r="G170" s="5" t="s">
        <v>75</v>
      </c>
      <c r="H170" s="5" t="s">
        <v>2299</v>
      </c>
      <c r="I170" s="5">
        <v>202501586</v>
      </c>
      <c r="J170" s="5"/>
      <c r="K170" s="6">
        <v>45939</v>
      </c>
      <c r="L170" s="6">
        <v>45945</v>
      </c>
      <c r="M170" s="42" t="s">
        <v>53</v>
      </c>
      <c r="N170" s="42" t="s">
        <v>54</v>
      </c>
      <c r="O170" s="42" t="s">
        <v>41</v>
      </c>
      <c r="P170" s="30">
        <f t="shared" si="8"/>
        <v>6</v>
      </c>
      <c r="Q170" s="41">
        <v>3771.7454545454548</v>
      </c>
      <c r="R170" s="61">
        <v>2500</v>
      </c>
      <c r="S170" s="41">
        <f t="shared" si="7"/>
        <v>-1271.7454545454548</v>
      </c>
    </row>
    <row r="171" spans="1:19">
      <c r="A171" s="5">
        <v>170</v>
      </c>
      <c r="B171" s="5">
        <v>2510093024</v>
      </c>
      <c r="C171" s="5" t="s">
        <v>2319</v>
      </c>
      <c r="D171" s="5" t="s">
        <v>2194</v>
      </c>
      <c r="E171" s="5" t="s">
        <v>2195</v>
      </c>
      <c r="F171" s="5" t="s">
        <v>66</v>
      </c>
      <c r="G171" s="5" t="s">
        <v>75</v>
      </c>
      <c r="H171" s="5" t="s">
        <v>2299</v>
      </c>
      <c r="I171" s="5">
        <v>202501587</v>
      </c>
      <c r="J171" s="5"/>
      <c r="K171" s="6">
        <v>45939</v>
      </c>
      <c r="L171" s="6">
        <v>45945</v>
      </c>
      <c r="M171" s="42" t="s">
        <v>53</v>
      </c>
      <c r="N171" s="42" t="s">
        <v>54</v>
      </c>
      <c r="O171" s="42" t="s">
        <v>41</v>
      </c>
      <c r="P171" s="30">
        <f t="shared" si="8"/>
        <v>6</v>
      </c>
      <c r="Q171" s="41">
        <v>3771.7454545454548</v>
      </c>
      <c r="R171" s="61">
        <v>2500</v>
      </c>
      <c r="S171" s="41">
        <f t="shared" si="7"/>
        <v>-1271.7454545454548</v>
      </c>
    </row>
    <row r="172" spans="1:19">
      <c r="A172" s="5">
        <v>171</v>
      </c>
      <c r="B172" s="5">
        <v>2510093033</v>
      </c>
      <c r="C172" s="5" t="s">
        <v>2320</v>
      </c>
      <c r="D172" s="5" t="s">
        <v>440</v>
      </c>
      <c r="E172" s="5" t="s">
        <v>441</v>
      </c>
      <c r="F172" s="5" t="s">
        <v>169</v>
      </c>
      <c r="G172" s="5" t="s">
        <v>52</v>
      </c>
      <c r="H172" s="5" t="s">
        <v>2299</v>
      </c>
      <c r="I172" s="5">
        <v>202501588</v>
      </c>
      <c r="J172" s="5"/>
      <c r="K172" s="6">
        <v>45939</v>
      </c>
      <c r="L172" s="6">
        <v>45945</v>
      </c>
      <c r="M172" s="42" t="s">
        <v>53</v>
      </c>
      <c r="N172" s="42" t="s">
        <v>54</v>
      </c>
      <c r="O172" s="42" t="s">
        <v>41</v>
      </c>
      <c r="P172" s="30">
        <f t="shared" si="8"/>
        <v>6</v>
      </c>
      <c r="Q172" s="41">
        <v>3771.7454545454548</v>
      </c>
      <c r="R172" s="41">
        <v>5500</v>
      </c>
      <c r="S172" s="41">
        <f t="shared" si="7"/>
        <v>1728.2545454545452</v>
      </c>
    </row>
    <row r="173" spans="1:19">
      <c r="A173" s="5">
        <v>172</v>
      </c>
      <c r="B173" s="5">
        <v>2510093037</v>
      </c>
      <c r="C173" s="5" t="s">
        <v>2321</v>
      </c>
      <c r="D173" s="5" t="s">
        <v>440</v>
      </c>
      <c r="E173" s="5" t="s">
        <v>441</v>
      </c>
      <c r="F173" s="5" t="s">
        <v>169</v>
      </c>
      <c r="G173" s="5" t="s">
        <v>52</v>
      </c>
      <c r="H173" s="5" t="s">
        <v>2299</v>
      </c>
      <c r="I173" s="5">
        <v>202501589</v>
      </c>
      <c r="J173" s="5"/>
      <c r="K173" s="6">
        <v>45939</v>
      </c>
      <c r="L173" s="6">
        <v>45945</v>
      </c>
      <c r="M173" s="42" t="s">
        <v>53</v>
      </c>
      <c r="N173" s="42" t="s">
        <v>54</v>
      </c>
      <c r="O173" s="42" t="s">
        <v>41</v>
      </c>
      <c r="P173" s="30">
        <f t="shared" si="8"/>
        <v>6</v>
      </c>
      <c r="Q173" s="41">
        <v>3771.7454545454548</v>
      </c>
      <c r="R173" s="41">
        <v>5500</v>
      </c>
      <c r="S173" s="41">
        <f t="shared" si="7"/>
        <v>1728.2545454545452</v>
      </c>
    </row>
    <row r="174" spans="1:19">
      <c r="A174" s="5">
        <v>173</v>
      </c>
      <c r="B174" s="5">
        <v>2510093042</v>
      </c>
      <c r="C174" s="5" t="s">
        <v>2322</v>
      </c>
      <c r="D174" s="5" t="s">
        <v>257</v>
      </c>
      <c r="E174" s="5" t="s">
        <v>1808</v>
      </c>
      <c r="F174" s="5" t="s">
        <v>62</v>
      </c>
      <c r="G174" s="5" t="s">
        <v>52</v>
      </c>
      <c r="H174" s="5" t="s">
        <v>2299</v>
      </c>
      <c r="I174" s="5">
        <v>202501590</v>
      </c>
      <c r="J174" s="5"/>
      <c r="K174" s="6">
        <v>45939</v>
      </c>
      <c r="L174" s="6">
        <v>45945</v>
      </c>
      <c r="M174" s="42" t="s">
        <v>53</v>
      </c>
      <c r="N174" s="42" t="s">
        <v>54</v>
      </c>
      <c r="O174" s="42" t="s">
        <v>41</v>
      </c>
      <c r="P174" s="30">
        <f t="shared" si="8"/>
        <v>6</v>
      </c>
      <c r="Q174" s="41">
        <v>3771.7454545454548</v>
      </c>
      <c r="R174" s="41">
        <v>5100</v>
      </c>
      <c r="S174" s="41">
        <f t="shared" si="7"/>
        <v>1328.2545454545452</v>
      </c>
    </row>
    <row r="175" spans="1:19">
      <c r="A175" s="5">
        <v>174</v>
      </c>
      <c r="B175" s="5">
        <v>2510093045</v>
      </c>
      <c r="C175" s="5" t="s">
        <v>2323</v>
      </c>
      <c r="D175" s="5" t="s">
        <v>405</v>
      </c>
      <c r="E175" s="5" t="s">
        <v>2016</v>
      </c>
      <c r="F175" s="5" t="s">
        <v>202</v>
      </c>
      <c r="G175" s="5" t="s">
        <v>52</v>
      </c>
      <c r="H175" s="5" t="s">
        <v>2299</v>
      </c>
      <c r="I175" s="5">
        <v>202501591</v>
      </c>
      <c r="J175" s="5"/>
      <c r="K175" s="6">
        <v>45939</v>
      </c>
      <c r="L175" s="6">
        <v>45945</v>
      </c>
      <c r="M175" s="42" t="s">
        <v>53</v>
      </c>
      <c r="N175" s="42" t="s">
        <v>54</v>
      </c>
      <c r="O175" s="42" t="s">
        <v>41</v>
      </c>
      <c r="P175" s="30">
        <f t="shared" si="8"/>
        <v>6</v>
      </c>
      <c r="Q175" s="41">
        <v>3771.7454545454548</v>
      </c>
      <c r="R175" s="41">
        <v>6450</v>
      </c>
      <c r="S175" s="41">
        <f t="shared" si="7"/>
        <v>2678.2545454545452</v>
      </c>
    </row>
    <row r="176" spans="1:19">
      <c r="A176" s="5">
        <v>175</v>
      </c>
      <c r="B176" s="5">
        <v>2510102928</v>
      </c>
      <c r="C176" s="5" t="s">
        <v>2324</v>
      </c>
      <c r="D176" s="5" t="s">
        <v>249</v>
      </c>
      <c r="E176" s="5" t="s">
        <v>1763</v>
      </c>
      <c r="F176" s="5" t="s">
        <v>141</v>
      </c>
      <c r="G176" s="5" t="s">
        <v>52</v>
      </c>
      <c r="H176" s="5" t="s">
        <v>2299</v>
      </c>
      <c r="I176" s="5">
        <v>202501592</v>
      </c>
      <c r="J176" s="5"/>
      <c r="K176" s="6">
        <v>45940</v>
      </c>
      <c r="L176" s="6">
        <v>45945</v>
      </c>
      <c r="M176" s="42" t="s">
        <v>53</v>
      </c>
      <c r="N176" s="42" t="s">
        <v>54</v>
      </c>
      <c r="O176" s="42" t="s">
        <v>41</v>
      </c>
      <c r="P176" s="30">
        <f t="shared" si="8"/>
        <v>5</v>
      </c>
      <c r="Q176" s="41">
        <v>3771.7454545454548</v>
      </c>
      <c r="R176" s="41">
        <v>5500</v>
      </c>
      <c r="S176" s="41">
        <f t="shared" si="7"/>
        <v>1728.2545454545452</v>
      </c>
    </row>
    <row r="177" spans="1:19">
      <c r="A177" s="5">
        <v>176</v>
      </c>
      <c r="B177" s="5">
        <v>2510102938</v>
      </c>
      <c r="C177" s="5" t="s">
        <v>2325</v>
      </c>
      <c r="D177" s="5" t="s">
        <v>810</v>
      </c>
      <c r="E177" s="5" t="s">
        <v>2326</v>
      </c>
      <c r="F177" s="5" t="s">
        <v>457</v>
      </c>
      <c r="G177" s="5" t="s">
        <v>52</v>
      </c>
      <c r="H177" s="5" t="s">
        <v>2299</v>
      </c>
      <c r="I177" s="5">
        <v>202501593</v>
      </c>
      <c r="J177" s="5"/>
      <c r="K177" s="6">
        <v>45940</v>
      </c>
      <c r="L177" s="6">
        <v>45945</v>
      </c>
      <c r="M177" s="42" t="s">
        <v>53</v>
      </c>
      <c r="N177" s="42" t="s">
        <v>54</v>
      </c>
      <c r="O177" s="42" t="s">
        <v>41</v>
      </c>
      <c r="P177" s="30">
        <f t="shared" si="8"/>
        <v>5</v>
      </c>
      <c r="Q177" s="41">
        <v>3771.7454545454548</v>
      </c>
      <c r="R177" s="41">
        <v>5200</v>
      </c>
      <c r="S177" s="41">
        <f t="shared" si="7"/>
        <v>1428.2545454545452</v>
      </c>
    </row>
    <row r="178" spans="1:19">
      <c r="A178" s="5">
        <v>177</v>
      </c>
      <c r="B178" s="5" t="s">
        <v>1239</v>
      </c>
      <c r="C178" s="5"/>
      <c r="D178" s="5"/>
      <c r="E178" s="5"/>
      <c r="F178" s="5"/>
      <c r="G178" s="5" t="s">
        <v>52</v>
      </c>
      <c r="H178" s="5"/>
      <c r="I178" s="5"/>
      <c r="J178" s="5"/>
      <c r="K178" s="5"/>
      <c r="L178" s="5"/>
      <c r="M178" s="5"/>
      <c r="N178" s="5"/>
      <c r="O178" s="5"/>
      <c r="P178" s="5"/>
      <c r="Q178" s="41">
        <v>3771.7454545454548</v>
      </c>
      <c r="R178" s="41">
        <v>0</v>
      </c>
      <c r="S178" s="41">
        <f t="shared" si="7"/>
        <v>-3771.7454545454548</v>
      </c>
    </row>
    <row r="179" spans="1:19">
      <c r="A179" s="5">
        <v>178</v>
      </c>
      <c r="B179" s="5" t="s">
        <v>1240</v>
      </c>
      <c r="C179" s="5"/>
      <c r="D179" s="5"/>
      <c r="E179" s="5"/>
      <c r="F179" s="5"/>
      <c r="G179" s="5" t="s">
        <v>52</v>
      </c>
      <c r="H179" s="5"/>
      <c r="I179" s="5"/>
      <c r="J179" s="5"/>
      <c r="K179" s="5"/>
      <c r="L179" s="5"/>
      <c r="M179" s="5"/>
      <c r="N179" s="5"/>
      <c r="O179" s="5"/>
      <c r="P179" s="5"/>
      <c r="Q179" s="41">
        <v>3771.7454545454548</v>
      </c>
      <c r="R179" s="41">
        <v>0</v>
      </c>
      <c r="S179" s="41">
        <f t="shared" si="7"/>
        <v>-3771.7454545454548</v>
      </c>
    </row>
    <row r="180" spans="1:19">
      <c r="A180" s="5">
        <v>179</v>
      </c>
      <c r="B180" s="5">
        <v>2510102933</v>
      </c>
      <c r="C180" s="5" t="s">
        <v>2327</v>
      </c>
      <c r="D180" s="5" t="s">
        <v>804</v>
      </c>
      <c r="E180" s="5" t="s">
        <v>805</v>
      </c>
      <c r="F180" s="5" t="s">
        <v>457</v>
      </c>
      <c r="G180" s="5" t="s">
        <v>43</v>
      </c>
      <c r="H180" s="5" t="s">
        <v>2328</v>
      </c>
      <c r="I180" s="5">
        <v>202501594</v>
      </c>
      <c r="J180" s="5"/>
      <c r="K180" s="6">
        <v>45940</v>
      </c>
      <c r="L180" s="6">
        <v>45945</v>
      </c>
      <c r="M180" s="42" t="s">
        <v>53</v>
      </c>
      <c r="N180" s="42" t="s">
        <v>54</v>
      </c>
      <c r="O180" s="42" t="s">
        <v>41</v>
      </c>
      <c r="P180" s="30">
        <f t="shared" ref="P180:P207" si="9">L180-K180</f>
        <v>5</v>
      </c>
      <c r="Q180" s="41">
        <v>3211.4545454545455</v>
      </c>
      <c r="R180" s="41">
        <v>11000</v>
      </c>
      <c r="S180" s="41">
        <f t="shared" si="7"/>
        <v>7788.545454545454</v>
      </c>
    </row>
    <row r="181" spans="1:19">
      <c r="A181" s="5">
        <v>180</v>
      </c>
      <c r="B181" s="5">
        <v>2510062044</v>
      </c>
      <c r="C181" s="5" t="s">
        <v>2329</v>
      </c>
      <c r="D181" s="5" t="s">
        <v>810</v>
      </c>
      <c r="E181" s="5" t="s">
        <v>1414</v>
      </c>
      <c r="F181" s="5" t="s">
        <v>457</v>
      </c>
      <c r="G181" s="5" t="s">
        <v>52</v>
      </c>
      <c r="H181" s="5" t="s">
        <v>2328</v>
      </c>
      <c r="I181" s="5">
        <v>202501595</v>
      </c>
      <c r="J181" s="5"/>
      <c r="K181" s="6">
        <v>45940</v>
      </c>
      <c r="L181" s="6">
        <v>45945</v>
      </c>
      <c r="M181" s="42" t="s">
        <v>53</v>
      </c>
      <c r="N181" s="42" t="s">
        <v>54</v>
      </c>
      <c r="O181" s="42" t="s">
        <v>41</v>
      </c>
      <c r="P181" s="30">
        <f t="shared" si="9"/>
        <v>5</v>
      </c>
      <c r="Q181" s="41">
        <v>3211.4545454545455</v>
      </c>
      <c r="R181" s="41">
        <v>5200</v>
      </c>
      <c r="S181" s="41">
        <f t="shared" si="7"/>
        <v>1988.5454545454545</v>
      </c>
    </row>
    <row r="182" spans="1:19">
      <c r="A182" s="5">
        <v>181</v>
      </c>
      <c r="B182" s="5">
        <v>2510102944</v>
      </c>
      <c r="C182" s="5" t="s">
        <v>2330</v>
      </c>
      <c r="D182" s="5" t="s">
        <v>1475</v>
      </c>
      <c r="E182" s="5" t="s">
        <v>1476</v>
      </c>
      <c r="F182" s="5" t="s">
        <v>362</v>
      </c>
      <c r="G182" s="5" t="s">
        <v>43</v>
      </c>
      <c r="H182" s="5" t="s">
        <v>2328</v>
      </c>
      <c r="I182" s="5">
        <v>202501596</v>
      </c>
      <c r="J182" s="5"/>
      <c r="K182" s="6">
        <v>45940</v>
      </c>
      <c r="L182" s="6">
        <v>45945</v>
      </c>
      <c r="M182" s="42" t="s">
        <v>53</v>
      </c>
      <c r="N182" s="42" t="s">
        <v>54</v>
      </c>
      <c r="O182" s="42" t="s">
        <v>41</v>
      </c>
      <c r="P182" s="30">
        <f t="shared" si="9"/>
        <v>5</v>
      </c>
      <c r="Q182" s="41">
        <v>3211.4545454545455</v>
      </c>
      <c r="R182" s="41">
        <v>10500</v>
      </c>
      <c r="S182" s="41">
        <f t="shared" si="7"/>
        <v>7288.545454545454</v>
      </c>
    </row>
    <row r="183" spans="1:19">
      <c r="A183" s="5">
        <v>182</v>
      </c>
      <c r="B183" s="5">
        <v>2510102948</v>
      </c>
      <c r="C183" s="5" t="s">
        <v>2331</v>
      </c>
      <c r="D183" s="5" t="s">
        <v>309</v>
      </c>
      <c r="E183" s="5" t="s">
        <v>1597</v>
      </c>
      <c r="F183" s="5" t="s">
        <v>51</v>
      </c>
      <c r="G183" s="5" t="s">
        <v>52</v>
      </c>
      <c r="H183" s="5" t="s">
        <v>2328</v>
      </c>
      <c r="I183" s="5">
        <v>202501597</v>
      </c>
      <c r="J183" s="5"/>
      <c r="K183" s="6">
        <v>45940</v>
      </c>
      <c r="L183" s="6">
        <v>45945</v>
      </c>
      <c r="M183" s="42" t="s">
        <v>53</v>
      </c>
      <c r="N183" s="42" t="s">
        <v>54</v>
      </c>
      <c r="O183" s="42" t="s">
        <v>41</v>
      </c>
      <c r="P183" s="30">
        <f t="shared" si="9"/>
        <v>5</v>
      </c>
      <c r="Q183" s="41">
        <v>3211.4545454545455</v>
      </c>
      <c r="R183" s="41">
        <v>5500</v>
      </c>
      <c r="S183" s="41">
        <f t="shared" si="7"/>
        <v>2288.5454545454545</v>
      </c>
    </row>
    <row r="184" spans="1:19">
      <c r="A184" s="5">
        <v>183</v>
      </c>
      <c r="B184" s="5">
        <v>2510120666</v>
      </c>
      <c r="C184" s="5" t="s">
        <v>2332</v>
      </c>
      <c r="D184" s="5" t="s">
        <v>40</v>
      </c>
      <c r="E184" s="5" t="s">
        <v>41</v>
      </c>
      <c r="F184" s="5" t="s">
        <v>42</v>
      </c>
      <c r="G184" s="5" t="s">
        <v>43</v>
      </c>
      <c r="H184" s="5" t="s">
        <v>2328</v>
      </c>
      <c r="I184" s="5">
        <v>202501598</v>
      </c>
      <c r="J184" s="5"/>
      <c r="K184" s="6">
        <v>45942</v>
      </c>
      <c r="L184" s="6">
        <v>45945</v>
      </c>
      <c r="M184" s="42" t="s">
        <v>53</v>
      </c>
      <c r="N184" s="42" t="s">
        <v>54</v>
      </c>
      <c r="O184" s="42" t="s">
        <v>41</v>
      </c>
      <c r="P184" s="30">
        <f t="shared" si="9"/>
        <v>3</v>
      </c>
      <c r="Q184" s="41">
        <v>3211.4545454545455</v>
      </c>
      <c r="R184" s="41">
        <v>14500</v>
      </c>
      <c r="S184" s="41">
        <f t="shared" si="7"/>
        <v>11288.545454545454</v>
      </c>
    </row>
    <row r="185" spans="1:19">
      <c r="A185" s="5">
        <v>184</v>
      </c>
      <c r="B185" s="5">
        <v>2510102959</v>
      </c>
      <c r="C185" s="5" t="s">
        <v>2333</v>
      </c>
      <c r="D185" s="5" t="s">
        <v>77</v>
      </c>
      <c r="E185" s="5" t="s">
        <v>1874</v>
      </c>
      <c r="F185" s="5" t="s">
        <v>79</v>
      </c>
      <c r="G185" s="5" t="s">
        <v>52</v>
      </c>
      <c r="H185" s="5" t="s">
        <v>2328</v>
      </c>
      <c r="I185" s="5">
        <v>202501599</v>
      </c>
      <c r="J185" s="5"/>
      <c r="K185" s="6">
        <v>45940</v>
      </c>
      <c r="L185" s="6">
        <v>45945</v>
      </c>
      <c r="M185" s="42" t="s">
        <v>53</v>
      </c>
      <c r="N185" s="42" t="s">
        <v>54</v>
      </c>
      <c r="O185" s="42" t="s">
        <v>41</v>
      </c>
      <c r="P185" s="30">
        <f t="shared" si="9"/>
        <v>5</v>
      </c>
      <c r="Q185" s="41">
        <v>3211.4545454545455</v>
      </c>
      <c r="R185" s="41">
        <v>5500</v>
      </c>
      <c r="S185" s="41">
        <f t="shared" si="7"/>
        <v>2288.5454545454545</v>
      </c>
    </row>
    <row r="186" spans="1:19">
      <c r="A186" s="5">
        <v>185</v>
      </c>
      <c r="B186" s="5">
        <v>2510102963</v>
      </c>
      <c r="C186" s="5" t="s">
        <v>2334</v>
      </c>
      <c r="D186" s="5" t="s">
        <v>440</v>
      </c>
      <c r="E186" s="5" t="s">
        <v>1850</v>
      </c>
      <c r="F186" s="5" t="s">
        <v>169</v>
      </c>
      <c r="G186" s="5" t="s">
        <v>52</v>
      </c>
      <c r="H186" s="5" t="s">
        <v>2328</v>
      </c>
      <c r="I186" s="5">
        <v>202501600</v>
      </c>
      <c r="J186" s="5"/>
      <c r="K186" s="6">
        <v>45940</v>
      </c>
      <c r="L186" s="6">
        <v>45945</v>
      </c>
      <c r="M186" s="42" t="s">
        <v>53</v>
      </c>
      <c r="N186" s="42" t="s">
        <v>54</v>
      </c>
      <c r="O186" s="42" t="s">
        <v>41</v>
      </c>
      <c r="P186" s="30">
        <f t="shared" si="9"/>
        <v>5</v>
      </c>
      <c r="Q186" s="41">
        <v>3211.4545454545455</v>
      </c>
      <c r="R186" s="41">
        <v>5500</v>
      </c>
      <c r="S186" s="41">
        <f t="shared" si="7"/>
        <v>2288.5454545454545</v>
      </c>
    </row>
    <row r="187" spans="1:19">
      <c r="A187" s="5">
        <v>186</v>
      </c>
      <c r="B187" s="5">
        <v>2510102968</v>
      </c>
      <c r="C187" s="5" t="s">
        <v>2335</v>
      </c>
      <c r="D187" s="5" t="s">
        <v>440</v>
      </c>
      <c r="E187" s="5" t="s">
        <v>1850</v>
      </c>
      <c r="F187" s="5" t="s">
        <v>169</v>
      </c>
      <c r="G187" s="5" t="s">
        <v>52</v>
      </c>
      <c r="H187" s="5" t="s">
        <v>2328</v>
      </c>
      <c r="I187" s="5">
        <v>202501601</v>
      </c>
      <c r="J187" s="5"/>
      <c r="K187" s="6">
        <v>45940</v>
      </c>
      <c r="L187" s="6">
        <v>45945</v>
      </c>
      <c r="M187" s="42" t="s">
        <v>53</v>
      </c>
      <c r="N187" s="42" t="s">
        <v>54</v>
      </c>
      <c r="O187" s="42" t="s">
        <v>41</v>
      </c>
      <c r="P187" s="30">
        <f t="shared" si="9"/>
        <v>5</v>
      </c>
      <c r="Q187" s="41">
        <v>3211.4545454545455</v>
      </c>
      <c r="R187" s="41">
        <v>5500</v>
      </c>
      <c r="S187" s="41">
        <f t="shared" si="7"/>
        <v>2288.5454545454545</v>
      </c>
    </row>
    <row r="188" spans="1:19">
      <c r="A188" s="5">
        <v>187</v>
      </c>
      <c r="B188" s="5">
        <v>2510102975</v>
      </c>
      <c r="C188" s="5" t="s">
        <v>2336</v>
      </c>
      <c r="D188" s="5" t="s">
        <v>376</v>
      </c>
      <c r="E188" s="5" t="s">
        <v>335</v>
      </c>
      <c r="F188" s="5" t="s">
        <v>71</v>
      </c>
      <c r="G188" s="5" t="s">
        <v>52</v>
      </c>
      <c r="H188" s="5" t="s">
        <v>2328</v>
      </c>
      <c r="I188" s="5">
        <v>202501602</v>
      </c>
      <c r="J188" s="5"/>
      <c r="K188" s="6">
        <v>45940</v>
      </c>
      <c r="L188" s="6">
        <v>45945</v>
      </c>
      <c r="M188" s="42" t="s">
        <v>53</v>
      </c>
      <c r="N188" s="42" t="s">
        <v>54</v>
      </c>
      <c r="O188" s="42" t="s">
        <v>41</v>
      </c>
      <c r="P188" s="30">
        <f t="shared" si="9"/>
        <v>5</v>
      </c>
      <c r="Q188" s="41">
        <v>3211.4545454545455</v>
      </c>
      <c r="R188" s="41">
        <v>5950</v>
      </c>
      <c r="S188" s="41">
        <f t="shared" si="7"/>
        <v>2738.5454545454545</v>
      </c>
    </row>
    <row r="189" spans="1:19">
      <c r="A189" s="5">
        <v>188</v>
      </c>
      <c r="B189" s="5">
        <v>2510110849</v>
      </c>
      <c r="C189" s="5" t="s">
        <v>2337</v>
      </c>
      <c r="D189" s="5" t="s">
        <v>293</v>
      </c>
      <c r="E189" s="5" t="s">
        <v>2131</v>
      </c>
      <c r="F189" s="5" t="s">
        <v>51</v>
      </c>
      <c r="G189" s="5" t="s">
        <v>43</v>
      </c>
      <c r="H189" s="5" t="s">
        <v>2328</v>
      </c>
      <c r="I189" s="5">
        <v>202501603</v>
      </c>
      <c r="J189" s="5"/>
      <c r="K189" s="6">
        <v>45941</v>
      </c>
      <c r="L189" s="6">
        <v>45945</v>
      </c>
      <c r="M189" s="42" t="s">
        <v>53</v>
      </c>
      <c r="N189" s="42" t="s">
        <v>54</v>
      </c>
      <c r="O189" s="42" t="s">
        <v>41</v>
      </c>
      <c r="P189" s="30">
        <f t="shared" si="9"/>
        <v>4</v>
      </c>
      <c r="Q189" s="41">
        <v>3211.4545454545455</v>
      </c>
      <c r="R189" s="41">
        <v>11000</v>
      </c>
      <c r="S189" s="41">
        <f t="shared" si="7"/>
        <v>7788.545454545454</v>
      </c>
    </row>
    <row r="190" spans="1:19">
      <c r="A190" s="5">
        <v>189</v>
      </c>
      <c r="B190" s="9">
        <v>2510110856</v>
      </c>
      <c r="C190" s="9" t="s">
        <v>2338</v>
      </c>
      <c r="D190" s="9" t="s">
        <v>511</v>
      </c>
      <c r="E190" s="9" t="s">
        <v>2339</v>
      </c>
      <c r="F190" s="9" t="s">
        <v>79</v>
      </c>
      <c r="G190" s="9" t="s">
        <v>52</v>
      </c>
      <c r="H190" s="9" t="s">
        <v>2328</v>
      </c>
      <c r="I190" s="9">
        <v>202501604</v>
      </c>
      <c r="J190" s="9"/>
      <c r="K190" s="10">
        <v>45941</v>
      </c>
      <c r="L190" s="10">
        <v>45945</v>
      </c>
      <c r="M190" s="54" t="s">
        <v>45</v>
      </c>
      <c r="N190" s="54" t="s">
        <v>94</v>
      </c>
      <c r="O190" s="54" t="s">
        <v>1667</v>
      </c>
      <c r="P190" s="32">
        <f t="shared" si="9"/>
        <v>4</v>
      </c>
      <c r="Q190" s="11">
        <v>3211.4545454545455</v>
      </c>
      <c r="R190" s="11">
        <v>5500</v>
      </c>
      <c r="S190" s="11">
        <f t="shared" si="7"/>
        <v>2288.5454545454545</v>
      </c>
    </row>
    <row r="191" spans="1:19">
      <c r="A191" s="5">
        <v>190</v>
      </c>
      <c r="B191" s="5">
        <v>2510110860</v>
      </c>
      <c r="C191" s="5" t="s">
        <v>2340</v>
      </c>
      <c r="D191" s="5" t="s">
        <v>908</v>
      </c>
      <c r="E191" s="5" t="s">
        <v>1478</v>
      </c>
      <c r="F191" s="5" t="s">
        <v>362</v>
      </c>
      <c r="G191" s="5" t="s">
        <v>52</v>
      </c>
      <c r="H191" s="5" t="s">
        <v>2328</v>
      </c>
      <c r="I191" s="5">
        <v>202501605</v>
      </c>
      <c r="J191" s="5"/>
      <c r="K191" s="6">
        <v>45941</v>
      </c>
      <c r="L191" s="6">
        <v>45945</v>
      </c>
      <c r="M191" s="42" t="s">
        <v>53</v>
      </c>
      <c r="N191" s="42" t="s">
        <v>54</v>
      </c>
      <c r="O191" s="42" t="s">
        <v>41</v>
      </c>
      <c r="P191" s="30">
        <f t="shared" si="9"/>
        <v>4</v>
      </c>
      <c r="Q191" s="41">
        <v>3211.4545454545455</v>
      </c>
      <c r="R191" s="41">
        <v>5500</v>
      </c>
      <c r="S191" s="41">
        <f t="shared" si="7"/>
        <v>2288.5454545454545</v>
      </c>
    </row>
    <row r="192" spans="1:19">
      <c r="A192" s="5">
        <v>191</v>
      </c>
      <c r="B192" s="5">
        <v>2510111870</v>
      </c>
      <c r="C192" s="5" t="s">
        <v>2341</v>
      </c>
      <c r="D192" s="5" t="s">
        <v>810</v>
      </c>
      <c r="E192" s="5" t="s">
        <v>1400</v>
      </c>
      <c r="F192" s="5" t="s">
        <v>457</v>
      </c>
      <c r="G192" s="5" t="s">
        <v>52</v>
      </c>
      <c r="H192" s="5" t="s">
        <v>2328</v>
      </c>
      <c r="I192" s="5">
        <v>202501606</v>
      </c>
      <c r="J192" s="5"/>
      <c r="K192" s="6">
        <v>45941</v>
      </c>
      <c r="L192" s="6">
        <v>45945</v>
      </c>
      <c r="M192" s="42" t="s">
        <v>53</v>
      </c>
      <c r="N192" s="42" t="s">
        <v>54</v>
      </c>
      <c r="O192" s="42" t="s">
        <v>41</v>
      </c>
      <c r="P192" s="30">
        <f t="shared" si="9"/>
        <v>4</v>
      </c>
      <c r="Q192" s="41">
        <v>3211.4545454545455</v>
      </c>
      <c r="R192" s="41">
        <v>5200</v>
      </c>
      <c r="S192" s="41">
        <f t="shared" si="7"/>
        <v>1988.5454545454545</v>
      </c>
    </row>
    <row r="193" spans="1:19">
      <c r="A193" s="5">
        <v>192</v>
      </c>
      <c r="B193" s="5">
        <v>2510111894</v>
      </c>
      <c r="C193" s="5" t="s">
        <v>2342</v>
      </c>
      <c r="D193" s="5" t="s">
        <v>321</v>
      </c>
      <c r="E193" s="5" t="s">
        <v>322</v>
      </c>
      <c r="F193" s="5" t="s">
        <v>202</v>
      </c>
      <c r="G193" s="5" t="s">
        <v>75</v>
      </c>
      <c r="H193" s="5" t="s">
        <v>2328</v>
      </c>
      <c r="I193" s="5">
        <v>202501607</v>
      </c>
      <c r="J193" s="5"/>
      <c r="K193" s="6">
        <v>45941</v>
      </c>
      <c r="L193" s="6">
        <v>45945</v>
      </c>
      <c r="M193" s="42" t="s">
        <v>53</v>
      </c>
      <c r="N193" s="42" t="s">
        <v>54</v>
      </c>
      <c r="O193" s="42" t="s">
        <v>41</v>
      </c>
      <c r="P193" s="30">
        <f t="shared" si="9"/>
        <v>4</v>
      </c>
      <c r="Q193" s="41">
        <v>3211.4545454545455</v>
      </c>
      <c r="R193" s="41">
        <v>4900</v>
      </c>
      <c r="S193" s="41">
        <f t="shared" si="7"/>
        <v>1688.5454545454545</v>
      </c>
    </row>
    <row r="194" spans="1:19">
      <c r="A194" s="5">
        <v>193</v>
      </c>
      <c r="B194" s="5">
        <v>2510111907</v>
      </c>
      <c r="C194" s="5" t="s">
        <v>2343</v>
      </c>
      <c r="D194" s="5" t="s">
        <v>77</v>
      </c>
      <c r="E194" s="5" t="s">
        <v>1874</v>
      </c>
      <c r="F194" s="5" t="s">
        <v>79</v>
      </c>
      <c r="G194" s="5" t="s">
        <v>52</v>
      </c>
      <c r="H194" s="5" t="s">
        <v>2328</v>
      </c>
      <c r="I194" s="5">
        <v>202501608</v>
      </c>
      <c r="J194" s="5"/>
      <c r="K194" s="6">
        <v>45941</v>
      </c>
      <c r="L194" s="6">
        <v>45945</v>
      </c>
      <c r="M194" s="42" t="s">
        <v>53</v>
      </c>
      <c r="N194" s="42" t="s">
        <v>54</v>
      </c>
      <c r="O194" s="42" t="s">
        <v>41</v>
      </c>
      <c r="P194" s="30">
        <f t="shared" si="9"/>
        <v>4</v>
      </c>
      <c r="Q194" s="41">
        <v>3211.4545454545455</v>
      </c>
      <c r="R194" s="41">
        <v>5500</v>
      </c>
      <c r="S194" s="41">
        <f t="shared" ref="S194:S257" si="10">R194-Q194</f>
        <v>2288.5454545454545</v>
      </c>
    </row>
    <row r="195" spans="1:19">
      <c r="A195" s="5">
        <v>194</v>
      </c>
      <c r="B195" s="5">
        <v>2510111915</v>
      </c>
      <c r="C195" s="5" t="s">
        <v>2344</v>
      </c>
      <c r="D195" s="5" t="s">
        <v>309</v>
      </c>
      <c r="E195" s="5" t="s">
        <v>310</v>
      </c>
      <c r="F195" s="5" t="s">
        <v>51</v>
      </c>
      <c r="G195" s="5" t="s">
        <v>52</v>
      </c>
      <c r="H195" s="5" t="s">
        <v>2328</v>
      </c>
      <c r="I195" s="5">
        <v>202501609</v>
      </c>
      <c r="J195" s="5"/>
      <c r="K195" s="6">
        <v>45941</v>
      </c>
      <c r="L195" s="6">
        <v>45945</v>
      </c>
      <c r="M195" s="42" t="s">
        <v>53</v>
      </c>
      <c r="N195" s="42" t="s">
        <v>54</v>
      </c>
      <c r="O195" s="42" t="s">
        <v>41</v>
      </c>
      <c r="P195" s="30">
        <f t="shared" si="9"/>
        <v>4</v>
      </c>
      <c r="Q195" s="41">
        <v>3211.4545454545455</v>
      </c>
      <c r="R195" s="41">
        <v>5500</v>
      </c>
      <c r="S195" s="41">
        <f t="shared" si="10"/>
        <v>2288.5454545454545</v>
      </c>
    </row>
    <row r="196" spans="1:19">
      <c r="A196" s="5">
        <v>195</v>
      </c>
      <c r="B196" s="5">
        <v>2510112881</v>
      </c>
      <c r="C196" s="5" t="s">
        <v>2345</v>
      </c>
      <c r="D196" s="5" t="s">
        <v>89</v>
      </c>
      <c r="E196" s="5" t="s">
        <v>90</v>
      </c>
      <c r="F196" s="5" t="s">
        <v>79</v>
      </c>
      <c r="G196" s="5" t="s">
        <v>52</v>
      </c>
      <c r="H196" s="5" t="s">
        <v>2328</v>
      </c>
      <c r="I196" s="5">
        <v>202501610</v>
      </c>
      <c r="J196" s="5"/>
      <c r="K196" s="6">
        <v>45941</v>
      </c>
      <c r="L196" s="6">
        <v>45945</v>
      </c>
      <c r="M196" s="42" t="s">
        <v>53</v>
      </c>
      <c r="N196" s="42" t="s">
        <v>54</v>
      </c>
      <c r="O196" s="42" t="s">
        <v>41</v>
      </c>
      <c r="P196" s="30">
        <f t="shared" si="9"/>
        <v>4</v>
      </c>
      <c r="Q196" s="41">
        <v>3211.4545454545455</v>
      </c>
      <c r="R196" s="41">
        <v>5500</v>
      </c>
      <c r="S196" s="41">
        <f t="shared" si="10"/>
        <v>2288.5454545454545</v>
      </c>
    </row>
    <row r="197" spans="1:19">
      <c r="A197" s="5">
        <v>196</v>
      </c>
      <c r="B197" s="13">
        <v>2510112886</v>
      </c>
      <c r="C197" s="13" t="s">
        <v>2346</v>
      </c>
      <c r="D197" s="13" t="s">
        <v>218</v>
      </c>
      <c r="E197" s="13" t="s">
        <v>2347</v>
      </c>
      <c r="F197" s="13" t="s">
        <v>51</v>
      </c>
      <c r="G197" s="13" t="s">
        <v>52</v>
      </c>
      <c r="H197" s="13" t="s">
        <v>2328</v>
      </c>
      <c r="I197" s="13">
        <v>202501611</v>
      </c>
      <c r="J197" s="13"/>
      <c r="K197" s="14">
        <v>45941</v>
      </c>
      <c r="L197" s="14">
        <v>45945</v>
      </c>
      <c r="M197" s="118" t="s">
        <v>45</v>
      </c>
      <c r="N197" s="118" t="s">
        <v>46</v>
      </c>
      <c r="O197" s="118" t="s">
        <v>1603</v>
      </c>
      <c r="P197" s="35">
        <f t="shared" si="9"/>
        <v>4</v>
      </c>
      <c r="Q197" s="15">
        <v>3211.4545454545455</v>
      </c>
      <c r="R197" s="15">
        <v>5500</v>
      </c>
      <c r="S197" s="15">
        <f t="shared" si="10"/>
        <v>2288.5454545454545</v>
      </c>
    </row>
    <row r="198" spans="1:19">
      <c r="A198" s="5">
        <v>197</v>
      </c>
      <c r="B198" s="5">
        <v>2510112890</v>
      </c>
      <c r="C198" s="5" t="s">
        <v>2348</v>
      </c>
      <c r="D198" s="5" t="s">
        <v>855</v>
      </c>
      <c r="E198" s="5" t="s">
        <v>2068</v>
      </c>
      <c r="F198" s="5" t="s">
        <v>51</v>
      </c>
      <c r="G198" s="5" t="s">
        <v>52</v>
      </c>
      <c r="H198" s="5" t="s">
        <v>2328</v>
      </c>
      <c r="I198" s="5">
        <v>202501612</v>
      </c>
      <c r="J198" s="5"/>
      <c r="K198" s="6">
        <v>45941</v>
      </c>
      <c r="L198" s="6">
        <v>45945</v>
      </c>
      <c r="M198" s="42" t="s">
        <v>53</v>
      </c>
      <c r="N198" s="42" t="s">
        <v>54</v>
      </c>
      <c r="O198" s="42" t="s">
        <v>41</v>
      </c>
      <c r="P198" s="30">
        <f t="shared" si="9"/>
        <v>4</v>
      </c>
      <c r="Q198" s="41">
        <v>3211.4545454545455</v>
      </c>
      <c r="R198" s="41">
        <v>5500</v>
      </c>
      <c r="S198" s="41">
        <f t="shared" si="10"/>
        <v>2288.5454545454545</v>
      </c>
    </row>
    <row r="199" spans="1:19">
      <c r="A199" s="5">
        <v>198</v>
      </c>
      <c r="B199" s="5">
        <v>2510112983</v>
      </c>
      <c r="C199" s="5" t="s">
        <v>2349</v>
      </c>
      <c r="D199" s="5" t="s">
        <v>2350</v>
      </c>
      <c r="E199" s="5" t="s">
        <v>2351</v>
      </c>
      <c r="F199" s="5" t="s">
        <v>66</v>
      </c>
      <c r="G199" s="5" t="s">
        <v>52</v>
      </c>
      <c r="H199" s="5" t="s">
        <v>2328</v>
      </c>
      <c r="I199" s="5">
        <v>202501613</v>
      </c>
      <c r="J199" s="5"/>
      <c r="K199" s="6">
        <v>45941</v>
      </c>
      <c r="L199" s="6">
        <v>45945</v>
      </c>
      <c r="M199" s="42" t="s">
        <v>53</v>
      </c>
      <c r="N199" s="42" t="s">
        <v>54</v>
      </c>
      <c r="O199" s="42" t="s">
        <v>41</v>
      </c>
      <c r="P199" s="30">
        <f t="shared" si="9"/>
        <v>4</v>
      </c>
      <c r="Q199" s="41">
        <v>3211.4545454545455</v>
      </c>
      <c r="R199" s="41">
        <v>5000</v>
      </c>
      <c r="S199" s="41">
        <f t="shared" si="10"/>
        <v>1788.5454545454545</v>
      </c>
    </row>
    <row r="200" spans="1:19">
      <c r="A200" s="5">
        <v>199</v>
      </c>
      <c r="B200" s="5">
        <v>2510112920</v>
      </c>
      <c r="C200" s="5" t="s">
        <v>2352</v>
      </c>
      <c r="D200" s="5" t="s">
        <v>2353</v>
      </c>
      <c r="E200" s="5" t="s">
        <v>2354</v>
      </c>
      <c r="F200" s="5" t="s">
        <v>109</v>
      </c>
      <c r="G200" s="5" t="s">
        <v>75</v>
      </c>
      <c r="H200" s="5" t="s">
        <v>2328</v>
      </c>
      <c r="I200" s="5">
        <v>202501614</v>
      </c>
      <c r="J200" s="5"/>
      <c r="K200" s="6">
        <v>45941</v>
      </c>
      <c r="L200" s="6">
        <v>45945</v>
      </c>
      <c r="M200" s="42" t="s">
        <v>53</v>
      </c>
      <c r="N200" s="42" t="s">
        <v>54</v>
      </c>
      <c r="O200" s="42" t="s">
        <v>41</v>
      </c>
      <c r="P200" s="30">
        <f t="shared" si="9"/>
        <v>4</v>
      </c>
      <c r="Q200" s="41">
        <v>3211.4545454545455</v>
      </c>
      <c r="R200" s="41">
        <v>4500</v>
      </c>
      <c r="S200" s="41">
        <f t="shared" si="10"/>
        <v>1288.5454545454545</v>
      </c>
    </row>
    <row r="201" spans="1:19">
      <c r="A201" s="5">
        <v>200</v>
      </c>
      <c r="B201" s="5">
        <v>2510120966</v>
      </c>
      <c r="C201" s="5" t="s">
        <v>2355</v>
      </c>
      <c r="D201" s="5" t="s">
        <v>60</v>
      </c>
      <c r="E201" s="5" t="s">
        <v>1896</v>
      </c>
      <c r="F201" s="5" t="s">
        <v>62</v>
      </c>
      <c r="G201" s="5" t="s">
        <v>52</v>
      </c>
      <c r="H201" s="5" t="s">
        <v>2328</v>
      </c>
      <c r="I201" s="5">
        <v>202501615</v>
      </c>
      <c r="J201" s="5"/>
      <c r="K201" s="6">
        <v>45942</v>
      </c>
      <c r="L201" s="6">
        <v>45945</v>
      </c>
      <c r="M201" s="42" t="s">
        <v>53</v>
      </c>
      <c r="N201" s="42" t="s">
        <v>54</v>
      </c>
      <c r="O201" s="42" t="s">
        <v>41</v>
      </c>
      <c r="P201" s="30">
        <f t="shared" si="9"/>
        <v>3</v>
      </c>
      <c r="Q201" s="41">
        <v>3211.4545454545455</v>
      </c>
      <c r="R201" s="41">
        <v>6000</v>
      </c>
      <c r="S201" s="41">
        <f t="shared" si="10"/>
        <v>2788.5454545454545</v>
      </c>
    </row>
    <row r="202" spans="1:19">
      <c r="A202" s="5">
        <v>201</v>
      </c>
      <c r="B202" s="5">
        <v>2510120973</v>
      </c>
      <c r="C202" s="5" t="s">
        <v>2356</v>
      </c>
      <c r="D202" s="5" t="s">
        <v>249</v>
      </c>
      <c r="E202" s="5" t="s">
        <v>1763</v>
      </c>
      <c r="F202" s="5" t="s">
        <v>141</v>
      </c>
      <c r="G202" s="5" t="s">
        <v>190</v>
      </c>
      <c r="H202" s="5" t="s">
        <v>2328</v>
      </c>
      <c r="I202" s="5">
        <v>202501616</v>
      </c>
      <c r="J202" s="5"/>
      <c r="K202" s="6">
        <v>45942</v>
      </c>
      <c r="L202" s="6">
        <v>45945</v>
      </c>
      <c r="M202" s="42" t="s">
        <v>53</v>
      </c>
      <c r="N202" s="42" t="s">
        <v>54</v>
      </c>
      <c r="O202" s="42" t="s">
        <v>41</v>
      </c>
      <c r="P202" s="30">
        <f t="shared" si="9"/>
        <v>3</v>
      </c>
      <c r="Q202" s="41">
        <v>3211.4545454545455</v>
      </c>
      <c r="R202" s="41">
        <v>11000</v>
      </c>
      <c r="S202" s="41">
        <f t="shared" si="10"/>
        <v>7788.545454545454</v>
      </c>
    </row>
    <row r="203" spans="1:19">
      <c r="A203" s="5">
        <v>202</v>
      </c>
      <c r="B203" s="5">
        <v>2510120978</v>
      </c>
      <c r="C203" s="5" t="s">
        <v>2357</v>
      </c>
      <c r="D203" s="5" t="s">
        <v>293</v>
      </c>
      <c r="E203" s="5" t="s">
        <v>2131</v>
      </c>
      <c r="F203" s="5" t="s">
        <v>51</v>
      </c>
      <c r="G203" s="5" t="s">
        <v>52</v>
      </c>
      <c r="H203" s="5" t="s">
        <v>2328</v>
      </c>
      <c r="I203" s="5">
        <v>202501617</v>
      </c>
      <c r="J203" s="5"/>
      <c r="K203" s="6">
        <v>45942</v>
      </c>
      <c r="L203" s="6">
        <v>45945</v>
      </c>
      <c r="M203" s="42" t="s">
        <v>53</v>
      </c>
      <c r="N203" s="42" t="s">
        <v>54</v>
      </c>
      <c r="O203" s="42" t="s">
        <v>41</v>
      </c>
      <c r="P203" s="30">
        <f t="shared" si="9"/>
        <v>3</v>
      </c>
      <c r="Q203" s="41">
        <v>3211.4545454545455</v>
      </c>
      <c r="R203" s="41">
        <v>6000</v>
      </c>
      <c r="S203" s="41">
        <f t="shared" si="10"/>
        <v>2788.5454545454545</v>
      </c>
    </row>
    <row r="204" spans="1:19">
      <c r="A204" s="5">
        <v>203</v>
      </c>
      <c r="B204" s="5">
        <v>2510120983</v>
      </c>
      <c r="C204" s="5" t="s">
        <v>2358</v>
      </c>
      <c r="D204" s="5" t="s">
        <v>64</v>
      </c>
      <c r="E204" s="5" t="s">
        <v>1498</v>
      </c>
      <c r="F204" s="5" t="s">
        <v>66</v>
      </c>
      <c r="G204" s="5" t="s">
        <v>52</v>
      </c>
      <c r="H204" s="5" t="s">
        <v>2328</v>
      </c>
      <c r="I204" s="5">
        <v>202501618</v>
      </c>
      <c r="J204" s="5"/>
      <c r="K204" s="6">
        <v>45942</v>
      </c>
      <c r="L204" s="6">
        <v>45945</v>
      </c>
      <c r="M204" s="42" t="s">
        <v>53</v>
      </c>
      <c r="N204" s="42" t="s">
        <v>54</v>
      </c>
      <c r="O204" s="42" t="s">
        <v>41</v>
      </c>
      <c r="P204" s="30">
        <f t="shared" si="9"/>
        <v>3</v>
      </c>
      <c r="Q204" s="41">
        <v>3211.4545454545455</v>
      </c>
      <c r="R204" s="41">
        <v>5500</v>
      </c>
      <c r="S204" s="41">
        <f t="shared" si="10"/>
        <v>2288.5454545454545</v>
      </c>
    </row>
    <row r="205" spans="1:19">
      <c r="A205" s="5">
        <v>204</v>
      </c>
      <c r="B205" s="5">
        <v>2510120990</v>
      </c>
      <c r="C205" s="5" t="s">
        <v>2359</v>
      </c>
      <c r="D205" s="5" t="s">
        <v>511</v>
      </c>
      <c r="E205" s="5" t="s">
        <v>2339</v>
      </c>
      <c r="F205" s="5" t="s">
        <v>79</v>
      </c>
      <c r="G205" s="5" t="s">
        <v>52</v>
      </c>
      <c r="H205" s="5" t="s">
        <v>2328</v>
      </c>
      <c r="I205" s="5">
        <v>202501619</v>
      </c>
      <c r="J205" s="5"/>
      <c r="K205" s="6">
        <v>45942</v>
      </c>
      <c r="L205" s="6">
        <v>45945</v>
      </c>
      <c r="M205" s="42" t="s">
        <v>53</v>
      </c>
      <c r="N205" s="42" t="s">
        <v>54</v>
      </c>
      <c r="O205" s="42" t="s">
        <v>41</v>
      </c>
      <c r="P205" s="30">
        <f t="shared" si="9"/>
        <v>3</v>
      </c>
      <c r="Q205" s="41">
        <v>3211.4545454545455</v>
      </c>
      <c r="R205" s="41">
        <v>5500</v>
      </c>
      <c r="S205" s="41">
        <f t="shared" si="10"/>
        <v>2288.5454545454545</v>
      </c>
    </row>
    <row r="206" spans="1:19">
      <c r="A206" s="5">
        <v>205</v>
      </c>
      <c r="B206" s="9">
        <v>2510120996</v>
      </c>
      <c r="C206" s="9" t="s">
        <v>2360</v>
      </c>
      <c r="D206" s="9" t="s">
        <v>1209</v>
      </c>
      <c r="E206" s="9" t="s">
        <v>1210</v>
      </c>
      <c r="F206" s="9" t="s">
        <v>51</v>
      </c>
      <c r="G206" s="9" t="s">
        <v>52</v>
      </c>
      <c r="H206" s="9" t="s">
        <v>2328</v>
      </c>
      <c r="I206" s="9">
        <v>202501620</v>
      </c>
      <c r="J206" s="9"/>
      <c r="K206" s="10">
        <v>45942</v>
      </c>
      <c r="L206" s="10">
        <v>45945</v>
      </c>
      <c r="M206" s="54" t="s">
        <v>45</v>
      </c>
      <c r="N206" s="54" t="s">
        <v>94</v>
      </c>
      <c r="O206" s="54" t="s">
        <v>1667</v>
      </c>
      <c r="P206" s="32">
        <f t="shared" si="9"/>
        <v>3</v>
      </c>
      <c r="Q206" s="11">
        <v>3211.4545454545455</v>
      </c>
      <c r="R206" s="11">
        <v>5500</v>
      </c>
      <c r="S206" s="11">
        <f t="shared" si="10"/>
        <v>2288.5454545454545</v>
      </c>
    </row>
    <row r="207" spans="1:19">
      <c r="A207" s="5">
        <v>206</v>
      </c>
      <c r="B207" s="5">
        <v>2510121003</v>
      </c>
      <c r="C207" s="5" t="s">
        <v>2361</v>
      </c>
      <c r="D207" s="5" t="s">
        <v>1662</v>
      </c>
      <c r="E207" s="5" t="s">
        <v>2009</v>
      </c>
      <c r="F207" s="5" t="s">
        <v>58</v>
      </c>
      <c r="G207" s="5" t="s">
        <v>52</v>
      </c>
      <c r="H207" s="5" t="s">
        <v>2328</v>
      </c>
      <c r="I207" s="5">
        <v>202501621</v>
      </c>
      <c r="J207" s="5"/>
      <c r="K207" s="6">
        <v>45942</v>
      </c>
      <c r="L207" s="6">
        <v>45945</v>
      </c>
      <c r="M207" s="42" t="s">
        <v>53</v>
      </c>
      <c r="N207" s="42" t="s">
        <v>54</v>
      </c>
      <c r="O207" s="42" t="s">
        <v>41</v>
      </c>
      <c r="P207" s="30">
        <f t="shared" si="9"/>
        <v>3</v>
      </c>
      <c r="Q207" s="41">
        <v>3211.4545454545455</v>
      </c>
      <c r="R207" s="41">
        <v>5500</v>
      </c>
      <c r="S207" s="41">
        <f t="shared" si="10"/>
        <v>2288.5454545454545</v>
      </c>
    </row>
    <row r="208" spans="1:19">
      <c r="A208" s="5">
        <v>207</v>
      </c>
      <c r="B208" s="5" t="s">
        <v>1239</v>
      </c>
      <c r="C208" s="5"/>
      <c r="D208" s="5"/>
      <c r="E208" s="5"/>
      <c r="F208" s="5"/>
      <c r="G208" s="5" t="s">
        <v>52</v>
      </c>
      <c r="H208" s="5"/>
      <c r="I208" s="5"/>
      <c r="J208" s="5"/>
      <c r="K208" s="5"/>
      <c r="L208" s="5"/>
      <c r="M208" s="5"/>
      <c r="N208" s="5"/>
      <c r="O208" s="5"/>
      <c r="P208" s="5"/>
      <c r="Q208" s="41">
        <v>3211.4545454545455</v>
      </c>
      <c r="R208" s="41">
        <v>0</v>
      </c>
      <c r="S208" s="41">
        <f t="shared" si="10"/>
        <v>-3211.4545454545455</v>
      </c>
    </row>
    <row r="209" spans="1:19">
      <c r="A209" s="5">
        <v>208</v>
      </c>
      <c r="B209" s="5" t="s">
        <v>1240</v>
      </c>
      <c r="C209" s="5"/>
      <c r="D209" s="5"/>
      <c r="E209" s="5"/>
      <c r="F209" s="5"/>
      <c r="G209" s="5" t="s">
        <v>52</v>
      </c>
      <c r="H209" s="5"/>
      <c r="I209" s="5"/>
      <c r="J209" s="5"/>
      <c r="K209" s="5"/>
      <c r="L209" s="5"/>
      <c r="M209" s="5"/>
      <c r="N209" s="5"/>
      <c r="O209" s="5"/>
      <c r="P209" s="5"/>
      <c r="Q209" s="41">
        <v>3211.4545454545455</v>
      </c>
      <c r="R209" s="41">
        <v>0</v>
      </c>
      <c r="S209" s="41">
        <f t="shared" si="10"/>
        <v>-3211.4545454545455</v>
      </c>
    </row>
    <row r="210" spans="1:19">
      <c r="A210" s="5">
        <v>209</v>
      </c>
      <c r="B210" s="22">
        <v>2509303186</v>
      </c>
      <c r="C210" s="22" t="s">
        <v>2164</v>
      </c>
      <c r="D210" s="22" t="s">
        <v>437</v>
      </c>
      <c r="E210" s="22" t="s">
        <v>1445</v>
      </c>
      <c r="F210" s="22" t="s">
        <v>71</v>
      </c>
      <c r="G210" s="22" t="s">
        <v>52</v>
      </c>
      <c r="H210" s="22" t="s">
        <v>2362</v>
      </c>
      <c r="I210" s="22" t="s">
        <v>2363</v>
      </c>
      <c r="J210" s="22"/>
      <c r="K210" s="23">
        <v>45944</v>
      </c>
      <c r="L210" s="23">
        <v>45947</v>
      </c>
      <c r="M210" s="50" t="s">
        <v>53</v>
      </c>
      <c r="N210" s="50" t="s">
        <v>54</v>
      </c>
      <c r="O210" s="50" t="s">
        <v>41</v>
      </c>
      <c r="P210" s="34">
        <f t="shared" ref="P210:P233" si="11">L210-K210</f>
        <v>3</v>
      </c>
      <c r="Q210" s="24">
        <v>3642.4475524475524</v>
      </c>
      <c r="R210" s="24">
        <v>0</v>
      </c>
      <c r="S210" s="24">
        <f t="shared" si="10"/>
        <v>-3642.4475524475524</v>
      </c>
    </row>
    <row r="211" spans="1:19">
      <c r="A211" s="5">
        <v>210</v>
      </c>
      <c r="B211" s="22">
        <v>2510050414</v>
      </c>
      <c r="C211" s="22" t="s">
        <v>2230</v>
      </c>
      <c r="D211" s="22" t="s">
        <v>83</v>
      </c>
      <c r="E211" s="22" t="s">
        <v>84</v>
      </c>
      <c r="F211" s="22" t="s">
        <v>62</v>
      </c>
      <c r="G211" s="22" t="s">
        <v>52</v>
      </c>
      <c r="H211" s="22" t="s">
        <v>2362</v>
      </c>
      <c r="I211" s="22" t="s">
        <v>2364</v>
      </c>
      <c r="J211" s="22"/>
      <c r="K211" s="23">
        <v>45944</v>
      </c>
      <c r="L211" s="23">
        <v>45947</v>
      </c>
      <c r="M211" s="50" t="s">
        <v>53</v>
      </c>
      <c r="N211" s="50" t="s">
        <v>54</v>
      </c>
      <c r="O211" s="50" t="s">
        <v>41</v>
      </c>
      <c r="P211" s="34">
        <f t="shared" si="11"/>
        <v>3</v>
      </c>
      <c r="Q211" s="24">
        <v>3642.4475524475524</v>
      </c>
      <c r="R211" s="24">
        <v>0</v>
      </c>
      <c r="S211" s="24">
        <f t="shared" si="10"/>
        <v>-3642.4475524475524</v>
      </c>
    </row>
    <row r="212" spans="1:19">
      <c r="A212" s="5">
        <v>211</v>
      </c>
      <c r="B212" s="22">
        <v>2510083350</v>
      </c>
      <c r="C212" s="22" t="s">
        <v>2303</v>
      </c>
      <c r="D212" s="22" t="s">
        <v>599</v>
      </c>
      <c r="E212" s="22" t="s">
        <v>2304</v>
      </c>
      <c r="F212" s="22" t="s">
        <v>169</v>
      </c>
      <c r="G212" s="22" t="s">
        <v>43</v>
      </c>
      <c r="H212" s="22" t="s">
        <v>2362</v>
      </c>
      <c r="I212" s="22" t="s">
        <v>2365</v>
      </c>
      <c r="J212" s="22"/>
      <c r="K212" s="23">
        <v>45938</v>
      </c>
      <c r="L212" s="23">
        <v>45947</v>
      </c>
      <c r="M212" s="50" t="s">
        <v>53</v>
      </c>
      <c r="N212" s="50" t="s">
        <v>54</v>
      </c>
      <c r="O212" s="50" t="s">
        <v>41</v>
      </c>
      <c r="P212" s="34">
        <f t="shared" si="11"/>
        <v>9</v>
      </c>
      <c r="Q212" s="24">
        <v>3642.4475524475524</v>
      </c>
      <c r="R212" s="24">
        <v>0</v>
      </c>
      <c r="S212" s="24">
        <f t="shared" si="10"/>
        <v>-3642.4475524475524</v>
      </c>
    </row>
    <row r="213" spans="1:19">
      <c r="A213" s="5">
        <v>212</v>
      </c>
      <c r="B213" s="22">
        <v>2510110856</v>
      </c>
      <c r="C213" s="22" t="s">
        <v>2338</v>
      </c>
      <c r="D213" s="22" t="s">
        <v>511</v>
      </c>
      <c r="E213" s="22" t="s">
        <v>2339</v>
      </c>
      <c r="F213" s="22" t="s">
        <v>79</v>
      </c>
      <c r="G213" s="22" t="s">
        <v>52</v>
      </c>
      <c r="H213" s="22" t="s">
        <v>2362</v>
      </c>
      <c r="I213" s="22" t="s">
        <v>2366</v>
      </c>
      <c r="J213" s="22"/>
      <c r="K213" s="23">
        <v>45941</v>
      </c>
      <c r="L213" s="23">
        <v>45947</v>
      </c>
      <c r="M213" s="50" t="s">
        <v>53</v>
      </c>
      <c r="N213" s="50" t="s">
        <v>54</v>
      </c>
      <c r="O213" s="50" t="s">
        <v>41</v>
      </c>
      <c r="P213" s="34">
        <f t="shared" si="11"/>
        <v>6</v>
      </c>
      <c r="Q213" s="24">
        <v>3642.4475524475524</v>
      </c>
      <c r="R213" s="24">
        <v>0</v>
      </c>
      <c r="S213" s="24">
        <f t="shared" si="10"/>
        <v>-3642.4475524475524</v>
      </c>
    </row>
    <row r="214" spans="1:19">
      <c r="A214" s="5">
        <v>213</v>
      </c>
      <c r="B214" s="22">
        <v>2510120996</v>
      </c>
      <c r="C214" s="22" t="s">
        <v>2360</v>
      </c>
      <c r="D214" s="22" t="s">
        <v>1209</v>
      </c>
      <c r="E214" s="22" t="s">
        <v>1210</v>
      </c>
      <c r="F214" s="22" t="s">
        <v>51</v>
      </c>
      <c r="G214" s="22" t="s">
        <v>52</v>
      </c>
      <c r="H214" s="22" t="s">
        <v>2362</v>
      </c>
      <c r="I214" s="22" t="s">
        <v>2367</v>
      </c>
      <c r="J214" s="22"/>
      <c r="K214" s="23">
        <v>45942</v>
      </c>
      <c r="L214" s="23">
        <v>45947</v>
      </c>
      <c r="M214" s="50" t="s">
        <v>53</v>
      </c>
      <c r="N214" s="50" t="s">
        <v>54</v>
      </c>
      <c r="O214" s="50" t="s">
        <v>41</v>
      </c>
      <c r="P214" s="34">
        <f t="shared" si="11"/>
        <v>5</v>
      </c>
      <c r="Q214" s="24">
        <v>3642.4475524475524</v>
      </c>
      <c r="R214" s="24">
        <v>0</v>
      </c>
      <c r="S214" s="24">
        <f t="shared" si="10"/>
        <v>-3642.4475524475524</v>
      </c>
    </row>
    <row r="215" spans="1:19">
      <c r="A215" s="5">
        <v>214</v>
      </c>
      <c r="B215" s="5">
        <v>2510121009</v>
      </c>
      <c r="C215" s="5" t="s">
        <v>2368</v>
      </c>
      <c r="D215" s="5" t="s">
        <v>810</v>
      </c>
      <c r="E215" s="5" t="s">
        <v>2369</v>
      </c>
      <c r="F215" s="5" t="s">
        <v>457</v>
      </c>
      <c r="G215" s="5" t="s">
        <v>52</v>
      </c>
      <c r="H215" s="5" t="s">
        <v>2362</v>
      </c>
      <c r="I215" s="5">
        <v>202501622</v>
      </c>
      <c r="J215" s="5"/>
      <c r="K215" s="6">
        <v>45942</v>
      </c>
      <c r="L215" s="6">
        <v>45947</v>
      </c>
      <c r="M215" s="42" t="s">
        <v>53</v>
      </c>
      <c r="N215" s="42" t="s">
        <v>54</v>
      </c>
      <c r="O215" s="42" t="s">
        <v>41</v>
      </c>
      <c r="P215" s="30">
        <f t="shared" si="11"/>
        <v>5</v>
      </c>
      <c r="Q215" s="41">
        <v>3642.4475524475524</v>
      </c>
      <c r="R215" s="41">
        <v>5200</v>
      </c>
      <c r="S215" s="41">
        <f t="shared" si="10"/>
        <v>1557.5524475524476</v>
      </c>
    </row>
    <row r="216" spans="1:19">
      <c r="A216" s="5">
        <v>215</v>
      </c>
      <c r="B216" s="5">
        <v>2510121013</v>
      </c>
      <c r="C216" s="5" t="s">
        <v>2370</v>
      </c>
      <c r="D216" s="5" t="s">
        <v>2371</v>
      </c>
      <c r="E216" s="5" t="s">
        <v>2372</v>
      </c>
      <c r="F216" s="5" t="s">
        <v>202</v>
      </c>
      <c r="G216" s="5" t="s">
        <v>75</v>
      </c>
      <c r="H216" s="5" t="s">
        <v>2362</v>
      </c>
      <c r="I216" s="5">
        <v>202501623</v>
      </c>
      <c r="J216" s="5"/>
      <c r="K216" s="6">
        <v>45942</v>
      </c>
      <c r="L216" s="6">
        <v>45947</v>
      </c>
      <c r="M216" s="42" t="s">
        <v>53</v>
      </c>
      <c r="N216" s="42" t="s">
        <v>54</v>
      </c>
      <c r="O216" s="42" t="s">
        <v>41</v>
      </c>
      <c r="P216" s="30">
        <f t="shared" si="11"/>
        <v>5</v>
      </c>
      <c r="Q216" s="41">
        <v>3642.4475524475524</v>
      </c>
      <c r="R216" s="41">
        <v>4500</v>
      </c>
      <c r="S216" s="41">
        <f t="shared" si="10"/>
        <v>857.55244755244757</v>
      </c>
    </row>
    <row r="217" spans="1:19">
      <c r="A217" s="5">
        <v>216</v>
      </c>
      <c r="B217" s="5">
        <v>2510130008</v>
      </c>
      <c r="C217" s="5" t="s">
        <v>2373</v>
      </c>
      <c r="D217" s="5" t="s">
        <v>40</v>
      </c>
      <c r="E217" s="5" t="s">
        <v>41</v>
      </c>
      <c r="F217" s="5" t="s">
        <v>42</v>
      </c>
      <c r="G217" s="5" t="s">
        <v>52</v>
      </c>
      <c r="H217" s="5" t="s">
        <v>2362</v>
      </c>
      <c r="I217" s="5">
        <v>202501624</v>
      </c>
      <c r="J217" s="5"/>
      <c r="K217" s="6">
        <v>45943</v>
      </c>
      <c r="L217" s="6">
        <v>45947</v>
      </c>
      <c r="M217" s="42" t="s">
        <v>53</v>
      </c>
      <c r="N217" s="42" t="s">
        <v>54</v>
      </c>
      <c r="O217" s="42" t="s">
        <v>41</v>
      </c>
      <c r="P217" s="30">
        <f t="shared" si="11"/>
        <v>4</v>
      </c>
      <c r="Q217" s="41">
        <v>3642.4475524475524</v>
      </c>
      <c r="R217" s="41">
        <v>9500</v>
      </c>
      <c r="S217" s="41">
        <f t="shared" si="10"/>
        <v>5857.5524475524471</v>
      </c>
    </row>
    <row r="218" spans="1:19">
      <c r="A218" s="5">
        <v>217</v>
      </c>
      <c r="B218" s="5">
        <v>2510131385</v>
      </c>
      <c r="C218" s="5" t="s">
        <v>2374</v>
      </c>
      <c r="D218" s="5" t="s">
        <v>301</v>
      </c>
      <c r="E218" s="5" t="s">
        <v>2375</v>
      </c>
      <c r="F218" s="5" t="s">
        <v>169</v>
      </c>
      <c r="G218" s="5" t="s">
        <v>75</v>
      </c>
      <c r="H218" s="5" t="s">
        <v>2362</v>
      </c>
      <c r="I218" s="5">
        <v>202501625</v>
      </c>
      <c r="J218" s="5"/>
      <c r="K218" s="6">
        <v>45943</v>
      </c>
      <c r="L218" s="6">
        <v>45947</v>
      </c>
      <c r="M218" s="42" t="s">
        <v>53</v>
      </c>
      <c r="N218" s="42" t="s">
        <v>54</v>
      </c>
      <c r="O218" s="42" t="s">
        <v>41</v>
      </c>
      <c r="P218" s="30">
        <f t="shared" si="11"/>
        <v>4</v>
      </c>
      <c r="Q218" s="41">
        <v>3642.4475524475524</v>
      </c>
      <c r="R218" s="41">
        <v>4500</v>
      </c>
      <c r="S218" s="41">
        <f t="shared" si="10"/>
        <v>857.55244755244757</v>
      </c>
    </row>
    <row r="219" spans="1:19">
      <c r="A219" s="5">
        <v>218</v>
      </c>
      <c r="B219" s="5">
        <v>2510131389</v>
      </c>
      <c r="C219" s="5" t="s">
        <v>2376</v>
      </c>
      <c r="D219" s="5" t="s">
        <v>83</v>
      </c>
      <c r="E219" s="5" t="s">
        <v>1925</v>
      </c>
      <c r="F219" s="5" t="s">
        <v>62</v>
      </c>
      <c r="G219" s="5" t="s">
        <v>43</v>
      </c>
      <c r="H219" s="5" t="s">
        <v>2362</v>
      </c>
      <c r="I219" s="5">
        <v>202501626</v>
      </c>
      <c r="J219" s="5"/>
      <c r="K219" s="6">
        <v>45943</v>
      </c>
      <c r="L219" s="6">
        <v>45947</v>
      </c>
      <c r="M219" s="42" t="s">
        <v>53</v>
      </c>
      <c r="N219" s="42" t="s">
        <v>54</v>
      </c>
      <c r="O219" s="42" t="s">
        <v>41</v>
      </c>
      <c r="P219" s="30">
        <f t="shared" si="11"/>
        <v>4</v>
      </c>
      <c r="Q219" s="41">
        <v>3642.4475524475524</v>
      </c>
      <c r="R219" s="41">
        <v>9000</v>
      </c>
      <c r="S219" s="41">
        <f t="shared" si="10"/>
        <v>5357.5524475524471</v>
      </c>
    </row>
    <row r="220" spans="1:19">
      <c r="A220" s="5">
        <v>219</v>
      </c>
      <c r="B220" s="5">
        <v>2510131394</v>
      </c>
      <c r="C220" s="5" t="s">
        <v>2377</v>
      </c>
      <c r="D220" s="5" t="s">
        <v>711</v>
      </c>
      <c r="E220" s="5" t="s">
        <v>2378</v>
      </c>
      <c r="F220" s="5" t="s">
        <v>71</v>
      </c>
      <c r="G220" s="5" t="s">
        <v>43</v>
      </c>
      <c r="H220" s="5" t="s">
        <v>2362</v>
      </c>
      <c r="I220" s="5">
        <v>202501627</v>
      </c>
      <c r="J220" s="5"/>
      <c r="K220" s="6">
        <v>45943</v>
      </c>
      <c r="L220" s="6">
        <v>45947</v>
      </c>
      <c r="M220" s="42" t="s">
        <v>53</v>
      </c>
      <c r="N220" s="42" t="s">
        <v>54</v>
      </c>
      <c r="O220" s="42" t="s">
        <v>41</v>
      </c>
      <c r="P220" s="30">
        <f t="shared" si="11"/>
        <v>4</v>
      </c>
      <c r="Q220" s="41">
        <v>3642.4475524475524</v>
      </c>
      <c r="R220" s="41">
        <v>12000</v>
      </c>
      <c r="S220" s="41">
        <f t="shared" si="10"/>
        <v>8357.5524475524471</v>
      </c>
    </row>
    <row r="221" spans="1:19">
      <c r="A221" s="5">
        <v>220</v>
      </c>
      <c r="B221" s="5">
        <v>2510131400</v>
      </c>
      <c r="C221" s="5" t="s">
        <v>2379</v>
      </c>
      <c r="D221" s="5" t="s">
        <v>167</v>
      </c>
      <c r="E221" s="5" t="s">
        <v>659</v>
      </c>
      <c r="F221" s="5" t="s">
        <v>169</v>
      </c>
      <c r="G221" s="5" t="s">
        <v>52</v>
      </c>
      <c r="H221" s="5" t="s">
        <v>2362</v>
      </c>
      <c r="I221" s="5">
        <v>202501628</v>
      </c>
      <c r="J221" s="5"/>
      <c r="K221" s="6">
        <v>45943</v>
      </c>
      <c r="L221" s="6">
        <v>45947</v>
      </c>
      <c r="M221" s="42" t="s">
        <v>53</v>
      </c>
      <c r="N221" s="42" t="s">
        <v>54</v>
      </c>
      <c r="O221" s="42" t="s">
        <v>41</v>
      </c>
      <c r="P221" s="30">
        <f t="shared" si="11"/>
        <v>4</v>
      </c>
      <c r="Q221" s="41">
        <v>3642.4475524475524</v>
      </c>
      <c r="R221" s="41">
        <v>6000</v>
      </c>
      <c r="S221" s="41">
        <f t="shared" si="10"/>
        <v>2357.5524475524476</v>
      </c>
    </row>
    <row r="222" spans="1:19">
      <c r="A222" s="5">
        <v>221</v>
      </c>
      <c r="B222" s="5">
        <v>2510131406</v>
      </c>
      <c r="C222" s="5" t="s">
        <v>2380</v>
      </c>
      <c r="D222" s="5" t="s">
        <v>1282</v>
      </c>
      <c r="E222" s="5" t="s">
        <v>2381</v>
      </c>
      <c r="F222" s="5" t="s">
        <v>62</v>
      </c>
      <c r="G222" s="5" t="s">
        <v>52</v>
      </c>
      <c r="H222" s="5" t="s">
        <v>2362</v>
      </c>
      <c r="I222" s="5">
        <v>202501629</v>
      </c>
      <c r="J222" s="5"/>
      <c r="K222" s="6">
        <v>45943</v>
      </c>
      <c r="L222" s="6">
        <v>45947</v>
      </c>
      <c r="M222" s="42" t="s">
        <v>53</v>
      </c>
      <c r="N222" s="42" t="s">
        <v>54</v>
      </c>
      <c r="O222" s="42" t="s">
        <v>41</v>
      </c>
      <c r="P222" s="30">
        <f t="shared" si="11"/>
        <v>4</v>
      </c>
      <c r="Q222" s="41">
        <v>3642.4475524475524</v>
      </c>
      <c r="R222" s="41">
        <v>5500</v>
      </c>
      <c r="S222" s="41">
        <f t="shared" si="10"/>
        <v>1857.5524475524476</v>
      </c>
    </row>
    <row r="223" spans="1:19">
      <c r="A223" s="5">
        <v>222</v>
      </c>
      <c r="B223" s="5">
        <v>2510140318</v>
      </c>
      <c r="C223" s="5" t="s">
        <v>2382</v>
      </c>
      <c r="D223" s="5" t="s">
        <v>550</v>
      </c>
      <c r="E223" s="5" t="s">
        <v>2156</v>
      </c>
      <c r="F223" s="5" t="s">
        <v>51</v>
      </c>
      <c r="G223" s="5" t="s">
        <v>52</v>
      </c>
      <c r="H223" s="5" t="s">
        <v>2362</v>
      </c>
      <c r="I223" s="5">
        <v>202501630</v>
      </c>
      <c r="J223" s="5"/>
      <c r="K223" s="6">
        <v>45944</v>
      </c>
      <c r="L223" s="6">
        <v>45947</v>
      </c>
      <c r="M223" s="42" t="s">
        <v>53</v>
      </c>
      <c r="N223" s="42" t="s">
        <v>54</v>
      </c>
      <c r="O223" s="42" t="s">
        <v>41</v>
      </c>
      <c r="P223" s="30">
        <f t="shared" si="11"/>
        <v>3</v>
      </c>
      <c r="Q223" s="41">
        <v>3642.4475524475524</v>
      </c>
      <c r="R223" s="41">
        <v>7000</v>
      </c>
      <c r="S223" s="41">
        <f t="shared" si="10"/>
        <v>3357.5524475524476</v>
      </c>
    </row>
    <row r="224" spans="1:19">
      <c r="A224" s="5">
        <v>223</v>
      </c>
      <c r="B224" s="5">
        <v>2510140328</v>
      </c>
      <c r="C224" s="5" t="s">
        <v>2383</v>
      </c>
      <c r="D224" s="5" t="s">
        <v>1692</v>
      </c>
      <c r="E224" s="5" t="s">
        <v>1743</v>
      </c>
      <c r="F224" s="5" t="s">
        <v>457</v>
      </c>
      <c r="G224" s="5" t="s">
        <v>52</v>
      </c>
      <c r="H224" s="5" t="s">
        <v>2362</v>
      </c>
      <c r="I224" s="5">
        <v>202501631</v>
      </c>
      <c r="J224" s="5"/>
      <c r="K224" s="6">
        <v>45944</v>
      </c>
      <c r="L224" s="6">
        <v>45947</v>
      </c>
      <c r="M224" s="42" t="s">
        <v>53</v>
      </c>
      <c r="N224" s="42" t="s">
        <v>54</v>
      </c>
      <c r="O224" s="42" t="s">
        <v>41</v>
      </c>
      <c r="P224" s="30">
        <f t="shared" si="11"/>
        <v>3</v>
      </c>
      <c r="Q224" s="41">
        <v>3642.4475524475524</v>
      </c>
      <c r="R224" s="41">
        <v>5200</v>
      </c>
      <c r="S224" s="41">
        <f t="shared" si="10"/>
        <v>1557.5524475524476</v>
      </c>
    </row>
    <row r="225" spans="1:19">
      <c r="A225" s="5">
        <v>224</v>
      </c>
      <c r="B225" s="13">
        <v>2510140669</v>
      </c>
      <c r="C225" s="13" t="s">
        <v>2384</v>
      </c>
      <c r="D225" s="13" t="s">
        <v>309</v>
      </c>
      <c r="E225" s="13" t="s">
        <v>310</v>
      </c>
      <c r="F225" s="13" t="s">
        <v>51</v>
      </c>
      <c r="G225" s="13" t="s">
        <v>52</v>
      </c>
      <c r="H225" s="13" t="s">
        <v>2362</v>
      </c>
      <c r="I225" s="13">
        <v>202501632</v>
      </c>
      <c r="J225" s="13"/>
      <c r="K225" s="14">
        <v>45944</v>
      </c>
      <c r="L225" s="14">
        <v>45947</v>
      </c>
      <c r="M225" s="118" t="s">
        <v>45</v>
      </c>
      <c r="N225" s="118" t="s">
        <v>46</v>
      </c>
      <c r="O225" s="13" t="s">
        <v>2385</v>
      </c>
      <c r="P225" s="35">
        <f t="shared" si="11"/>
        <v>3</v>
      </c>
      <c r="Q225" s="15">
        <v>3642.4475524475524</v>
      </c>
      <c r="R225" s="15">
        <v>5500</v>
      </c>
      <c r="S225" s="15">
        <f t="shared" si="10"/>
        <v>1857.5524475524476</v>
      </c>
    </row>
    <row r="226" spans="1:19">
      <c r="A226" s="5">
        <v>225</v>
      </c>
      <c r="B226" s="13">
        <v>2510140675</v>
      </c>
      <c r="C226" s="13" t="s">
        <v>2386</v>
      </c>
      <c r="D226" s="13" t="s">
        <v>309</v>
      </c>
      <c r="E226" s="13" t="s">
        <v>310</v>
      </c>
      <c r="F226" s="13" t="s">
        <v>51</v>
      </c>
      <c r="G226" s="13" t="s">
        <v>52</v>
      </c>
      <c r="H226" s="13" t="s">
        <v>2362</v>
      </c>
      <c r="I226" s="13">
        <v>202501633</v>
      </c>
      <c r="J226" s="13"/>
      <c r="K226" s="14">
        <v>45944</v>
      </c>
      <c r="L226" s="14">
        <v>45947</v>
      </c>
      <c r="M226" s="118" t="s">
        <v>45</v>
      </c>
      <c r="N226" s="118" t="s">
        <v>46</v>
      </c>
      <c r="O226" s="13" t="s">
        <v>2387</v>
      </c>
      <c r="P226" s="35">
        <f t="shared" si="11"/>
        <v>3</v>
      </c>
      <c r="Q226" s="15">
        <v>3642.4475524475524</v>
      </c>
      <c r="R226" s="15">
        <v>5500</v>
      </c>
      <c r="S226" s="15">
        <f t="shared" si="10"/>
        <v>1857.5524475524476</v>
      </c>
    </row>
    <row r="227" spans="1:19">
      <c r="A227" s="5">
        <v>226</v>
      </c>
      <c r="B227" s="5">
        <v>2510140685</v>
      </c>
      <c r="C227" s="5" t="s">
        <v>2388</v>
      </c>
      <c r="D227" s="5" t="s">
        <v>77</v>
      </c>
      <c r="E227" s="5" t="s">
        <v>1874</v>
      </c>
      <c r="F227" s="5" t="s">
        <v>79</v>
      </c>
      <c r="G227" s="5" t="s">
        <v>52</v>
      </c>
      <c r="H227" s="5" t="s">
        <v>2362</v>
      </c>
      <c r="I227" s="5">
        <v>202501634</v>
      </c>
      <c r="J227" s="5"/>
      <c r="K227" s="6">
        <v>45944</v>
      </c>
      <c r="L227" s="6">
        <v>45947</v>
      </c>
      <c r="M227" s="42" t="s">
        <v>53</v>
      </c>
      <c r="N227" s="42" t="s">
        <v>54</v>
      </c>
      <c r="O227" s="42" t="s">
        <v>41</v>
      </c>
      <c r="P227" s="30">
        <f t="shared" si="11"/>
        <v>3</v>
      </c>
      <c r="Q227" s="41">
        <v>3642.4475524475524</v>
      </c>
      <c r="R227" s="41">
        <v>5500</v>
      </c>
      <c r="S227" s="41">
        <f t="shared" si="10"/>
        <v>1857.5524475524476</v>
      </c>
    </row>
    <row r="228" spans="1:19">
      <c r="A228" s="5">
        <v>227</v>
      </c>
      <c r="B228" s="5">
        <v>2510140697</v>
      </c>
      <c r="C228" s="5" t="s">
        <v>2389</v>
      </c>
      <c r="D228" s="5" t="s">
        <v>564</v>
      </c>
      <c r="E228" s="5" t="s">
        <v>2390</v>
      </c>
      <c r="F228" s="5" t="s">
        <v>71</v>
      </c>
      <c r="G228" s="5" t="s">
        <v>75</v>
      </c>
      <c r="H228" s="5" t="s">
        <v>2362</v>
      </c>
      <c r="I228" s="5">
        <v>202501635</v>
      </c>
      <c r="J228" s="5"/>
      <c r="K228" s="6">
        <v>45944</v>
      </c>
      <c r="L228" s="6">
        <v>45947</v>
      </c>
      <c r="M228" s="42" t="s">
        <v>53</v>
      </c>
      <c r="N228" s="42" t="s">
        <v>54</v>
      </c>
      <c r="O228" s="42" t="s">
        <v>41</v>
      </c>
      <c r="P228" s="30">
        <f t="shared" si="11"/>
        <v>3</v>
      </c>
      <c r="Q228" s="41">
        <v>3642.4475524475524</v>
      </c>
      <c r="R228" s="41">
        <v>6500</v>
      </c>
      <c r="S228" s="41">
        <f t="shared" si="10"/>
        <v>2857.5524475524476</v>
      </c>
    </row>
    <row r="229" spans="1:19">
      <c r="A229" s="5">
        <v>228</v>
      </c>
      <c r="B229" s="5">
        <v>2510142193</v>
      </c>
      <c r="C229" s="5" t="s">
        <v>2286</v>
      </c>
      <c r="D229" s="5" t="s">
        <v>1475</v>
      </c>
      <c r="E229" s="5" t="s">
        <v>1476</v>
      </c>
      <c r="F229" s="5" t="s">
        <v>362</v>
      </c>
      <c r="G229" s="5" t="s">
        <v>43</v>
      </c>
      <c r="H229" s="5" t="s">
        <v>2362</v>
      </c>
      <c r="I229" s="5">
        <v>202501636</v>
      </c>
      <c r="J229" s="5"/>
      <c r="K229" s="6">
        <v>45944</v>
      </c>
      <c r="L229" s="6">
        <v>45947</v>
      </c>
      <c r="M229" s="42" t="s">
        <v>53</v>
      </c>
      <c r="N229" s="42" t="s">
        <v>54</v>
      </c>
      <c r="O229" s="42" t="s">
        <v>41</v>
      </c>
      <c r="P229" s="30">
        <f t="shared" si="11"/>
        <v>3</v>
      </c>
      <c r="Q229" s="41">
        <v>3642.4475524475524</v>
      </c>
      <c r="R229" s="41">
        <v>10500</v>
      </c>
      <c r="S229" s="41">
        <f t="shared" si="10"/>
        <v>6857.5524475524471</v>
      </c>
    </row>
    <row r="230" spans="1:19">
      <c r="A230" s="5">
        <v>229</v>
      </c>
      <c r="B230" s="5">
        <v>2510140842</v>
      </c>
      <c r="C230" s="5" t="s">
        <v>2391</v>
      </c>
      <c r="D230" s="5" t="s">
        <v>40</v>
      </c>
      <c r="E230" s="5" t="s">
        <v>41</v>
      </c>
      <c r="F230" s="5" t="s">
        <v>42</v>
      </c>
      <c r="G230" s="5" t="s">
        <v>43</v>
      </c>
      <c r="H230" s="5" t="s">
        <v>2362</v>
      </c>
      <c r="I230" s="5">
        <v>202501637</v>
      </c>
      <c r="J230" s="5"/>
      <c r="K230" s="6">
        <v>45944</v>
      </c>
      <c r="L230" s="6">
        <v>45947</v>
      </c>
      <c r="M230" s="42" t="s">
        <v>53</v>
      </c>
      <c r="N230" s="42" t="s">
        <v>54</v>
      </c>
      <c r="O230" s="42" t="s">
        <v>41</v>
      </c>
      <c r="P230" s="30">
        <f t="shared" si="11"/>
        <v>3</v>
      </c>
      <c r="Q230" s="41">
        <v>3642.4475524475524</v>
      </c>
      <c r="R230" s="41">
        <v>14500</v>
      </c>
      <c r="S230" s="41">
        <f t="shared" si="10"/>
        <v>10857.552447552447</v>
      </c>
    </row>
    <row r="231" spans="1:19">
      <c r="A231" s="5">
        <v>230</v>
      </c>
      <c r="B231" s="9">
        <v>2510140841</v>
      </c>
      <c r="C231" s="9" t="s">
        <v>2392</v>
      </c>
      <c r="D231" s="9" t="s">
        <v>40</v>
      </c>
      <c r="E231" s="9" t="s">
        <v>41</v>
      </c>
      <c r="F231" s="9" t="s">
        <v>42</v>
      </c>
      <c r="G231" s="9" t="s">
        <v>43</v>
      </c>
      <c r="H231" s="9" t="s">
        <v>2362</v>
      </c>
      <c r="I231" s="9">
        <v>202501638</v>
      </c>
      <c r="J231" s="9"/>
      <c r="K231" s="10">
        <v>45944</v>
      </c>
      <c r="L231" s="10">
        <v>45947</v>
      </c>
      <c r="M231" s="9" t="s">
        <v>45</v>
      </c>
      <c r="N231" s="9" t="s">
        <v>94</v>
      </c>
      <c r="O231" s="9" t="s">
        <v>1667</v>
      </c>
      <c r="P231" s="32">
        <f t="shared" si="11"/>
        <v>3</v>
      </c>
      <c r="Q231" s="11">
        <v>3642.4475524475524</v>
      </c>
      <c r="R231" s="11">
        <v>14500</v>
      </c>
      <c r="S231" s="11">
        <f t="shared" si="10"/>
        <v>10857.552447552447</v>
      </c>
    </row>
    <row r="232" spans="1:19">
      <c r="A232" s="5">
        <v>231</v>
      </c>
      <c r="B232" s="5">
        <v>2510142196</v>
      </c>
      <c r="C232" s="5" t="s">
        <v>2393</v>
      </c>
      <c r="D232" s="5" t="s">
        <v>528</v>
      </c>
      <c r="E232" s="5" t="s">
        <v>2161</v>
      </c>
      <c r="F232" s="5" t="s">
        <v>202</v>
      </c>
      <c r="G232" s="5" t="s">
        <v>75</v>
      </c>
      <c r="H232" s="5" t="s">
        <v>2362</v>
      </c>
      <c r="I232" s="5">
        <v>202501639</v>
      </c>
      <c r="J232" s="5"/>
      <c r="K232" s="6">
        <v>45944</v>
      </c>
      <c r="L232" s="6">
        <v>45947</v>
      </c>
      <c r="M232" s="42" t="s">
        <v>53</v>
      </c>
      <c r="N232" s="42" t="s">
        <v>54</v>
      </c>
      <c r="O232" s="42" t="s">
        <v>41</v>
      </c>
      <c r="P232" s="30">
        <f t="shared" si="11"/>
        <v>3</v>
      </c>
      <c r="Q232" s="41">
        <v>3642.4475524475524</v>
      </c>
      <c r="R232" s="41">
        <v>4500</v>
      </c>
      <c r="S232" s="41">
        <f t="shared" si="10"/>
        <v>857.55244755244757</v>
      </c>
    </row>
    <row r="233" spans="1:19">
      <c r="A233" s="5">
        <v>232</v>
      </c>
      <c r="B233" s="5">
        <v>2510142198</v>
      </c>
      <c r="C233" s="5" t="s">
        <v>2394</v>
      </c>
      <c r="D233" s="5" t="s">
        <v>405</v>
      </c>
      <c r="E233" s="5" t="s">
        <v>459</v>
      </c>
      <c r="F233" s="5" t="s">
        <v>202</v>
      </c>
      <c r="G233" s="5" t="s">
        <v>52</v>
      </c>
      <c r="H233" s="5" t="s">
        <v>2362</v>
      </c>
      <c r="I233" s="5">
        <v>202501640</v>
      </c>
      <c r="J233" s="5"/>
      <c r="K233" s="6">
        <v>45944</v>
      </c>
      <c r="L233" s="6">
        <v>45947</v>
      </c>
      <c r="M233" s="42" t="s">
        <v>53</v>
      </c>
      <c r="N233" s="42" t="s">
        <v>54</v>
      </c>
      <c r="O233" s="42" t="s">
        <v>41</v>
      </c>
      <c r="P233" s="30">
        <f t="shared" si="11"/>
        <v>3</v>
      </c>
      <c r="Q233" s="41">
        <v>3642.4475524475524</v>
      </c>
      <c r="R233" s="41">
        <v>6450</v>
      </c>
      <c r="S233" s="41">
        <f t="shared" si="10"/>
        <v>2807.5524475524476</v>
      </c>
    </row>
    <row r="234" spans="1:19">
      <c r="A234" s="5">
        <v>233</v>
      </c>
      <c r="B234" s="5" t="s">
        <v>1239</v>
      </c>
      <c r="C234" s="5"/>
      <c r="D234" s="5"/>
      <c r="E234" s="5"/>
      <c r="F234" s="5"/>
      <c r="G234" s="5" t="s">
        <v>52</v>
      </c>
      <c r="H234" s="5"/>
      <c r="I234" s="5"/>
      <c r="J234" s="5"/>
      <c r="K234" s="5"/>
      <c r="L234" s="5"/>
      <c r="M234" s="5"/>
      <c r="N234" s="5"/>
      <c r="O234" s="5"/>
      <c r="P234" s="5"/>
      <c r="Q234" s="41">
        <v>3642.4475524475524</v>
      </c>
      <c r="R234" s="41">
        <v>0</v>
      </c>
      <c r="S234" s="41">
        <f t="shared" si="10"/>
        <v>-3642.4475524475524</v>
      </c>
    </row>
    <row r="235" spans="1:19">
      <c r="A235" s="5">
        <v>234</v>
      </c>
      <c r="B235" s="5" t="s">
        <v>1240</v>
      </c>
      <c r="C235" s="5"/>
      <c r="D235" s="5"/>
      <c r="E235" s="5"/>
      <c r="F235" s="5"/>
      <c r="G235" s="5" t="s">
        <v>52</v>
      </c>
      <c r="H235" s="5"/>
      <c r="I235" s="5"/>
      <c r="J235" s="5"/>
      <c r="K235" s="5"/>
      <c r="L235" s="5"/>
      <c r="M235" s="5"/>
      <c r="N235" s="5"/>
      <c r="O235" s="5"/>
      <c r="P235" s="5"/>
      <c r="Q235" s="41">
        <v>3642.4475524475524</v>
      </c>
      <c r="R235" s="41">
        <v>0</v>
      </c>
      <c r="S235" s="41">
        <f t="shared" si="10"/>
        <v>-3642.4475524475524</v>
      </c>
    </row>
    <row r="236" spans="1:19">
      <c r="A236" s="5">
        <v>235</v>
      </c>
      <c r="B236" s="13">
        <v>2510010844</v>
      </c>
      <c r="C236" s="13" t="s">
        <v>2168</v>
      </c>
      <c r="D236" s="13" t="s">
        <v>40</v>
      </c>
      <c r="E236" s="13" t="s">
        <v>41</v>
      </c>
      <c r="F236" s="13" t="s">
        <v>42</v>
      </c>
      <c r="G236" s="13" t="s">
        <v>190</v>
      </c>
      <c r="H236" s="13" t="s">
        <v>2395</v>
      </c>
      <c r="I236" s="13" t="s">
        <v>2396</v>
      </c>
      <c r="J236" s="13"/>
      <c r="K236" s="14">
        <v>45931</v>
      </c>
      <c r="L236" s="14">
        <v>45949</v>
      </c>
      <c r="M236" s="118" t="s">
        <v>53</v>
      </c>
      <c r="N236" s="118" t="s">
        <v>46</v>
      </c>
      <c r="O236" s="118" t="s">
        <v>2397</v>
      </c>
      <c r="P236" s="35">
        <f t="shared" ref="P236:P264" si="12">L236-K236</f>
        <v>18</v>
      </c>
      <c r="Q236" s="15">
        <v>3121.0850439882697</v>
      </c>
      <c r="R236" s="15">
        <v>0</v>
      </c>
      <c r="S236" s="15">
        <f t="shared" si="10"/>
        <v>-3121.0850439882697</v>
      </c>
    </row>
    <row r="237" spans="1:19">
      <c r="A237" s="5">
        <v>236</v>
      </c>
      <c r="B237" s="13">
        <v>2510140841</v>
      </c>
      <c r="C237" s="13" t="s">
        <v>2392</v>
      </c>
      <c r="D237" s="13" t="s">
        <v>40</v>
      </c>
      <c r="E237" s="13" t="s">
        <v>41</v>
      </c>
      <c r="F237" s="13" t="s">
        <v>42</v>
      </c>
      <c r="G237" s="13" t="s">
        <v>43</v>
      </c>
      <c r="H237" s="13" t="s">
        <v>2395</v>
      </c>
      <c r="I237" s="13" t="s">
        <v>2398</v>
      </c>
      <c r="J237" s="13"/>
      <c r="K237" s="14">
        <v>45944</v>
      </c>
      <c r="L237" s="14">
        <v>45949</v>
      </c>
      <c r="M237" s="118" t="s">
        <v>45</v>
      </c>
      <c r="N237" s="118" t="s">
        <v>46</v>
      </c>
      <c r="O237" s="118" t="s">
        <v>1667</v>
      </c>
      <c r="P237" s="35">
        <f t="shared" si="12"/>
        <v>5</v>
      </c>
      <c r="Q237" s="15">
        <v>3121.0850439882697</v>
      </c>
      <c r="R237" s="15">
        <v>0</v>
      </c>
      <c r="S237" s="15">
        <f t="shared" si="10"/>
        <v>-3121.0850439882697</v>
      </c>
    </row>
    <row r="238" spans="1:19">
      <c r="A238" s="5">
        <v>237</v>
      </c>
      <c r="B238" s="5">
        <v>2510142203</v>
      </c>
      <c r="C238" s="5" t="s">
        <v>2399</v>
      </c>
      <c r="D238" s="5" t="s">
        <v>83</v>
      </c>
      <c r="E238" s="5" t="s">
        <v>84</v>
      </c>
      <c r="F238" s="5" t="s">
        <v>62</v>
      </c>
      <c r="G238" s="5" t="s">
        <v>52</v>
      </c>
      <c r="H238" s="5" t="s">
        <v>2395</v>
      </c>
      <c r="I238" s="5">
        <v>202501641</v>
      </c>
      <c r="J238" s="5"/>
      <c r="K238" s="6">
        <v>45944</v>
      </c>
      <c r="L238" s="6">
        <v>45949</v>
      </c>
      <c r="M238" s="42" t="s">
        <v>53</v>
      </c>
      <c r="N238" s="42" t="s">
        <v>54</v>
      </c>
      <c r="O238" s="42" t="s">
        <v>41</v>
      </c>
      <c r="P238" s="30">
        <f t="shared" si="12"/>
        <v>5</v>
      </c>
      <c r="Q238" s="41">
        <v>3121.0850439882697</v>
      </c>
      <c r="R238" s="41">
        <v>6000</v>
      </c>
      <c r="S238" s="41">
        <f t="shared" si="10"/>
        <v>2878.9149560117303</v>
      </c>
    </row>
    <row r="239" spans="1:19">
      <c r="A239" s="5">
        <v>238</v>
      </c>
      <c r="B239" s="5">
        <v>2510153094</v>
      </c>
      <c r="C239" s="5" t="s">
        <v>2400</v>
      </c>
      <c r="D239" s="5" t="s">
        <v>676</v>
      </c>
      <c r="E239" s="5" t="s">
        <v>2401</v>
      </c>
      <c r="F239" s="5" t="s">
        <v>678</v>
      </c>
      <c r="G239" s="5" t="s">
        <v>52</v>
      </c>
      <c r="H239" s="5" t="s">
        <v>2395</v>
      </c>
      <c r="I239" s="5">
        <v>202501642</v>
      </c>
      <c r="J239" s="5"/>
      <c r="K239" s="6">
        <v>45945</v>
      </c>
      <c r="L239" s="6">
        <v>45949</v>
      </c>
      <c r="M239" s="42" t="s">
        <v>53</v>
      </c>
      <c r="N239" s="42" t="s">
        <v>54</v>
      </c>
      <c r="O239" s="42" t="s">
        <v>41</v>
      </c>
      <c r="P239" s="30">
        <f t="shared" si="12"/>
        <v>4</v>
      </c>
      <c r="Q239" s="41">
        <v>3121.0850439882697</v>
      </c>
      <c r="R239" s="41">
        <v>7500</v>
      </c>
      <c r="S239" s="41">
        <f t="shared" si="10"/>
        <v>4378.9149560117303</v>
      </c>
    </row>
    <row r="240" spans="1:19">
      <c r="A240" s="5">
        <v>239</v>
      </c>
      <c r="B240" s="5">
        <v>2510153110</v>
      </c>
      <c r="C240" s="5" t="s">
        <v>2402</v>
      </c>
      <c r="D240" s="5" t="s">
        <v>564</v>
      </c>
      <c r="E240" s="5" t="s">
        <v>2294</v>
      </c>
      <c r="F240" s="5" t="s">
        <v>71</v>
      </c>
      <c r="G240" s="5" t="s">
        <v>75</v>
      </c>
      <c r="H240" s="5" t="s">
        <v>2395</v>
      </c>
      <c r="I240" s="5">
        <v>202501643</v>
      </c>
      <c r="J240" s="5"/>
      <c r="K240" s="6">
        <v>45945</v>
      </c>
      <c r="L240" s="6">
        <v>45949</v>
      </c>
      <c r="M240" s="42" t="s">
        <v>53</v>
      </c>
      <c r="N240" s="42" t="s">
        <v>54</v>
      </c>
      <c r="O240" s="42" t="s">
        <v>41</v>
      </c>
      <c r="P240" s="30">
        <f t="shared" si="12"/>
        <v>4</v>
      </c>
      <c r="Q240" s="41">
        <v>3121.0850439882697</v>
      </c>
      <c r="R240" s="41">
        <v>6500</v>
      </c>
      <c r="S240" s="41">
        <f t="shared" si="10"/>
        <v>3378.9149560117303</v>
      </c>
    </row>
    <row r="241" spans="1:19">
      <c r="A241" s="5">
        <v>240</v>
      </c>
      <c r="B241" s="5">
        <v>2510153114</v>
      </c>
      <c r="C241" s="5" t="s">
        <v>2403</v>
      </c>
      <c r="D241" s="5" t="s">
        <v>564</v>
      </c>
      <c r="E241" s="5" t="s">
        <v>2294</v>
      </c>
      <c r="F241" s="5" t="s">
        <v>71</v>
      </c>
      <c r="G241" s="5" t="s">
        <v>75</v>
      </c>
      <c r="H241" s="5" t="s">
        <v>2395</v>
      </c>
      <c r="I241" s="5">
        <v>202501644</v>
      </c>
      <c r="J241" s="5"/>
      <c r="K241" s="6">
        <v>45945</v>
      </c>
      <c r="L241" s="6">
        <v>45949</v>
      </c>
      <c r="M241" s="42" t="s">
        <v>53</v>
      </c>
      <c r="N241" s="42" t="s">
        <v>54</v>
      </c>
      <c r="O241" s="42" t="s">
        <v>41</v>
      </c>
      <c r="P241" s="30">
        <f t="shared" si="12"/>
        <v>4</v>
      </c>
      <c r="Q241" s="41">
        <v>3121.0850439882697</v>
      </c>
      <c r="R241" s="41">
        <v>6500</v>
      </c>
      <c r="S241" s="41">
        <f t="shared" si="10"/>
        <v>3378.9149560117303</v>
      </c>
    </row>
    <row r="242" spans="1:19">
      <c r="A242" s="5">
        <v>241</v>
      </c>
      <c r="B242" s="5">
        <v>2510153125</v>
      </c>
      <c r="C242" s="5" t="s">
        <v>2404</v>
      </c>
      <c r="D242" s="5" t="s">
        <v>2405</v>
      </c>
      <c r="E242" s="5" t="s">
        <v>2406</v>
      </c>
      <c r="F242" s="5" t="s">
        <v>202</v>
      </c>
      <c r="G242" s="5" t="s">
        <v>75</v>
      </c>
      <c r="H242" s="5" t="s">
        <v>2395</v>
      </c>
      <c r="I242" s="5">
        <v>202501645</v>
      </c>
      <c r="J242" s="5"/>
      <c r="K242" s="6">
        <v>45945</v>
      </c>
      <c r="L242" s="6">
        <v>45949</v>
      </c>
      <c r="M242" s="42" t="s">
        <v>53</v>
      </c>
      <c r="N242" s="42" t="s">
        <v>54</v>
      </c>
      <c r="O242" s="42" t="s">
        <v>41</v>
      </c>
      <c r="P242" s="30">
        <f t="shared" si="12"/>
        <v>4</v>
      </c>
      <c r="Q242" s="41">
        <v>3121.0850439882697</v>
      </c>
      <c r="R242" s="41">
        <v>4900</v>
      </c>
      <c r="S242" s="41">
        <f t="shared" si="10"/>
        <v>1778.9149560117303</v>
      </c>
    </row>
    <row r="243" spans="1:19">
      <c r="A243" s="5">
        <v>242</v>
      </c>
      <c r="B243" s="5">
        <v>2510153140</v>
      </c>
      <c r="C243" s="5" t="s">
        <v>2407</v>
      </c>
      <c r="D243" s="5" t="s">
        <v>437</v>
      </c>
      <c r="E243" s="5" t="s">
        <v>896</v>
      </c>
      <c r="F243" s="5" t="s">
        <v>71</v>
      </c>
      <c r="G243" s="5" t="s">
        <v>52</v>
      </c>
      <c r="H243" s="5" t="s">
        <v>2395</v>
      </c>
      <c r="I243" s="5">
        <v>202501646</v>
      </c>
      <c r="J243" s="5"/>
      <c r="K243" s="6">
        <v>45945</v>
      </c>
      <c r="L243" s="6">
        <v>45949</v>
      </c>
      <c r="M243" s="42" t="s">
        <v>53</v>
      </c>
      <c r="N243" s="42" t="s">
        <v>54</v>
      </c>
      <c r="O243" s="42" t="s">
        <v>41</v>
      </c>
      <c r="P243" s="30">
        <f t="shared" si="12"/>
        <v>4</v>
      </c>
      <c r="Q243" s="41">
        <v>3121.0850439882697</v>
      </c>
      <c r="R243" s="41">
        <v>8500</v>
      </c>
      <c r="S243" s="41">
        <f t="shared" si="10"/>
        <v>5378.9149560117303</v>
      </c>
    </row>
    <row r="244" spans="1:19">
      <c r="A244" s="5">
        <v>243</v>
      </c>
      <c r="B244" s="5">
        <v>2510153153</v>
      </c>
      <c r="C244" s="5" t="s">
        <v>2408</v>
      </c>
      <c r="D244" s="5" t="s">
        <v>1261</v>
      </c>
      <c r="E244" s="5" t="s">
        <v>1806</v>
      </c>
      <c r="F244" s="5" t="s">
        <v>71</v>
      </c>
      <c r="G244" s="5" t="s">
        <v>43</v>
      </c>
      <c r="H244" s="5" t="s">
        <v>2395</v>
      </c>
      <c r="I244" s="5">
        <v>202501647</v>
      </c>
      <c r="J244" s="5"/>
      <c r="K244" s="6">
        <v>45945</v>
      </c>
      <c r="L244" s="6">
        <v>45949</v>
      </c>
      <c r="M244" s="42" t="s">
        <v>53</v>
      </c>
      <c r="N244" s="42" t="s">
        <v>54</v>
      </c>
      <c r="O244" s="42" t="s">
        <v>41</v>
      </c>
      <c r="P244" s="30">
        <f t="shared" si="12"/>
        <v>4</v>
      </c>
      <c r="Q244" s="41">
        <v>3121.0850439882697</v>
      </c>
      <c r="R244" s="41">
        <v>11000</v>
      </c>
      <c r="S244" s="41">
        <f t="shared" si="10"/>
        <v>7878.9149560117303</v>
      </c>
    </row>
    <row r="245" spans="1:19">
      <c r="A245" s="5">
        <v>244</v>
      </c>
      <c r="B245" s="5">
        <v>2510153164</v>
      </c>
      <c r="C245" s="5" t="s">
        <v>2409</v>
      </c>
      <c r="D245" s="5" t="s">
        <v>474</v>
      </c>
      <c r="E245" s="5" t="s">
        <v>475</v>
      </c>
      <c r="F245" s="5" t="s">
        <v>169</v>
      </c>
      <c r="G245" s="5" t="s">
        <v>75</v>
      </c>
      <c r="H245" s="5" t="s">
        <v>2395</v>
      </c>
      <c r="I245" s="5">
        <v>202501648</v>
      </c>
      <c r="J245" s="5"/>
      <c r="K245" s="6">
        <v>45945</v>
      </c>
      <c r="L245" s="6">
        <v>45949</v>
      </c>
      <c r="M245" s="42" t="s">
        <v>53</v>
      </c>
      <c r="N245" s="42" t="s">
        <v>54</v>
      </c>
      <c r="O245" s="42" t="s">
        <v>41</v>
      </c>
      <c r="P245" s="30">
        <f t="shared" si="12"/>
        <v>4</v>
      </c>
      <c r="Q245" s="41">
        <v>3121.0850439882697</v>
      </c>
      <c r="R245" s="41">
        <v>4500</v>
      </c>
      <c r="S245" s="41">
        <f t="shared" si="10"/>
        <v>1378.9149560117303</v>
      </c>
    </row>
    <row r="246" spans="1:19">
      <c r="A246" s="5">
        <v>245</v>
      </c>
      <c r="B246" s="5">
        <v>2510160449</v>
      </c>
      <c r="C246" s="5" t="s">
        <v>2410</v>
      </c>
      <c r="D246" s="5" t="s">
        <v>64</v>
      </c>
      <c r="E246" s="5" t="s">
        <v>1498</v>
      </c>
      <c r="F246" s="5" t="s">
        <v>66</v>
      </c>
      <c r="G246" s="5" t="s">
        <v>52</v>
      </c>
      <c r="H246" s="5" t="s">
        <v>2395</v>
      </c>
      <c r="I246" s="5">
        <v>202501649</v>
      </c>
      <c r="J246" s="5"/>
      <c r="K246" s="6">
        <v>45946</v>
      </c>
      <c r="L246" s="6">
        <v>45949</v>
      </c>
      <c r="M246" s="42" t="s">
        <v>53</v>
      </c>
      <c r="N246" s="42" t="s">
        <v>54</v>
      </c>
      <c r="O246" s="42" t="s">
        <v>41</v>
      </c>
      <c r="P246" s="30">
        <f t="shared" si="12"/>
        <v>3</v>
      </c>
      <c r="Q246" s="41">
        <v>3121.0850439882697</v>
      </c>
      <c r="R246" s="41">
        <v>5500</v>
      </c>
      <c r="S246" s="41">
        <f t="shared" si="10"/>
        <v>2378.9149560117303</v>
      </c>
    </row>
    <row r="247" spans="1:19">
      <c r="A247" s="5">
        <v>246</v>
      </c>
      <c r="B247" s="5">
        <v>2510160454</v>
      </c>
      <c r="C247" s="5" t="s">
        <v>2411</v>
      </c>
      <c r="D247" s="5" t="s">
        <v>64</v>
      </c>
      <c r="E247" s="5" t="s">
        <v>1498</v>
      </c>
      <c r="F247" s="5" t="s">
        <v>66</v>
      </c>
      <c r="G247" s="5" t="s">
        <v>52</v>
      </c>
      <c r="H247" s="5" t="s">
        <v>2395</v>
      </c>
      <c r="I247" s="5">
        <v>202501650</v>
      </c>
      <c r="J247" s="5"/>
      <c r="K247" s="6">
        <v>45946</v>
      </c>
      <c r="L247" s="6">
        <v>45949</v>
      </c>
      <c r="M247" s="42" t="s">
        <v>53</v>
      </c>
      <c r="N247" s="42" t="s">
        <v>54</v>
      </c>
      <c r="O247" s="42" t="s">
        <v>41</v>
      </c>
      <c r="P247" s="30">
        <f t="shared" si="12"/>
        <v>3</v>
      </c>
      <c r="Q247" s="41">
        <v>3121.0850439882697</v>
      </c>
      <c r="R247" s="41">
        <v>5500</v>
      </c>
      <c r="S247" s="41">
        <f t="shared" si="10"/>
        <v>2378.9149560117303</v>
      </c>
    </row>
    <row r="248" spans="1:19">
      <c r="A248" s="5">
        <v>247</v>
      </c>
      <c r="B248" s="5">
        <v>2510160457</v>
      </c>
      <c r="C248" s="5" t="s">
        <v>2412</v>
      </c>
      <c r="D248" s="5" t="s">
        <v>918</v>
      </c>
      <c r="E248" s="5" t="s">
        <v>2413</v>
      </c>
      <c r="F248" s="5" t="s">
        <v>51</v>
      </c>
      <c r="G248" s="5" t="s">
        <v>52</v>
      </c>
      <c r="H248" s="5" t="s">
        <v>2395</v>
      </c>
      <c r="I248" s="5">
        <v>202501651</v>
      </c>
      <c r="J248" s="5"/>
      <c r="K248" s="6">
        <v>45946</v>
      </c>
      <c r="L248" s="6">
        <v>45949</v>
      </c>
      <c r="M248" s="42" t="s">
        <v>53</v>
      </c>
      <c r="N248" s="42" t="s">
        <v>54</v>
      </c>
      <c r="O248" s="42" t="s">
        <v>41</v>
      </c>
      <c r="P248" s="30">
        <f t="shared" si="12"/>
        <v>3</v>
      </c>
      <c r="Q248" s="41">
        <v>3121.0850439882697</v>
      </c>
      <c r="R248" s="41">
        <v>5500</v>
      </c>
      <c r="S248" s="41">
        <f t="shared" si="10"/>
        <v>2378.9149560117303</v>
      </c>
    </row>
    <row r="249" spans="1:19">
      <c r="A249" s="5">
        <v>248</v>
      </c>
      <c r="B249" s="5">
        <v>2510162992</v>
      </c>
      <c r="C249" s="5" t="s">
        <v>2414</v>
      </c>
      <c r="D249" s="5" t="s">
        <v>908</v>
      </c>
      <c r="E249" s="5" t="s">
        <v>1478</v>
      </c>
      <c r="F249" s="5" t="s">
        <v>362</v>
      </c>
      <c r="G249" s="5" t="s">
        <v>52</v>
      </c>
      <c r="H249" s="5" t="s">
        <v>2395</v>
      </c>
      <c r="I249" s="5">
        <v>202501652</v>
      </c>
      <c r="J249" s="5"/>
      <c r="K249" s="6">
        <v>45946</v>
      </c>
      <c r="L249" s="6">
        <v>45949</v>
      </c>
      <c r="M249" s="42" t="s">
        <v>53</v>
      </c>
      <c r="N249" s="42" t="s">
        <v>54</v>
      </c>
      <c r="O249" s="42" t="s">
        <v>41</v>
      </c>
      <c r="P249" s="30">
        <f t="shared" si="12"/>
        <v>3</v>
      </c>
      <c r="Q249" s="41">
        <v>3121.0850439882697</v>
      </c>
      <c r="R249" s="41">
        <v>5500</v>
      </c>
      <c r="S249" s="41">
        <f t="shared" si="10"/>
        <v>2378.9149560117303</v>
      </c>
    </row>
    <row r="250" spans="1:19">
      <c r="A250" s="5">
        <v>249</v>
      </c>
      <c r="B250" s="5">
        <v>2510162999</v>
      </c>
      <c r="C250" s="5" t="s">
        <v>2415</v>
      </c>
      <c r="D250" s="5" t="s">
        <v>1475</v>
      </c>
      <c r="E250" s="5" t="s">
        <v>1476</v>
      </c>
      <c r="F250" s="5" t="s">
        <v>362</v>
      </c>
      <c r="G250" s="5" t="s">
        <v>52</v>
      </c>
      <c r="H250" s="5" t="s">
        <v>2395</v>
      </c>
      <c r="I250" s="5">
        <v>202501653</v>
      </c>
      <c r="J250" s="5"/>
      <c r="K250" s="6">
        <v>45946</v>
      </c>
      <c r="L250" s="6">
        <v>45949</v>
      </c>
      <c r="M250" s="42" t="s">
        <v>53</v>
      </c>
      <c r="N250" s="42" t="s">
        <v>54</v>
      </c>
      <c r="O250" s="42" t="s">
        <v>41</v>
      </c>
      <c r="P250" s="30">
        <f t="shared" si="12"/>
        <v>3</v>
      </c>
      <c r="Q250" s="41">
        <v>3121.0850439882697</v>
      </c>
      <c r="R250" s="41">
        <v>5500</v>
      </c>
      <c r="S250" s="41">
        <f t="shared" si="10"/>
        <v>2378.9149560117303</v>
      </c>
    </row>
    <row r="251" spans="1:19">
      <c r="A251" s="5">
        <v>250</v>
      </c>
      <c r="B251" s="5">
        <v>2510163009</v>
      </c>
      <c r="C251" s="5" t="s">
        <v>2416</v>
      </c>
      <c r="D251" s="5" t="s">
        <v>103</v>
      </c>
      <c r="E251" s="5" t="s">
        <v>1526</v>
      </c>
      <c r="F251" s="5" t="s">
        <v>51</v>
      </c>
      <c r="G251" s="5" t="s">
        <v>52</v>
      </c>
      <c r="H251" s="5" t="s">
        <v>2395</v>
      </c>
      <c r="I251" s="5">
        <v>202501654</v>
      </c>
      <c r="J251" s="5"/>
      <c r="K251" s="6">
        <v>45946</v>
      </c>
      <c r="L251" s="6">
        <v>45949</v>
      </c>
      <c r="M251" s="42" t="s">
        <v>53</v>
      </c>
      <c r="N251" s="42" t="s">
        <v>54</v>
      </c>
      <c r="O251" s="42" t="s">
        <v>41</v>
      </c>
      <c r="P251" s="30">
        <f t="shared" si="12"/>
        <v>3</v>
      </c>
      <c r="Q251" s="41">
        <v>3121.0850439882697</v>
      </c>
      <c r="R251" s="41">
        <v>8000</v>
      </c>
      <c r="S251" s="41">
        <f t="shared" si="10"/>
        <v>4878.9149560117303</v>
      </c>
    </row>
    <row r="252" spans="1:19">
      <c r="A252" s="5">
        <v>251</v>
      </c>
      <c r="B252" s="5">
        <v>2510163016</v>
      </c>
      <c r="C252" s="5" t="s">
        <v>2417</v>
      </c>
      <c r="D252" s="5" t="s">
        <v>564</v>
      </c>
      <c r="E252" s="5" t="s">
        <v>2294</v>
      </c>
      <c r="F252" s="5" t="s">
        <v>71</v>
      </c>
      <c r="G252" s="5" t="s">
        <v>75</v>
      </c>
      <c r="H252" s="5" t="s">
        <v>2395</v>
      </c>
      <c r="I252" s="5">
        <v>202501655</v>
      </c>
      <c r="J252" s="5"/>
      <c r="K252" s="6">
        <v>45946</v>
      </c>
      <c r="L252" s="6">
        <v>45949</v>
      </c>
      <c r="M252" s="42" t="s">
        <v>53</v>
      </c>
      <c r="N252" s="42" t="s">
        <v>54</v>
      </c>
      <c r="O252" s="42" t="s">
        <v>41</v>
      </c>
      <c r="P252" s="30">
        <f t="shared" si="12"/>
        <v>3</v>
      </c>
      <c r="Q252" s="41">
        <v>3121.0850439882697</v>
      </c>
      <c r="R252" s="41">
        <v>6500</v>
      </c>
      <c r="S252" s="41">
        <f t="shared" si="10"/>
        <v>3378.9149560117303</v>
      </c>
    </row>
    <row r="253" spans="1:19">
      <c r="A253" s="5">
        <v>252</v>
      </c>
      <c r="B253" s="5">
        <v>2510163026</v>
      </c>
      <c r="C253" s="5" t="s">
        <v>2418</v>
      </c>
      <c r="D253" s="5" t="s">
        <v>564</v>
      </c>
      <c r="E253" s="5" t="s">
        <v>2294</v>
      </c>
      <c r="F253" s="5" t="s">
        <v>71</v>
      </c>
      <c r="G253" s="5" t="s">
        <v>75</v>
      </c>
      <c r="H253" s="5" t="s">
        <v>2395</v>
      </c>
      <c r="I253" s="5">
        <v>202501656</v>
      </c>
      <c r="J253" s="5"/>
      <c r="K253" s="6">
        <v>45946</v>
      </c>
      <c r="L253" s="6">
        <v>45949</v>
      </c>
      <c r="M253" s="42" t="s">
        <v>53</v>
      </c>
      <c r="N253" s="42" t="s">
        <v>54</v>
      </c>
      <c r="O253" s="42" t="s">
        <v>41</v>
      </c>
      <c r="P253" s="30">
        <f t="shared" si="12"/>
        <v>3</v>
      </c>
      <c r="Q253" s="41">
        <v>3121.0850439882697</v>
      </c>
      <c r="R253" s="41">
        <v>6500</v>
      </c>
      <c r="S253" s="41">
        <f t="shared" si="10"/>
        <v>3378.9149560117303</v>
      </c>
    </row>
    <row r="254" spans="1:19">
      <c r="A254" s="5">
        <v>253</v>
      </c>
      <c r="B254" s="5">
        <v>2510163030</v>
      </c>
      <c r="C254" s="5" t="s">
        <v>2419</v>
      </c>
      <c r="D254" s="5" t="s">
        <v>564</v>
      </c>
      <c r="E254" s="5" t="s">
        <v>1485</v>
      </c>
      <c r="F254" s="5" t="s">
        <v>71</v>
      </c>
      <c r="G254" s="5" t="s">
        <v>75</v>
      </c>
      <c r="H254" s="5" t="s">
        <v>2395</v>
      </c>
      <c r="I254" s="5">
        <v>202501657</v>
      </c>
      <c r="J254" s="5"/>
      <c r="K254" s="6">
        <v>45946</v>
      </c>
      <c r="L254" s="6">
        <v>45949</v>
      </c>
      <c r="M254" s="42" t="s">
        <v>53</v>
      </c>
      <c r="N254" s="42" t="s">
        <v>54</v>
      </c>
      <c r="O254" s="42" t="s">
        <v>41</v>
      </c>
      <c r="P254" s="30">
        <f t="shared" si="12"/>
        <v>3</v>
      </c>
      <c r="Q254" s="41">
        <v>3121.0850439882697</v>
      </c>
      <c r="R254" s="41">
        <v>6500</v>
      </c>
      <c r="S254" s="41">
        <f t="shared" si="10"/>
        <v>3378.9149560117303</v>
      </c>
    </row>
    <row r="255" spans="1:19">
      <c r="A255" s="5">
        <v>254</v>
      </c>
      <c r="B255" s="5">
        <v>2510163033</v>
      </c>
      <c r="C255" s="5" t="s">
        <v>2420</v>
      </c>
      <c r="D255" s="5" t="s">
        <v>49</v>
      </c>
      <c r="E255" s="5" t="s">
        <v>2125</v>
      </c>
      <c r="F255" s="5" t="s">
        <v>51</v>
      </c>
      <c r="G255" s="5" t="s">
        <v>52</v>
      </c>
      <c r="H255" s="5" t="s">
        <v>2395</v>
      </c>
      <c r="I255" s="5">
        <v>202501658</v>
      </c>
      <c r="J255" s="5"/>
      <c r="K255" s="6">
        <v>45946</v>
      </c>
      <c r="L255" s="6">
        <v>45949</v>
      </c>
      <c r="M255" s="42" t="s">
        <v>53</v>
      </c>
      <c r="N255" s="42" t="s">
        <v>54</v>
      </c>
      <c r="O255" s="42" t="s">
        <v>41</v>
      </c>
      <c r="P255" s="30">
        <f t="shared" si="12"/>
        <v>3</v>
      </c>
      <c r="Q255" s="41">
        <v>3121.0850439882697</v>
      </c>
      <c r="R255" s="41">
        <v>5500</v>
      </c>
      <c r="S255" s="41">
        <f t="shared" si="10"/>
        <v>2378.9149560117303</v>
      </c>
    </row>
    <row r="256" spans="1:19">
      <c r="A256" s="5">
        <v>255</v>
      </c>
      <c r="B256" s="5">
        <v>2510163037</v>
      </c>
      <c r="C256" s="5" t="s">
        <v>2421</v>
      </c>
      <c r="D256" s="5" t="s">
        <v>405</v>
      </c>
      <c r="E256" s="5" t="s">
        <v>485</v>
      </c>
      <c r="F256" s="5" t="s">
        <v>202</v>
      </c>
      <c r="G256" s="5" t="s">
        <v>52</v>
      </c>
      <c r="H256" s="5" t="s">
        <v>2395</v>
      </c>
      <c r="I256" s="5">
        <v>202501659</v>
      </c>
      <c r="J256" s="5"/>
      <c r="K256" s="6">
        <v>45946</v>
      </c>
      <c r="L256" s="6">
        <v>45949</v>
      </c>
      <c r="M256" s="42" t="s">
        <v>53</v>
      </c>
      <c r="N256" s="42" t="s">
        <v>54</v>
      </c>
      <c r="O256" s="42" t="s">
        <v>41</v>
      </c>
      <c r="P256" s="30">
        <f t="shared" si="12"/>
        <v>3</v>
      </c>
      <c r="Q256" s="41">
        <v>3121.0850439882697</v>
      </c>
      <c r="R256" s="41">
        <v>6450</v>
      </c>
      <c r="S256" s="41">
        <f t="shared" si="10"/>
        <v>3328.9149560117303</v>
      </c>
    </row>
    <row r="257" spans="1:19">
      <c r="A257" s="5">
        <v>256</v>
      </c>
      <c r="B257" s="5">
        <v>2510163042</v>
      </c>
      <c r="C257" s="5" t="s">
        <v>2422</v>
      </c>
      <c r="D257" s="5" t="s">
        <v>440</v>
      </c>
      <c r="E257" s="5" t="s">
        <v>1850</v>
      </c>
      <c r="F257" s="5" t="s">
        <v>169</v>
      </c>
      <c r="G257" s="5" t="s">
        <v>52</v>
      </c>
      <c r="H257" s="5" t="s">
        <v>2395</v>
      </c>
      <c r="I257" s="5">
        <v>202501660</v>
      </c>
      <c r="J257" s="5"/>
      <c r="K257" s="6">
        <v>45946</v>
      </c>
      <c r="L257" s="6">
        <v>45949</v>
      </c>
      <c r="M257" s="42" t="s">
        <v>53</v>
      </c>
      <c r="N257" s="42" t="s">
        <v>54</v>
      </c>
      <c r="O257" s="42" t="s">
        <v>41</v>
      </c>
      <c r="P257" s="30">
        <f t="shared" si="12"/>
        <v>3</v>
      </c>
      <c r="Q257" s="41">
        <v>3121.0850439882697</v>
      </c>
      <c r="R257" s="41">
        <v>5500</v>
      </c>
      <c r="S257" s="41">
        <f t="shared" si="10"/>
        <v>2378.9149560117303</v>
      </c>
    </row>
    <row r="258" spans="1:19">
      <c r="A258" s="5">
        <v>257</v>
      </c>
      <c r="B258" s="5">
        <v>2510163050</v>
      </c>
      <c r="C258" s="5" t="s">
        <v>2423</v>
      </c>
      <c r="D258" s="5" t="s">
        <v>2194</v>
      </c>
      <c r="E258" s="5" t="s">
        <v>2279</v>
      </c>
      <c r="F258" s="5" t="s">
        <v>66</v>
      </c>
      <c r="G258" s="5" t="s">
        <v>75</v>
      </c>
      <c r="H258" s="5" t="s">
        <v>2395</v>
      </c>
      <c r="I258" s="5">
        <v>202501661</v>
      </c>
      <c r="J258" s="5"/>
      <c r="K258" s="6">
        <v>45946</v>
      </c>
      <c r="L258" s="6">
        <v>45949</v>
      </c>
      <c r="M258" s="42" t="s">
        <v>53</v>
      </c>
      <c r="N258" s="42" t="s">
        <v>54</v>
      </c>
      <c r="O258" s="42" t="s">
        <v>41</v>
      </c>
      <c r="P258" s="30">
        <f t="shared" si="12"/>
        <v>3</v>
      </c>
      <c r="Q258" s="41">
        <v>3121.0850439882697</v>
      </c>
      <c r="R258" s="61">
        <v>2500</v>
      </c>
      <c r="S258" s="41">
        <f t="shared" ref="S258:S321" si="13">R258-Q258</f>
        <v>-621.08504398826972</v>
      </c>
    </row>
    <row r="259" spans="1:19">
      <c r="A259" s="5">
        <v>258</v>
      </c>
      <c r="B259" s="5">
        <v>2510163055</v>
      </c>
      <c r="C259" s="5" t="s">
        <v>2424</v>
      </c>
      <c r="D259" s="5" t="s">
        <v>2194</v>
      </c>
      <c r="E259" s="5" t="s">
        <v>2279</v>
      </c>
      <c r="F259" s="5" t="s">
        <v>66</v>
      </c>
      <c r="G259" s="5" t="s">
        <v>75</v>
      </c>
      <c r="H259" s="5" t="s">
        <v>2395</v>
      </c>
      <c r="I259" s="5">
        <v>202501662</v>
      </c>
      <c r="J259" s="5"/>
      <c r="K259" s="6">
        <v>45946</v>
      </c>
      <c r="L259" s="6">
        <v>45949</v>
      </c>
      <c r="M259" s="42" t="s">
        <v>53</v>
      </c>
      <c r="N259" s="42" t="s">
        <v>54</v>
      </c>
      <c r="O259" s="42" t="s">
        <v>41</v>
      </c>
      <c r="P259" s="30">
        <f t="shared" si="12"/>
        <v>3</v>
      </c>
      <c r="Q259" s="41">
        <v>3121.0850439882697</v>
      </c>
      <c r="R259" s="61">
        <v>2500</v>
      </c>
      <c r="S259" s="41">
        <f t="shared" si="13"/>
        <v>-621.08504398826972</v>
      </c>
    </row>
    <row r="260" spans="1:19">
      <c r="A260" s="5">
        <v>259</v>
      </c>
      <c r="B260" s="5">
        <v>2510163056</v>
      </c>
      <c r="C260" s="5" t="s">
        <v>2425</v>
      </c>
      <c r="D260" s="5" t="s">
        <v>2194</v>
      </c>
      <c r="E260" s="5" t="s">
        <v>2279</v>
      </c>
      <c r="F260" s="5" t="s">
        <v>66</v>
      </c>
      <c r="G260" s="5" t="s">
        <v>75</v>
      </c>
      <c r="H260" s="5" t="s">
        <v>2395</v>
      </c>
      <c r="I260" s="5">
        <v>202501663</v>
      </c>
      <c r="J260" s="5"/>
      <c r="K260" s="6">
        <v>45946</v>
      </c>
      <c r="L260" s="6">
        <v>45949</v>
      </c>
      <c r="M260" s="42" t="s">
        <v>53</v>
      </c>
      <c r="N260" s="42" t="s">
        <v>54</v>
      </c>
      <c r="O260" s="42" t="s">
        <v>41</v>
      </c>
      <c r="P260" s="30">
        <f t="shared" si="12"/>
        <v>3</v>
      </c>
      <c r="Q260" s="41">
        <v>3121.0850439882697</v>
      </c>
      <c r="R260" s="61">
        <v>2500</v>
      </c>
      <c r="S260" s="41">
        <f t="shared" si="13"/>
        <v>-621.08504398826972</v>
      </c>
    </row>
    <row r="261" spans="1:19">
      <c r="A261" s="5">
        <v>260</v>
      </c>
      <c r="B261" s="5">
        <v>2510163057</v>
      </c>
      <c r="C261" s="5" t="s">
        <v>2426</v>
      </c>
      <c r="D261" s="5" t="s">
        <v>855</v>
      </c>
      <c r="E261" s="5" t="s">
        <v>2068</v>
      </c>
      <c r="F261" s="5" t="s">
        <v>51</v>
      </c>
      <c r="G261" s="5" t="s">
        <v>52</v>
      </c>
      <c r="H261" s="5" t="s">
        <v>2395</v>
      </c>
      <c r="I261" s="5">
        <v>202501664</v>
      </c>
      <c r="J261" s="5"/>
      <c r="K261" s="6">
        <v>45946</v>
      </c>
      <c r="L261" s="6">
        <v>45949</v>
      </c>
      <c r="M261" s="42" t="s">
        <v>53</v>
      </c>
      <c r="N261" s="42" t="s">
        <v>54</v>
      </c>
      <c r="O261" s="42" t="s">
        <v>41</v>
      </c>
      <c r="P261" s="30">
        <f t="shared" si="12"/>
        <v>3</v>
      </c>
      <c r="Q261" s="41">
        <v>3121.0850439882697</v>
      </c>
      <c r="R261" s="41">
        <v>5500</v>
      </c>
      <c r="S261" s="41">
        <f t="shared" si="13"/>
        <v>2378.9149560117303</v>
      </c>
    </row>
    <row r="262" spans="1:19">
      <c r="A262" s="5">
        <v>261</v>
      </c>
      <c r="B262" s="5">
        <v>2510163058</v>
      </c>
      <c r="C262" s="5" t="s">
        <v>2427</v>
      </c>
      <c r="D262" s="5" t="s">
        <v>572</v>
      </c>
      <c r="E262" s="5" t="s">
        <v>2428</v>
      </c>
      <c r="F262" s="5" t="s">
        <v>87</v>
      </c>
      <c r="G262" s="5" t="s">
        <v>52</v>
      </c>
      <c r="H262" s="5" t="s">
        <v>2395</v>
      </c>
      <c r="I262" s="5">
        <v>202501665</v>
      </c>
      <c r="J262" s="5"/>
      <c r="K262" s="6">
        <v>45946</v>
      </c>
      <c r="L262" s="6">
        <v>45949</v>
      </c>
      <c r="M262" s="42" t="s">
        <v>53</v>
      </c>
      <c r="N262" s="42" t="s">
        <v>54</v>
      </c>
      <c r="O262" s="42" t="s">
        <v>41</v>
      </c>
      <c r="P262" s="30">
        <f t="shared" si="12"/>
        <v>3</v>
      </c>
      <c r="Q262" s="41">
        <v>3121.0850439882697</v>
      </c>
      <c r="R262" s="41">
        <v>6000</v>
      </c>
      <c r="S262" s="41">
        <f t="shared" si="13"/>
        <v>2878.9149560117303</v>
      </c>
    </row>
    <row r="263" spans="1:19">
      <c r="A263" s="5">
        <v>262</v>
      </c>
      <c r="B263" s="5">
        <v>2510163059</v>
      </c>
      <c r="C263" s="5" t="s">
        <v>2429</v>
      </c>
      <c r="D263" s="5" t="s">
        <v>2430</v>
      </c>
      <c r="E263" s="5" t="s">
        <v>2431</v>
      </c>
      <c r="F263" s="5" t="s">
        <v>66</v>
      </c>
      <c r="G263" s="5" t="s">
        <v>52</v>
      </c>
      <c r="H263" s="5" t="s">
        <v>2395</v>
      </c>
      <c r="I263" s="5">
        <v>202501666</v>
      </c>
      <c r="J263" s="5"/>
      <c r="K263" s="6">
        <v>45946</v>
      </c>
      <c r="L263" s="6">
        <v>45949</v>
      </c>
      <c r="M263" s="42" t="s">
        <v>53</v>
      </c>
      <c r="N263" s="42" t="s">
        <v>54</v>
      </c>
      <c r="O263" s="42" t="s">
        <v>41</v>
      </c>
      <c r="P263" s="30">
        <f t="shared" si="12"/>
        <v>3</v>
      </c>
      <c r="Q263" s="41">
        <v>3121.0850439882697</v>
      </c>
      <c r="R263" s="41">
        <v>5500</v>
      </c>
      <c r="S263" s="41">
        <f t="shared" si="13"/>
        <v>2378.9149560117303</v>
      </c>
    </row>
    <row r="264" spans="1:19">
      <c r="A264" s="5">
        <v>263</v>
      </c>
      <c r="B264" s="5">
        <v>2510163060</v>
      </c>
      <c r="C264" s="5" t="s">
        <v>2432</v>
      </c>
      <c r="D264" s="5" t="s">
        <v>715</v>
      </c>
      <c r="E264" s="5" t="s">
        <v>1480</v>
      </c>
      <c r="F264" s="5" t="s">
        <v>71</v>
      </c>
      <c r="G264" s="5" t="s">
        <v>43</v>
      </c>
      <c r="H264" s="5" t="s">
        <v>2395</v>
      </c>
      <c r="I264" s="5">
        <v>202501667</v>
      </c>
      <c r="J264" s="5"/>
      <c r="K264" s="6">
        <v>45946</v>
      </c>
      <c r="L264" s="6">
        <v>45949</v>
      </c>
      <c r="M264" s="42" t="s">
        <v>53</v>
      </c>
      <c r="N264" s="42" t="s">
        <v>54</v>
      </c>
      <c r="O264" s="42" t="s">
        <v>41</v>
      </c>
      <c r="P264" s="30">
        <f t="shared" si="12"/>
        <v>3</v>
      </c>
      <c r="Q264" s="41">
        <v>3121.0850439882697</v>
      </c>
      <c r="R264" s="41">
        <v>9000</v>
      </c>
      <c r="S264" s="41">
        <f t="shared" si="13"/>
        <v>5878.9149560117303</v>
      </c>
    </row>
    <row r="265" spans="1:19">
      <c r="A265" s="5">
        <v>264</v>
      </c>
      <c r="B265" s="5" t="s">
        <v>1239</v>
      </c>
      <c r="C265" s="5"/>
      <c r="D265" s="5"/>
      <c r="E265" s="5"/>
      <c r="F265" s="5"/>
      <c r="G265" s="5" t="s">
        <v>52</v>
      </c>
      <c r="H265" s="5"/>
      <c r="I265" s="5"/>
      <c r="J265" s="5"/>
      <c r="K265" s="5"/>
      <c r="L265" s="5"/>
      <c r="M265" s="5"/>
      <c r="N265" s="5"/>
      <c r="O265" s="5"/>
      <c r="P265" s="5"/>
      <c r="Q265" s="41">
        <v>3121.0850439882697</v>
      </c>
      <c r="R265" s="41">
        <v>0</v>
      </c>
      <c r="S265" s="41">
        <f t="shared" si="13"/>
        <v>-3121.0850439882697</v>
      </c>
    </row>
    <row r="266" spans="1:19">
      <c r="A266" s="5">
        <v>265</v>
      </c>
      <c r="B266" s="5" t="s">
        <v>1240</v>
      </c>
      <c r="C266" s="5"/>
      <c r="D266" s="5"/>
      <c r="E266" s="5"/>
      <c r="F266" s="5"/>
      <c r="G266" s="5" t="s">
        <v>52</v>
      </c>
      <c r="H266" s="5"/>
      <c r="I266" s="5"/>
      <c r="J266" s="5"/>
      <c r="K266" s="5"/>
      <c r="L266" s="5"/>
      <c r="M266" s="5"/>
      <c r="N266" s="5"/>
      <c r="O266" s="5"/>
      <c r="P266" s="5"/>
      <c r="Q266" s="41">
        <v>3121.0850439882697</v>
      </c>
      <c r="R266" s="41">
        <v>0</v>
      </c>
      <c r="S266" s="41">
        <f t="shared" si="13"/>
        <v>-3121.0850439882697</v>
      </c>
    </row>
    <row r="267" spans="1:19">
      <c r="A267" s="5">
        <v>266</v>
      </c>
      <c r="B267" s="17">
        <v>2510010844</v>
      </c>
      <c r="C267" s="17" t="s">
        <v>2168</v>
      </c>
      <c r="D267" s="17" t="s">
        <v>40</v>
      </c>
      <c r="E267" s="17" t="s">
        <v>41</v>
      </c>
      <c r="F267" s="17" t="s">
        <v>42</v>
      </c>
      <c r="G267" s="17" t="s">
        <v>190</v>
      </c>
      <c r="H267" s="17" t="s">
        <v>2433</v>
      </c>
      <c r="I267" s="17" t="s">
        <v>2434</v>
      </c>
      <c r="J267" s="17"/>
      <c r="K267" s="18">
        <v>45949</v>
      </c>
      <c r="L267" s="18">
        <v>45952</v>
      </c>
      <c r="M267" s="46" t="s">
        <v>53</v>
      </c>
      <c r="N267" s="46" t="s">
        <v>480</v>
      </c>
      <c r="O267" s="46" t="s">
        <v>2397</v>
      </c>
      <c r="P267" s="31">
        <f t="shared" ref="P267:P295" si="14">L267-K267</f>
        <v>3</v>
      </c>
      <c r="Q267" s="19">
        <v>3121.0850439882697</v>
      </c>
      <c r="R267" s="19">
        <v>0</v>
      </c>
      <c r="S267" s="19">
        <f t="shared" si="13"/>
        <v>-3121.0850439882697</v>
      </c>
    </row>
    <row r="268" spans="1:19">
      <c r="A268" s="5">
        <v>267</v>
      </c>
      <c r="B268" s="22">
        <v>2510112886</v>
      </c>
      <c r="C268" s="22" t="s">
        <v>2346</v>
      </c>
      <c r="D268" s="22" t="s">
        <v>218</v>
      </c>
      <c r="E268" s="22" t="s">
        <v>2347</v>
      </c>
      <c r="F268" s="22" t="s">
        <v>51</v>
      </c>
      <c r="G268" s="22" t="s">
        <v>52</v>
      </c>
      <c r="H268" s="22" t="s">
        <v>2433</v>
      </c>
      <c r="I268" s="22" t="s">
        <v>2435</v>
      </c>
      <c r="J268" s="22"/>
      <c r="K268" s="23">
        <v>45948</v>
      </c>
      <c r="L268" s="23">
        <v>45952</v>
      </c>
      <c r="M268" s="50" t="s">
        <v>53</v>
      </c>
      <c r="N268" s="50" t="s">
        <v>54</v>
      </c>
      <c r="O268" s="50" t="s">
        <v>41</v>
      </c>
      <c r="P268" s="34">
        <f t="shared" si="14"/>
        <v>4</v>
      </c>
      <c r="Q268" s="24">
        <v>3121.0850439882697</v>
      </c>
      <c r="R268" s="24">
        <v>0</v>
      </c>
      <c r="S268" s="24">
        <f t="shared" si="13"/>
        <v>-3121.0850439882697</v>
      </c>
    </row>
    <row r="269" spans="1:19">
      <c r="A269" s="5">
        <v>268</v>
      </c>
      <c r="B269" s="13">
        <v>2510172858</v>
      </c>
      <c r="C269" s="13" t="s">
        <v>2436</v>
      </c>
      <c r="D269" s="13" t="s">
        <v>69</v>
      </c>
      <c r="E269" s="13" t="s">
        <v>2437</v>
      </c>
      <c r="F269" s="13" t="s">
        <v>71</v>
      </c>
      <c r="G269" s="13" t="s">
        <v>43</v>
      </c>
      <c r="H269" s="13" t="s">
        <v>2433</v>
      </c>
      <c r="I269" s="13">
        <v>202501668</v>
      </c>
      <c r="J269" s="13"/>
      <c r="K269" s="14">
        <v>45947</v>
      </c>
      <c r="L269" s="14">
        <v>45952</v>
      </c>
      <c r="M269" s="118" t="s">
        <v>45</v>
      </c>
      <c r="N269" s="118" t="s">
        <v>46</v>
      </c>
      <c r="O269" s="118" t="s">
        <v>1523</v>
      </c>
      <c r="P269" s="35">
        <f t="shared" si="14"/>
        <v>5</v>
      </c>
      <c r="Q269" s="15">
        <v>3121.0850439882697</v>
      </c>
      <c r="R269" s="15">
        <v>12000</v>
      </c>
      <c r="S269" s="15">
        <f t="shared" si="13"/>
        <v>8878.9149560117294</v>
      </c>
    </row>
    <row r="270" spans="1:19">
      <c r="A270" s="5">
        <v>269</v>
      </c>
      <c r="B270" s="5">
        <v>2510172861</v>
      </c>
      <c r="C270" s="5" t="s">
        <v>2438</v>
      </c>
      <c r="D270" s="5" t="s">
        <v>804</v>
      </c>
      <c r="E270" s="5" t="s">
        <v>805</v>
      </c>
      <c r="F270" s="5" t="s">
        <v>457</v>
      </c>
      <c r="G270" s="5" t="s">
        <v>75</v>
      </c>
      <c r="H270" s="5" t="s">
        <v>2433</v>
      </c>
      <c r="I270" s="5">
        <v>202501669</v>
      </c>
      <c r="J270" s="5"/>
      <c r="K270" s="6">
        <v>45947</v>
      </c>
      <c r="L270" s="6">
        <v>45952</v>
      </c>
      <c r="M270" s="42" t="s">
        <v>53</v>
      </c>
      <c r="N270" s="42" t="s">
        <v>54</v>
      </c>
      <c r="O270" s="42" t="s">
        <v>41</v>
      </c>
      <c r="P270" s="30">
        <f t="shared" si="14"/>
        <v>5</v>
      </c>
      <c r="Q270" s="41">
        <v>3121.0850439882697</v>
      </c>
      <c r="R270" s="41">
        <v>4000</v>
      </c>
      <c r="S270" s="41">
        <f t="shared" si="13"/>
        <v>878.91495601173028</v>
      </c>
    </row>
    <row r="271" spans="1:19">
      <c r="A271" s="5">
        <v>270</v>
      </c>
      <c r="B271" s="5">
        <v>2510172865</v>
      </c>
      <c r="C271" s="5" t="s">
        <v>2439</v>
      </c>
      <c r="D271" s="5" t="s">
        <v>77</v>
      </c>
      <c r="E271" s="5" t="s">
        <v>1874</v>
      </c>
      <c r="F271" s="5" t="s">
        <v>79</v>
      </c>
      <c r="G271" s="5" t="s">
        <v>52</v>
      </c>
      <c r="H271" s="5" t="s">
        <v>2433</v>
      </c>
      <c r="I271" s="5">
        <v>202501670</v>
      </c>
      <c r="J271" s="5"/>
      <c r="K271" s="6">
        <v>45947</v>
      </c>
      <c r="L271" s="6">
        <v>45952</v>
      </c>
      <c r="M271" s="42" t="s">
        <v>53</v>
      </c>
      <c r="N271" s="42" t="s">
        <v>54</v>
      </c>
      <c r="O271" s="42" t="s">
        <v>41</v>
      </c>
      <c r="P271" s="30">
        <f t="shared" si="14"/>
        <v>5</v>
      </c>
      <c r="Q271" s="41">
        <v>3121.0850439882697</v>
      </c>
      <c r="R271" s="41">
        <v>5500</v>
      </c>
      <c r="S271" s="41">
        <f t="shared" si="13"/>
        <v>2378.9149560117303</v>
      </c>
    </row>
    <row r="272" spans="1:19">
      <c r="A272" s="5">
        <v>271</v>
      </c>
      <c r="B272" s="5">
        <v>2510172867</v>
      </c>
      <c r="C272" s="5" t="s">
        <v>2440</v>
      </c>
      <c r="D272" s="5" t="s">
        <v>77</v>
      </c>
      <c r="E272" s="5" t="s">
        <v>1874</v>
      </c>
      <c r="F272" s="5" t="s">
        <v>79</v>
      </c>
      <c r="G272" s="5" t="s">
        <v>43</v>
      </c>
      <c r="H272" s="5" t="s">
        <v>2433</v>
      </c>
      <c r="I272" s="5">
        <v>202501671</v>
      </c>
      <c r="J272" s="5"/>
      <c r="K272" s="6">
        <v>45947</v>
      </c>
      <c r="L272" s="6">
        <v>45952</v>
      </c>
      <c r="M272" s="42" t="s">
        <v>53</v>
      </c>
      <c r="N272" s="42" t="s">
        <v>54</v>
      </c>
      <c r="O272" s="42" t="s">
        <v>41</v>
      </c>
      <c r="P272" s="30">
        <f t="shared" si="14"/>
        <v>5</v>
      </c>
      <c r="Q272" s="41">
        <v>3121.0850439882697</v>
      </c>
      <c r="R272" s="41">
        <v>8500</v>
      </c>
      <c r="S272" s="41">
        <f t="shared" si="13"/>
        <v>5378.9149560117303</v>
      </c>
    </row>
    <row r="273" spans="1:19">
      <c r="A273" s="5">
        <v>272</v>
      </c>
      <c r="B273" s="5">
        <v>2510170787</v>
      </c>
      <c r="C273" s="5" t="s">
        <v>2441</v>
      </c>
      <c r="D273" s="5" t="s">
        <v>40</v>
      </c>
      <c r="E273" s="5" t="s">
        <v>41</v>
      </c>
      <c r="F273" s="5" t="s">
        <v>42</v>
      </c>
      <c r="G273" s="5" t="s">
        <v>190</v>
      </c>
      <c r="H273" s="5" t="s">
        <v>2433</v>
      </c>
      <c r="I273" s="5">
        <v>202501672</v>
      </c>
      <c r="J273" s="5"/>
      <c r="K273" s="6">
        <v>45947</v>
      </c>
      <c r="L273" s="6">
        <v>45952</v>
      </c>
      <c r="M273" s="42" t="s">
        <v>53</v>
      </c>
      <c r="N273" s="42" t="s">
        <v>54</v>
      </c>
      <c r="O273" s="42" t="s">
        <v>41</v>
      </c>
      <c r="P273" s="30">
        <f t="shared" si="14"/>
        <v>5</v>
      </c>
      <c r="Q273" s="41">
        <v>3121.0850439882697</v>
      </c>
      <c r="R273" s="41">
        <v>13500</v>
      </c>
      <c r="S273" s="41">
        <f t="shared" si="13"/>
        <v>10378.914956011729</v>
      </c>
    </row>
    <row r="274" spans="1:19">
      <c r="A274" s="5">
        <v>273</v>
      </c>
      <c r="B274" s="5">
        <v>2510172868</v>
      </c>
      <c r="C274" s="5" t="s">
        <v>2442</v>
      </c>
      <c r="D274" s="5" t="s">
        <v>528</v>
      </c>
      <c r="E274" s="5" t="s">
        <v>2161</v>
      </c>
      <c r="F274" s="5" t="s">
        <v>202</v>
      </c>
      <c r="G274" s="5" t="s">
        <v>52</v>
      </c>
      <c r="H274" s="5" t="s">
        <v>2433</v>
      </c>
      <c r="I274" s="5">
        <v>202501673</v>
      </c>
      <c r="J274" s="5"/>
      <c r="K274" s="6">
        <v>45947</v>
      </c>
      <c r="L274" s="6">
        <v>45952</v>
      </c>
      <c r="M274" s="42" t="s">
        <v>53</v>
      </c>
      <c r="N274" s="42" t="s">
        <v>54</v>
      </c>
      <c r="O274" s="42" t="s">
        <v>41</v>
      </c>
      <c r="P274" s="30">
        <f t="shared" si="14"/>
        <v>5</v>
      </c>
      <c r="Q274" s="41">
        <v>3121.0850439882697</v>
      </c>
      <c r="R274" s="41">
        <v>7500</v>
      </c>
      <c r="S274" s="41">
        <f t="shared" si="13"/>
        <v>4378.9149560117303</v>
      </c>
    </row>
    <row r="275" spans="1:19">
      <c r="A275" s="5">
        <v>274</v>
      </c>
      <c r="B275" s="5">
        <v>2510172870</v>
      </c>
      <c r="C275" s="5" t="s">
        <v>2443</v>
      </c>
      <c r="D275" s="5" t="s">
        <v>1261</v>
      </c>
      <c r="E275" s="5" t="s">
        <v>1806</v>
      </c>
      <c r="F275" s="5" t="s">
        <v>71</v>
      </c>
      <c r="G275" s="5" t="s">
        <v>75</v>
      </c>
      <c r="H275" s="5" t="s">
        <v>2433</v>
      </c>
      <c r="I275" s="5">
        <v>202501674</v>
      </c>
      <c r="J275" s="5"/>
      <c r="K275" s="6">
        <v>45947</v>
      </c>
      <c r="L275" s="6">
        <v>45952</v>
      </c>
      <c r="M275" s="42" t="s">
        <v>53</v>
      </c>
      <c r="N275" s="42" t="s">
        <v>54</v>
      </c>
      <c r="O275" s="42" t="s">
        <v>41</v>
      </c>
      <c r="P275" s="30">
        <f t="shared" si="14"/>
        <v>5</v>
      </c>
      <c r="Q275" s="41">
        <v>3121.0850439882697</v>
      </c>
      <c r="R275" s="41">
        <v>4500</v>
      </c>
      <c r="S275" s="41">
        <f t="shared" si="13"/>
        <v>1378.9149560117303</v>
      </c>
    </row>
    <row r="276" spans="1:19">
      <c r="A276" s="5">
        <v>275</v>
      </c>
      <c r="B276" s="5">
        <v>2510172873</v>
      </c>
      <c r="C276" s="5" t="s">
        <v>2444</v>
      </c>
      <c r="D276" s="5" t="s">
        <v>60</v>
      </c>
      <c r="E276" s="5" t="s">
        <v>1896</v>
      </c>
      <c r="F276" s="5" t="s">
        <v>62</v>
      </c>
      <c r="G276" s="5" t="s">
        <v>52</v>
      </c>
      <c r="H276" s="5" t="s">
        <v>2433</v>
      </c>
      <c r="I276" s="5">
        <v>202501675</v>
      </c>
      <c r="J276" s="5"/>
      <c r="K276" s="6">
        <v>45947</v>
      </c>
      <c r="L276" s="6">
        <v>45952</v>
      </c>
      <c r="M276" s="42" t="s">
        <v>53</v>
      </c>
      <c r="N276" s="42" t="s">
        <v>54</v>
      </c>
      <c r="O276" s="42" t="s">
        <v>41</v>
      </c>
      <c r="P276" s="30">
        <f t="shared" si="14"/>
        <v>5</v>
      </c>
      <c r="Q276" s="41">
        <v>3121.0850439882697</v>
      </c>
      <c r="R276" s="41">
        <v>6000</v>
      </c>
      <c r="S276" s="41">
        <f t="shared" si="13"/>
        <v>2878.9149560117303</v>
      </c>
    </row>
    <row r="277" spans="1:19">
      <c r="A277" s="5">
        <v>276</v>
      </c>
      <c r="B277" s="5">
        <v>2510172877</v>
      </c>
      <c r="C277" s="5" t="s">
        <v>2445</v>
      </c>
      <c r="D277" s="5" t="s">
        <v>440</v>
      </c>
      <c r="E277" s="5" t="s">
        <v>441</v>
      </c>
      <c r="F277" s="5" t="s">
        <v>169</v>
      </c>
      <c r="G277" s="5" t="s">
        <v>52</v>
      </c>
      <c r="H277" s="5" t="s">
        <v>2433</v>
      </c>
      <c r="I277" s="5">
        <v>202501676</v>
      </c>
      <c r="J277" s="5"/>
      <c r="K277" s="6">
        <v>45947</v>
      </c>
      <c r="L277" s="6">
        <v>45952</v>
      </c>
      <c r="M277" s="42" t="s">
        <v>53</v>
      </c>
      <c r="N277" s="42" t="s">
        <v>54</v>
      </c>
      <c r="O277" s="42" t="s">
        <v>41</v>
      </c>
      <c r="P277" s="30">
        <f t="shared" si="14"/>
        <v>5</v>
      </c>
      <c r="Q277" s="41">
        <v>3121.0850439882697</v>
      </c>
      <c r="R277" s="41">
        <v>5500</v>
      </c>
      <c r="S277" s="41">
        <f t="shared" si="13"/>
        <v>2378.9149560117303</v>
      </c>
    </row>
    <row r="278" spans="1:19">
      <c r="A278" s="5">
        <v>277</v>
      </c>
      <c r="B278" s="5">
        <v>2510172879</v>
      </c>
      <c r="C278" s="5" t="s">
        <v>2446</v>
      </c>
      <c r="D278" s="5" t="s">
        <v>334</v>
      </c>
      <c r="E278" s="5" t="s">
        <v>1879</v>
      </c>
      <c r="F278" s="5" t="s">
        <v>71</v>
      </c>
      <c r="G278" s="5" t="s">
        <v>52</v>
      </c>
      <c r="H278" s="5" t="s">
        <v>2433</v>
      </c>
      <c r="I278" s="5">
        <v>202501677</v>
      </c>
      <c r="J278" s="5"/>
      <c r="K278" s="6">
        <v>45947</v>
      </c>
      <c r="L278" s="6">
        <v>45952</v>
      </c>
      <c r="M278" s="42" t="s">
        <v>53</v>
      </c>
      <c r="N278" s="42" t="s">
        <v>54</v>
      </c>
      <c r="O278" s="42" t="s">
        <v>41</v>
      </c>
      <c r="P278" s="30">
        <f t="shared" si="14"/>
        <v>5</v>
      </c>
      <c r="Q278" s="41">
        <v>3121.0850439882697</v>
      </c>
      <c r="R278" s="41">
        <v>5950</v>
      </c>
      <c r="S278" s="41">
        <f t="shared" si="13"/>
        <v>2828.9149560117303</v>
      </c>
    </row>
    <row r="279" spans="1:19">
      <c r="A279" s="5">
        <v>278</v>
      </c>
      <c r="B279" s="9">
        <v>2510172883</v>
      </c>
      <c r="C279" s="9" t="s">
        <v>2447</v>
      </c>
      <c r="D279" s="9" t="s">
        <v>405</v>
      </c>
      <c r="E279" s="9" t="s">
        <v>2208</v>
      </c>
      <c r="F279" s="9" t="s">
        <v>202</v>
      </c>
      <c r="G279" s="9" t="s">
        <v>52</v>
      </c>
      <c r="H279" s="9" t="s">
        <v>2433</v>
      </c>
      <c r="I279" s="9">
        <v>202501678</v>
      </c>
      <c r="J279" s="9"/>
      <c r="K279" s="10">
        <v>45947</v>
      </c>
      <c r="L279" s="10">
        <v>45952</v>
      </c>
      <c r="M279" s="54" t="s">
        <v>45</v>
      </c>
      <c r="N279" s="54" t="s">
        <v>94</v>
      </c>
      <c r="O279" s="9" t="s">
        <v>1698</v>
      </c>
      <c r="P279" s="32">
        <f t="shared" si="14"/>
        <v>5</v>
      </c>
      <c r="Q279" s="11">
        <v>3121.0850439882697</v>
      </c>
      <c r="R279" s="11">
        <v>6450</v>
      </c>
      <c r="S279" s="11">
        <f t="shared" si="13"/>
        <v>3328.9149560117303</v>
      </c>
    </row>
    <row r="280" spans="1:19">
      <c r="A280" s="5">
        <v>279</v>
      </c>
      <c r="B280" s="5">
        <v>2510182561</v>
      </c>
      <c r="C280" s="5" t="s">
        <v>2448</v>
      </c>
      <c r="D280" s="5" t="s">
        <v>309</v>
      </c>
      <c r="E280" s="5" t="s">
        <v>1597</v>
      </c>
      <c r="F280" s="5" t="s">
        <v>51</v>
      </c>
      <c r="G280" s="5" t="s">
        <v>52</v>
      </c>
      <c r="H280" s="5" t="s">
        <v>2433</v>
      </c>
      <c r="I280" s="5">
        <v>202501679</v>
      </c>
      <c r="J280" s="5"/>
      <c r="K280" s="6">
        <v>45948</v>
      </c>
      <c r="L280" s="6">
        <v>45952</v>
      </c>
      <c r="M280" s="42" t="s">
        <v>53</v>
      </c>
      <c r="N280" s="42" t="s">
        <v>54</v>
      </c>
      <c r="O280" s="42" t="s">
        <v>41</v>
      </c>
      <c r="P280" s="30">
        <f t="shared" si="14"/>
        <v>4</v>
      </c>
      <c r="Q280" s="41">
        <v>3121.0850439882697</v>
      </c>
      <c r="R280" s="41">
        <v>5500</v>
      </c>
      <c r="S280" s="41">
        <f t="shared" si="13"/>
        <v>2378.9149560117303</v>
      </c>
    </row>
    <row r="281" spans="1:19">
      <c r="A281" s="5">
        <v>280</v>
      </c>
      <c r="B281" s="5">
        <v>2510182566</v>
      </c>
      <c r="C281" s="5" t="s">
        <v>2449</v>
      </c>
      <c r="D281" s="5" t="s">
        <v>1475</v>
      </c>
      <c r="E281" s="5" t="s">
        <v>1476</v>
      </c>
      <c r="F281" s="5" t="s">
        <v>362</v>
      </c>
      <c r="G281" s="5" t="s">
        <v>43</v>
      </c>
      <c r="H281" s="5" t="s">
        <v>2433</v>
      </c>
      <c r="I281" s="5">
        <v>202501680</v>
      </c>
      <c r="J281" s="5"/>
      <c r="K281" s="6">
        <v>45948</v>
      </c>
      <c r="L281" s="6">
        <v>45952</v>
      </c>
      <c r="M281" s="42" t="s">
        <v>53</v>
      </c>
      <c r="N281" s="42" t="s">
        <v>54</v>
      </c>
      <c r="O281" s="42" t="s">
        <v>41</v>
      </c>
      <c r="P281" s="30">
        <f t="shared" si="14"/>
        <v>4</v>
      </c>
      <c r="Q281" s="41">
        <v>3121.0850439882697</v>
      </c>
      <c r="R281" s="41">
        <v>10500</v>
      </c>
      <c r="S281" s="41">
        <f t="shared" si="13"/>
        <v>7378.9149560117303</v>
      </c>
    </row>
    <row r="282" spans="1:19">
      <c r="A282" s="5">
        <v>281</v>
      </c>
      <c r="B282" s="5">
        <v>2510182577</v>
      </c>
      <c r="C282" s="5" t="s">
        <v>2450</v>
      </c>
      <c r="D282" s="5" t="s">
        <v>1765</v>
      </c>
      <c r="E282" s="5" t="s">
        <v>1766</v>
      </c>
      <c r="F282" s="5" t="s">
        <v>51</v>
      </c>
      <c r="G282" s="5" t="s">
        <v>52</v>
      </c>
      <c r="H282" s="5" t="s">
        <v>2433</v>
      </c>
      <c r="I282" s="5">
        <v>202501681</v>
      </c>
      <c r="J282" s="5"/>
      <c r="K282" s="6">
        <v>45948</v>
      </c>
      <c r="L282" s="6">
        <v>45952</v>
      </c>
      <c r="M282" s="42" t="s">
        <v>53</v>
      </c>
      <c r="N282" s="42" t="s">
        <v>54</v>
      </c>
      <c r="O282" s="42" t="s">
        <v>41</v>
      </c>
      <c r="P282" s="30">
        <f t="shared" si="14"/>
        <v>4</v>
      </c>
      <c r="Q282" s="41">
        <v>3121.0850439882697</v>
      </c>
      <c r="R282" s="41">
        <v>5500</v>
      </c>
      <c r="S282" s="41">
        <f t="shared" si="13"/>
        <v>2378.9149560117303</v>
      </c>
    </row>
    <row r="283" spans="1:19">
      <c r="A283" s="5">
        <v>282</v>
      </c>
      <c r="B283" s="5">
        <v>2510182580</v>
      </c>
      <c r="C283" s="5" t="s">
        <v>2451</v>
      </c>
      <c r="D283" s="5" t="s">
        <v>881</v>
      </c>
      <c r="E283" s="5" t="s">
        <v>1775</v>
      </c>
      <c r="F283" s="5" t="s">
        <v>457</v>
      </c>
      <c r="G283" s="5" t="s">
        <v>52</v>
      </c>
      <c r="H283" s="5" t="s">
        <v>2433</v>
      </c>
      <c r="I283" s="5">
        <v>202501682</v>
      </c>
      <c r="J283" s="5"/>
      <c r="K283" s="6">
        <v>45948</v>
      </c>
      <c r="L283" s="6">
        <v>45952</v>
      </c>
      <c r="M283" s="42" t="s">
        <v>53</v>
      </c>
      <c r="N283" s="42" t="s">
        <v>54</v>
      </c>
      <c r="O283" s="42" t="s">
        <v>41</v>
      </c>
      <c r="P283" s="30">
        <f t="shared" si="14"/>
        <v>4</v>
      </c>
      <c r="Q283" s="41">
        <v>3121.0850439882697</v>
      </c>
      <c r="R283" s="41">
        <v>6000</v>
      </c>
      <c r="S283" s="41">
        <f t="shared" si="13"/>
        <v>2878.9149560117303</v>
      </c>
    </row>
    <row r="284" spans="1:19">
      <c r="A284" s="5">
        <v>283</v>
      </c>
      <c r="B284" s="5">
        <v>2510182584</v>
      </c>
      <c r="C284" s="5" t="s">
        <v>2452</v>
      </c>
      <c r="D284" s="5" t="s">
        <v>528</v>
      </c>
      <c r="E284" s="5" t="s">
        <v>1917</v>
      </c>
      <c r="F284" s="5" t="s">
        <v>202</v>
      </c>
      <c r="G284" s="5" t="s">
        <v>52</v>
      </c>
      <c r="H284" s="5" t="s">
        <v>2433</v>
      </c>
      <c r="I284" s="5">
        <v>202501683</v>
      </c>
      <c r="J284" s="5"/>
      <c r="K284" s="6">
        <v>45948</v>
      </c>
      <c r="L284" s="6">
        <v>45952</v>
      </c>
      <c r="M284" s="42" t="s">
        <v>53</v>
      </c>
      <c r="N284" s="42" t="s">
        <v>54</v>
      </c>
      <c r="O284" s="42" t="s">
        <v>41</v>
      </c>
      <c r="P284" s="30">
        <f t="shared" si="14"/>
        <v>4</v>
      </c>
      <c r="Q284" s="41">
        <v>3121.0850439882697</v>
      </c>
      <c r="R284" s="41">
        <v>7500</v>
      </c>
      <c r="S284" s="41">
        <f t="shared" si="13"/>
        <v>4378.9149560117303</v>
      </c>
    </row>
    <row r="285" spans="1:19">
      <c r="A285" s="5">
        <v>284</v>
      </c>
      <c r="B285" s="5">
        <v>2510190604</v>
      </c>
      <c r="C285" s="5" t="s">
        <v>2453</v>
      </c>
      <c r="D285" s="5" t="s">
        <v>804</v>
      </c>
      <c r="E285" s="5" t="s">
        <v>805</v>
      </c>
      <c r="F285" s="5" t="s">
        <v>457</v>
      </c>
      <c r="G285" s="5" t="s">
        <v>52</v>
      </c>
      <c r="H285" s="5" t="s">
        <v>2433</v>
      </c>
      <c r="I285" s="5">
        <v>202501684</v>
      </c>
      <c r="J285" s="5"/>
      <c r="K285" s="6">
        <v>45949</v>
      </c>
      <c r="L285" s="6">
        <v>45952</v>
      </c>
      <c r="M285" s="42" t="s">
        <v>53</v>
      </c>
      <c r="N285" s="42" t="s">
        <v>54</v>
      </c>
      <c r="O285" s="42" t="s">
        <v>41</v>
      </c>
      <c r="P285" s="30">
        <f t="shared" si="14"/>
        <v>3</v>
      </c>
      <c r="Q285" s="41">
        <v>3121.0850439882697</v>
      </c>
      <c r="R285" s="41">
        <v>5000</v>
      </c>
      <c r="S285" s="41">
        <f t="shared" si="13"/>
        <v>1878.9149560117303</v>
      </c>
    </row>
    <row r="286" spans="1:19">
      <c r="A286" s="5">
        <v>285</v>
      </c>
      <c r="B286" s="9">
        <v>2510190614</v>
      </c>
      <c r="C286" s="9" t="s">
        <v>2454</v>
      </c>
      <c r="D286" s="9" t="s">
        <v>1475</v>
      </c>
      <c r="E286" s="9" t="s">
        <v>1476</v>
      </c>
      <c r="F286" s="9" t="s">
        <v>362</v>
      </c>
      <c r="G286" s="9" t="s">
        <v>43</v>
      </c>
      <c r="H286" s="9" t="s">
        <v>2433</v>
      </c>
      <c r="I286" s="9">
        <v>202501685</v>
      </c>
      <c r="J286" s="9"/>
      <c r="K286" s="10">
        <v>45949</v>
      </c>
      <c r="L286" s="10">
        <v>45952</v>
      </c>
      <c r="M286" s="54" t="s">
        <v>45</v>
      </c>
      <c r="N286" s="54" t="s">
        <v>94</v>
      </c>
      <c r="O286" s="54" t="s">
        <v>1667</v>
      </c>
      <c r="P286" s="32">
        <f t="shared" si="14"/>
        <v>3</v>
      </c>
      <c r="Q286" s="11">
        <v>3121.0850439882697</v>
      </c>
      <c r="R286" s="11">
        <v>10500</v>
      </c>
      <c r="S286" s="11">
        <f t="shared" si="13"/>
        <v>7378.9149560117303</v>
      </c>
    </row>
    <row r="287" spans="1:19">
      <c r="A287" s="5">
        <v>286</v>
      </c>
      <c r="B287" s="5">
        <v>2510190628</v>
      </c>
      <c r="C287" s="5" t="s">
        <v>2455</v>
      </c>
      <c r="D287" s="5" t="s">
        <v>405</v>
      </c>
      <c r="E287" s="5" t="s">
        <v>2456</v>
      </c>
      <c r="F287" s="5" t="s">
        <v>202</v>
      </c>
      <c r="G287" s="5" t="s">
        <v>52</v>
      </c>
      <c r="H287" s="5" t="s">
        <v>2433</v>
      </c>
      <c r="I287" s="5">
        <v>202501686</v>
      </c>
      <c r="J287" s="5"/>
      <c r="K287" s="6">
        <v>45949</v>
      </c>
      <c r="L287" s="6">
        <v>45952</v>
      </c>
      <c r="M287" s="42" t="s">
        <v>53</v>
      </c>
      <c r="N287" s="42" t="s">
        <v>54</v>
      </c>
      <c r="O287" s="42" t="s">
        <v>41</v>
      </c>
      <c r="P287" s="30">
        <f t="shared" si="14"/>
        <v>3</v>
      </c>
      <c r="Q287" s="41">
        <v>3121.0850439882697</v>
      </c>
      <c r="R287" s="41">
        <v>6450</v>
      </c>
      <c r="S287" s="41">
        <f t="shared" si="13"/>
        <v>3328.9149560117303</v>
      </c>
    </row>
    <row r="288" spans="1:19">
      <c r="A288" s="5">
        <v>287</v>
      </c>
      <c r="B288" s="5">
        <v>2510190549</v>
      </c>
      <c r="C288" s="5" t="s">
        <v>2457</v>
      </c>
      <c r="D288" s="5" t="s">
        <v>40</v>
      </c>
      <c r="E288" s="5" t="s">
        <v>41</v>
      </c>
      <c r="F288" s="5" t="s">
        <v>42</v>
      </c>
      <c r="G288" s="5" t="s">
        <v>75</v>
      </c>
      <c r="H288" s="5" t="s">
        <v>2433</v>
      </c>
      <c r="I288" s="5">
        <v>202501687</v>
      </c>
      <c r="J288" s="5"/>
      <c r="K288" s="6">
        <v>45949</v>
      </c>
      <c r="L288" s="6">
        <v>45952</v>
      </c>
      <c r="M288" s="42" t="s">
        <v>53</v>
      </c>
      <c r="N288" s="42" t="s">
        <v>54</v>
      </c>
      <c r="O288" s="42" t="s">
        <v>41</v>
      </c>
      <c r="P288" s="30">
        <f t="shared" si="14"/>
        <v>3</v>
      </c>
      <c r="Q288" s="41">
        <v>3121.0850439882697</v>
      </c>
      <c r="R288" s="41">
        <v>6500</v>
      </c>
      <c r="S288" s="41">
        <f t="shared" si="13"/>
        <v>3378.9149560117303</v>
      </c>
    </row>
    <row r="289" spans="1:19">
      <c r="A289" s="5">
        <v>288</v>
      </c>
      <c r="B289" s="5">
        <v>2510163004</v>
      </c>
      <c r="C289" s="5" t="s">
        <v>2458</v>
      </c>
      <c r="D289" s="5" t="s">
        <v>528</v>
      </c>
      <c r="E289" s="5" t="s">
        <v>2161</v>
      </c>
      <c r="F289" s="5" t="s">
        <v>202</v>
      </c>
      <c r="G289" s="5" t="s">
        <v>52</v>
      </c>
      <c r="H289" s="5" t="s">
        <v>2433</v>
      </c>
      <c r="I289" s="5">
        <v>202501688</v>
      </c>
      <c r="J289" s="5"/>
      <c r="K289" s="6">
        <v>45949</v>
      </c>
      <c r="L289" s="6">
        <v>45952</v>
      </c>
      <c r="M289" s="42" t="s">
        <v>53</v>
      </c>
      <c r="N289" s="42" t="s">
        <v>54</v>
      </c>
      <c r="O289" s="42" t="s">
        <v>41</v>
      </c>
      <c r="P289" s="30">
        <f t="shared" si="14"/>
        <v>3</v>
      </c>
      <c r="Q289" s="41">
        <v>3121.0850439882697</v>
      </c>
      <c r="R289" s="41">
        <v>7500</v>
      </c>
      <c r="S289" s="41">
        <f t="shared" si="13"/>
        <v>4378.9149560117303</v>
      </c>
    </row>
    <row r="290" spans="1:19">
      <c r="A290" s="5">
        <v>289</v>
      </c>
      <c r="B290" s="9">
        <v>2510191414</v>
      </c>
      <c r="C290" s="9" t="s">
        <v>2459</v>
      </c>
      <c r="D290" s="9" t="s">
        <v>376</v>
      </c>
      <c r="E290" s="9" t="s">
        <v>335</v>
      </c>
      <c r="F290" s="9" t="s">
        <v>71</v>
      </c>
      <c r="G290" s="9" t="s">
        <v>52</v>
      </c>
      <c r="H290" s="9" t="s">
        <v>2433</v>
      </c>
      <c r="I290" s="9">
        <v>202501689</v>
      </c>
      <c r="J290" s="9"/>
      <c r="K290" s="10">
        <v>45949</v>
      </c>
      <c r="L290" s="10">
        <v>45952</v>
      </c>
      <c r="M290" s="54" t="s">
        <v>45</v>
      </c>
      <c r="N290" s="54" t="s">
        <v>94</v>
      </c>
      <c r="O290" s="54" t="s">
        <v>1667</v>
      </c>
      <c r="P290" s="32">
        <f t="shared" si="14"/>
        <v>3</v>
      </c>
      <c r="Q290" s="11">
        <v>3121.0850439882697</v>
      </c>
      <c r="R290" s="11">
        <v>5950</v>
      </c>
      <c r="S290" s="11">
        <f t="shared" si="13"/>
        <v>2828.9149560117303</v>
      </c>
    </row>
    <row r="291" spans="1:19">
      <c r="A291" s="5">
        <v>290</v>
      </c>
      <c r="B291" s="5">
        <v>2510191415</v>
      </c>
      <c r="C291" s="5" t="s">
        <v>2460</v>
      </c>
      <c r="D291" s="5" t="s">
        <v>89</v>
      </c>
      <c r="E291" s="5" t="s">
        <v>90</v>
      </c>
      <c r="F291" s="5" t="s">
        <v>79</v>
      </c>
      <c r="G291" s="5" t="s">
        <v>52</v>
      </c>
      <c r="H291" s="5" t="s">
        <v>2433</v>
      </c>
      <c r="I291" s="5">
        <v>202501690</v>
      </c>
      <c r="J291" s="5"/>
      <c r="K291" s="6">
        <v>45949</v>
      </c>
      <c r="L291" s="6">
        <v>45952</v>
      </c>
      <c r="M291" s="42" t="s">
        <v>53</v>
      </c>
      <c r="N291" s="42" t="s">
        <v>54</v>
      </c>
      <c r="O291" s="42" t="s">
        <v>41</v>
      </c>
      <c r="P291" s="30">
        <f t="shared" si="14"/>
        <v>3</v>
      </c>
      <c r="Q291" s="41">
        <v>3121.0850439882697</v>
      </c>
      <c r="R291" s="41">
        <v>5500</v>
      </c>
      <c r="S291" s="41">
        <f t="shared" si="13"/>
        <v>2378.9149560117303</v>
      </c>
    </row>
    <row r="292" spans="1:19">
      <c r="A292" s="5">
        <v>291</v>
      </c>
      <c r="B292" s="5">
        <v>2510200595</v>
      </c>
      <c r="C292" s="5" t="s">
        <v>2461</v>
      </c>
      <c r="D292" s="5" t="s">
        <v>810</v>
      </c>
      <c r="E292" s="5" t="s">
        <v>2462</v>
      </c>
      <c r="F292" s="5" t="s">
        <v>457</v>
      </c>
      <c r="G292" s="5" t="s">
        <v>52</v>
      </c>
      <c r="H292" s="5" t="s">
        <v>2433</v>
      </c>
      <c r="I292" s="5">
        <v>202501691</v>
      </c>
      <c r="J292" s="5"/>
      <c r="K292" s="6">
        <v>45950</v>
      </c>
      <c r="L292" s="6">
        <v>45952</v>
      </c>
      <c r="M292" s="42" t="s">
        <v>53</v>
      </c>
      <c r="N292" s="42" t="s">
        <v>54</v>
      </c>
      <c r="O292" s="42" t="s">
        <v>41</v>
      </c>
      <c r="P292" s="30">
        <f t="shared" si="14"/>
        <v>2</v>
      </c>
      <c r="Q292" s="41">
        <v>3121.0850439882697</v>
      </c>
      <c r="R292" s="41">
        <v>5200</v>
      </c>
      <c r="S292" s="41">
        <f t="shared" si="13"/>
        <v>2078.9149560117303</v>
      </c>
    </row>
    <row r="293" spans="1:19">
      <c r="A293" s="5">
        <v>292</v>
      </c>
      <c r="B293" s="9">
        <v>2510200597</v>
      </c>
      <c r="C293" s="9" t="s">
        <v>2463</v>
      </c>
      <c r="D293" s="9" t="s">
        <v>810</v>
      </c>
      <c r="E293" s="9" t="s">
        <v>2464</v>
      </c>
      <c r="F293" s="9" t="s">
        <v>457</v>
      </c>
      <c r="G293" s="9" t="s">
        <v>52</v>
      </c>
      <c r="H293" s="9" t="s">
        <v>2433</v>
      </c>
      <c r="I293" s="9">
        <v>202501692</v>
      </c>
      <c r="J293" s="9"/>
      <c r="K293" s="10">
        <v>45950</v>
      </c>
      <c r="L293" s="10">
        <v>45952</v>
      </c>
      <c r="M293" s="54" t="s">
        <v>45</v>
      </c>
      <c r="N293" s="54" t="s">
        <v>94</v>
      </c>
      <c r="O293" s="54" t="s">
        <v>1698</v>
      </c>
      <c r="P293" s="32">
        <f t="shared" si="14"/>
        <v>2</v>
      </c>
      <c r="Q293" s="11">
        <v>3121.0850439882697</v>
      </c>
      <c r="R293" s="11">
        <v>5200</v>
      </c>
      <c r="S293" s="11">
        <f t="shared" si="13"/>
        <v>2078.9149560117303</v>
      </c>
    </row>
    <row r="294" spans="1:19">
      <c r="A294" s="5">
        <v>293</v>
      </c>
      <c r="B294" s="5">
        <v>2510200599</v>
      </c>
      <c r="C294" s="5" t="s">
        <v>2465</v>
      </c>
      <c r="D294" s="5" t="s">
        <v>301</v>
      </c>
      <c r="E294" s="5" t="s">
        <v>302</v>
      </c>
      <c r="F294" s="5" t="s">
        <v>169</v>
      </c>
      <c r="G294" s="5" t="s">
        <v>52</v>
      </c>
      <c r="H294" s="5" t="s">
        <v>2433</v>
      </c>
      <c r="I294" s="5">
        <v>202501693</v>
      </c>
      <c r="J294" s="5"/>
      <c r="K294" s="6">
        <v>45950</v>
      </c>
      <c r="L294" s="6">
        <v>45952</v>
      </c>
      <c r="M294" s="42" t="s">
        <v>53</v>
      </c>
      <c r="N294" s="42" t="s">
        <v>54</v>
      </c>
      <c r="O294" s="42" t="s">
        <v>41</v>
      </c>
      <c r="P294" s="30">
        <f t="shared" si="14"/>
        <v>2</v>
      </c>
      <c r="Q294" s="41">
        <v>3121.0850439882697</v>
      </c>
      <c r="R294" s="41">
        <v>6000</v>
      </c>
      <c r="S294" s="41">
        <f t="shared" si="13"/>
        <v>2878.9149560117303</v>
      </c>
    </row>
    <row r="295" spans="1:19">
      <c r="A295" s="5">
        <v>294</v>
      </c>
      <c r="B295" s="5">
        <v>2510200604</v>
      </c>
      <c r="C295" s="5" t="s">
        <v>2466</v>
      </c>
      <c r="D295" s="5" t="s">
        <v>64</v>
      </c>
      <c r="E295" s="5" t="s">
        <v>1498</v>
      </c>
      <c r="F295" s="5" t="s">
        <v>66</v>
      </c>
      <c r="G295" s="5" t="s">
        <v>52</v>
      </c>
      <c r="H295" s="5" t="s">
        <v>2433</v>
      </c>
      <c r="I295" s="5">
        <v>202501694</v>
      </c>
      <c r="J295" s="5"/>
      <c r="K295" s="6">
        <v>45950</v>
      </c>
      <c r="L295" s="6">
        <v>45952</v>
      </c>
      <c r="M295" s="42" t="s">
        <v>53</v>
      </c>
      <c r="N295" s="42" t="s">
        <v>54</v>
      </c>
      <c r="O295" s="42" t="s">
        <v>41</v>
      </c>
      <c r="P295" s="30">
        <f t="shared" si="14"/>
        <v>2</v>
      </c>
      <c r="Q295" s="41">
        <v>3121.0850439882697</v>
      </c>
      <c r="R295" s="41">
        <v>5500</v>
      </c>
      <c r="S295" s="41">
        <f t="shared" si="13"/>
        <v>2378.9149560117303</v>
      </c>
    </row>
    <row r="296" spans="1:19">
      <c r="A296" s="5">
        <v>295</v>
      </c>
      <c r="B296" s="5" t="s">
        <v>1239</v>
      </c>
      <c r="C296" s="5"/>
      <c r="D296" s="5"/>
      <c r="E296" s="5"/>
      <c r="F296" s="5"/>
      <c r="G296" s="5" t="s">
        <v>52</v>
      </c>
      <c r="H296" s="5"/>
      <c r="I296" s="5"/>
      <c r="J296" s="5"/>
      <c r="K296" s="5"/>
      <c r="L296" s="5"/>
      <c r="M296" s="5"/>
      <c r="N296" s="5"/>
      <c r="O296" s="5"/>
      <c r="P296" s="5"/>
      <c r="Q296" s="41">
        <v>3121.0850439882697</v>
      </c>
      <c r="R296" s="41">
        <v>0</v>
      </c>
      <c r="S296" s="41">
        <f t="shared" si="13"/>
        <v>-3121.0850439882697</v>
      </c>
    </row>
    <row r="297" spans="1:19">
      <c r="A297" s="5">
        <v>296</v>
      </c>
      <c r="B297" s="5" t="s">
        <v>1240</v>
      </c>
      <c r="C297" s="5"/>
      <c r="D297" s="5"/>
      <c r="E297" s="5"/>
      <c r="F297" s="5"/>
      <c r="G297" s="5" t="s">
        <v>52</v>
      </c>
      <c r="H297" s="5"/>
      <c r="I297" s="5"/>
      <c r="J297" s="5"/>
      <c r="K297" s="5"/>
      <c r="L297" s="5"/>
      <c r="M297" s="5"/>
      <c r="N297" s="5"/>
      <c r="O297" s="5"/>
      <c r="P297" s="5"/>
      <c r="Q297" s="41">
        <v>3121.0850439882697</v>
      </c>
      <c r="R297" s="41">
        <v>0</v>
      </c>
      <c r="S297" s="41">
        <f t="shared" si="13"/>
        <v>-3121.0850439882697</v>
      </c>
    </row>
    <row r="298" spans="1:19">
      <c r="A298" s="5">
        <v>297</v>
      </c>
      <c r="B298" s="26">
        <v>2510073009</v>
      </c>
      <c r="C298" s="26" t="s">
        <v>2269</v>
      </c>
      <c r="D298" s="26" t="s">
        <v>733</v>
      </c>
      <c r="E298" s="26" t="s">
        <v>2270</v>
      </c>
      <c r="F298" s="26" t="s">
        <v>51</v>
      </c>
      <c r="G298" s="26" t="s">
        <v>75</v>
      </c>
      <c r="H298" s="26" t="s">
        <v>2467</v>
      </c>
      <c r="I298" s="26" t="s">
        <v>2468</v>
      </c>
      <c r="J298" s="26"/>
      <c r="K298" s="27">
        <v>45951</v>
      </c>
      <c r="L298" s="27">
        <v>45955</v>
      </c>
      <c r="M298" s="122" t="s">
        <v>45</v>
      </c>
      <c r="N298" s="122" t="s">
        <v>163</v>
      </c>
      <c r="O298" s="122" t="s">
        <v>1603</v>
      </c>
      <c r="P298" s="33">
        <f t="shared" ref="P298:P323" si="15">L298-K298</f>
        <v>4</v>
      </c>
      <c r="Q298" s="28">
        <v>3411.5584415584417</v>
      </c>
      <c r="R298" s="28">
        <v>0</v>
      </c>
      <c r="S298" s="28">
        <f t="shared" si="13"/>
        <v>-3411.5584415584417</v>
      </c>
    </row>
    <row r="299" spans="1:19">
      <c r="A299" s="5">
        <v>298</v>
      </c>
      <c r="B299" s="22">
        <v>2510172883</v>
      </c>
      <c r="C299" s="22" t="s">
        <v>2447</v>
      </c>
      <c r="D299" s="22" t="s">
        <v>405</v>
      </c>
      <c r="E299" s="22" t="s">
        <v>2208</v>
      </c>
      <c r="F299" s="22" t="s">
        <v>202</v>
      </c>
      <c r="G299" s="22" t="s">
        <v>52</v>
      </c>
      <c r="H299" s="22" t="s">
        <v>2467</v>
      </c>
      <c r="I299" s="22" t="s">
        <v>2469</v>
      </c>
      <c r="J299" s="22"/>
      <c r="K299" s="23">
        <v>45947</v>
      </c>
      <c r="L299" s="23">
        <v>45955</v>
      </c>
      <c r="M299" s="50" t="s">
        <v>53</v>
      </c>
      <c r="N299" s="50" t="s">
        <v>54</v>
      </c>
      <c r="O299" s="50" t="s">
        <v>41</v>
      </c>
      <c r="P299" s="34">
        <f t="shared" si="15"/>
        <v>8</v>
      </c>
      <c r="Q299" s="24">
        <v>3411.5584415584417</v>
      </c>
      <c r="R299" s="24">
        <v>0</v>
      </c>
      <c r="S299" s="24">
        <f t="shared" si="13"/>
        <v>-3411.5584415584417</v>
      </c>
    </row>
    <row r="300" spans="1:19">
      <c r="A300" s="5">
        <v>299</v>
      </c>
      <c r="B300" s="22">
        <v>2510190614</v>
      </c>
      <c r="C300" s="22" t="s">
        <v>2454</v>
      </c>
      <c r="D300" s="22" t="s">
        <v>1475</v>
      </c>
      <c r="E300" s="22" t="s">
        <v>1476</v>
      </c>
      <c r="F300" s="22" t="s">
        <v>362</v>
      </c>
      <c r="G300" s="22" t="s">
        <v>43</v>
      </c>
      <c r="H300" s="22" t="s">
        <v>2467</v>
      </c>
      <c r="I300" s="22" t="s">
        <v>2470</v>
      </c>
      <c r="J300" s="22"/>
      <c r="K300" s="23">
        <v>45949</v>
      </c>
      <c r="L300" s="23">
        <v>45955</v>
      </c>
      <c r="M300" s="50" t="s">
        <v>53</v>
      </c>
      <c r="N300" s="50" t="s">
        <v>54</v>
      </c>
      <c r="O300" s="50" t="s">
        <v>41</v>
      </c>
      <c r="P300" s="34">
        <f t="shared" si="15"/>
        <v>6</v>
      </c>
      <c r="Q300" s="24">
        <v>3411.5584415584417</v>
      </c>
      <c r="R300" s="24">
        <v>0</v>
      </c>
      <c r="S300" s="24">
        <f t="shared" si="13"/>
        <v>-3411.5584415584417</v>
      </c>
    </row>
    <row r="301" spans="1:19">
      <c r="A301" s="5">
        <v>300</v>
      </c>
      <c r="B301" s="22">
        <v>2510191414</v>
      </c>
      <c r="C301" s="22" t="s">
        <v>2459</v>
      </c>
      <c r="D301" s="22" t="s">
        <v>376</v>
      </c>
      <c r="E301" s="22" t="s">
        <v>335</v>
      </c>
      <c r="F301" s="22" t="s">
        <v>71</v>
      </c>
      <c r="G301" s="22" t="s">
        <v>52</v>
      </c>
      <c r="H301" s="22" t="s">
        <v>2467</v>
      </c>
      <c r="I301" s="22" t="s">
        <v>2471</v>
      </c>
      <c r="J301" s="22"/>
      <c r="K301" s="23">
        <v>45949</v>
      </c>
      <c r="L301" s="23">
        <v>45955</v>
      </c>
      <c r="M301" s="50" t="s">
        <v>53</v>
      </c>
      <c r="N301" s="50" t="s">
        <v>54</v>
      </c>
      <c r="O301" s="50" t="s">
        <v>41</v>
      </c>
      <c r="P301" s="34">
        <f t="shared" si="15"/>
        <v>6</v>
      </c>
      <c r="Q301" s="24">
        <v>3411.5584415584417</v>
      </c>
      <c r="R301" s="24">
        <v>0</v>
      </c>
      <c r="S301" s="24">
        <f t="shared" si="13"/>
        <v>-3411.5584415584417</v>
      </c>
    </row>
    <row r="302" spans="1:19">
      <c r="A302" s="5">
        <v>301</v>
      </c>
      <c r="B302" s="22">
        <v>2510200597</v>
      </c>
      <c r="C302" s="22" t="s">
        <v>2463</v>
      </c>
      <c r="D302" s="22" t="s">
        <v>810</v>
      </c>
      <c r="E302" s="22" t="s">
        <v>2464</v>
      </c>
      <c r="F302" s="22" t="s">
        <v>457</v>
      </c>
      <c r="G302" s="22" t="s">
        <v>52</v>
      </c>
      <c r="H302" s="22" t="s">
        <v>2467</v>
      </c>
      <c r="I302" s="22" t="s">
        <v>2472</v>
      </c>
      <c r="J302" s="22"/>
      <c r="K302" s="23">
        <v>45950</v>
      </c>
      <c r="L302" s="23">
        <v>45955</v>
      </c>
      <c r="M302" s="50" t="s">
        <v>53</v>
      </c>
      <c r="N302" s="50" t="s">
        <v>54</v>
      </c>
      <c r="O302" s="50" t="s">
        <v>41</v>
      </c>
      <c r="P302" s="34">
        <f t="shared" si="15"/>
        <v>5</v>
      </c>
      <c r="Q302" s="24">
        <v>3411.5584415584417</v>
      </c>
      <c r="R302" s="24">
        <v>0</v>
      </c>
      <c r="S302" s="24">
        <f t="shared" si="13"/>
        <v>-3411.5584415584417</v>
      </c>
    </row>
    <row r="303" spans="1:19">
      <c r="A303" s="5">
        <v>302</v>
      </c>
      <c r="B303" s="5">
        <v>2510200043</v>
      </c>
      <c r="C303" s="5" t="s">
        <v>2473</v>
      </c>
      <c r="D303" s="5" t="s">
        <v>40</v>
      </c>
      <c r="E303" s="5" t="s">
        <v>41</v>
      </c>
      <c r="F303" s="5" t="s">
        <v>42</v>
      </c>
      <c r="G303" s="5" t="s">
        <v>52</v>
      </c>
      <c r="H303" s="5" t="s">
        <v>2467</v>
      </c>
      <c r="I303" s="5">
        <v>202501695</v>
      </c>
      <c r="J303" s="5"/>
      <c r="K303" s="6">
        <v>45950</v>
      </c>
      <c r="L303" s="6">
        <v>45955</v>
      </c>
      <c r="M303" s="42" t="s">
        <v>53</v>
      </c>
      <c r="N303" s="42" t="s">
        <v>54</v>
      </c>
      <c r="O303" s="42" t="s">
        <v>41</v>
      </c>
      <c r="P303" s="30">
        <f t="shared" si="15"/>
        <v>5</v>
      </c>
      <c r="Q303" s="41">
        <v>3411.5584415584417</v>
      </c>
      <c r="R303" s="41">
        <v>9500</v>
      </c>
      <c r="S303" s="41">
        <f t="shared" si="13"/>
        <v>6088.4415584415583</v>
      </c>
    </row>
    <row r="304" spans="1:19">
      <c r="A304" s="5">
        <v>303</v>
      </c>
      <c r="B304" s="5">
        <v>2510200609</v>
      </c>
      <c r="C304" s="5" t="s">
        <v>2474</v>
      </c>
      <c r="D304" s="5" t="s">
        <v>309</v>
      </c>
      <c r="E304" s="5" t="s">
        <v>310</v>
      </c>
      <c r="F304" s="5" t="s">
        <v>51</v>
      </c>
      <c r="G304" s="5" t="s">
        <v>52</v>
      </c>
      <c r="H304" s="5" t="s">
        <v>2467</v>
      </c>
      <c r="I304" s="5">
        <v>202501696</v>
      </c>
      <c r="J304" s="5"/>
      <c r="K304" s="6">
        <v>45950</v>
      </c>
      <c r="L304" s="6">
        <v>45955</v>
      </c>
      <c r="M304" s="42" t="s">
        <v>53</v>
      </c>
      <c r="N304" s="42" t="s">
        <v>54</v>
      </c>
      <c r="O304" s="42" t="s">
        <v>41</v>
      </c>
      <c r="P304" s="30">
        <f t="shared" si="15"/>
        <v>5</v>
      </c>
      <c r="Q304" s="41">
        <v>3411.5584415584417</v>
      </c>
      <c r="R304" s="41">
        <v>5500</v>
      </c>
      <c r="S304" s="41">
        <f t="shared" si="13"/>
        <v>2088.4415584415583</v>
      </c>
    </row>
    <row r="305" spans="1:19">
      <c r="A305" s="5">
        <v>304</v>
      </c>
      <c r="B305" s="5">
        <v>2510200618</v>
      </c>
      <c r="C305" s="5" t="s">
        <v>2475</v>
      </c>
      <c r="D305" s="5" t="s">
        <v>89</v>
      </c>
      <c r="E305" s="5" t="s">
        <v>2025</v>
      </c>
      <c r="F305" s="5" t="s">
        <v>79</v>
      </c>
      <c r="G305" s="5" t="s">
        <v>52</v>
      </c>
      <c r="H305" s="5" t="s">
        <v>2467</v>
      </c>
      <c r="I305" s="5">
        <v>202501697</v>
      </c>
      <c r="J305" s="5"/>
      <c r="K305" s="6">
        <v>45950</v>
      </c>
      <c r="L305" s="6">
        <v>45955</v>
      </c>
      <c r="M305" s="42" t="s">
        <v>53</v>
      </c>
      <c r="N305" s="42" t="s">
        <v>54</v>
      </c>
      <c r="O305" s="42" t="s">
        <v>41</v>
      </c>
      <c r="P305" s="30">
        <f t="shared" si="15"/>
        <v>5</v>
      </c>
      <c r="Q305" s="41">
        <v>3411.5584415584417</v>
      </c>
      <c r="R305" s="41">
        <v>5500</v>
      </c>
      <c r="S305" s="41">
        <f t="shared" si="13"/>
        <v>2088.4415584415583</v>
      </c>
    </row>
    <row r="306" spans="1:19">
      <c r="A306" s="5">
        <v>305</v>
      </c>
      <c r="B306" s="5">
        <v>2510200783</v>
      </c>
      <c r="C306" s="5" t="s">
        <v>2476</v>
      </c>
      <c r="D306" s="5" t="s">
        <v>40</v>
      </c>
      <c r="E306" s="5" t="s">
        <v>41</v>
      </c>
      <c r="F306" s="5" t="s">
        <v>42</v>
      </c>
      <c r="G306" s="5" t="s">
        <v>43</v>
      </c>
      <c r="H306" s="5" t="s">
        <v>2467</v>
      </c>
      <c r="I306" s="5">
        <v>202501698</v>
      </c>
      <c r="J306" s="5"/>
      <c r="K306" s="6">
        <v>45950</v>
      </c>
      <c r="L306" s="6">
        <v>45955</v>
      </c>
      <c r="M306" s="42" t="s">
        <v>53</v>
      </c>
      <c r="N306" s="42" t="s">
        <v>54</v>
      </c>
      <c r="O306" s="42" t="s">
        <v>41</v>
      </c>
      <c r="P306" s="30">
        <f t="shared" si="15"/>
        <v>5</v>
      </c>
      <c r="Q306" s="41">
        <v>3411.5584415584417</v>
      </c>
      <c r="R306" s="41">
        <v>14500</v>
      </c>
      <c r="S306" s="41">
        <f t="shared" si="13"/>
        <v>11088.441558441558</v>
      </c>
    </row>
    <row r="307" spans="1:19">
      <c r="A307" s="5">
        <v>306</v>
      </c>
      <c r="B307" s="5">
        <v>2510203004</v>
      </c>
      <c r="C307" s="5" t="s">
        <v>2477</v>
      </c>
      <c r="D307" s="5" t="s">
        <v>581</v>
      </c>
      <c r="E307" s="5" t="s">
        <v>2478</v>
      </c>
      <c r="F307" s="5" t="s">
        <v>202</v>
      </c>
      <c r="G307" s="5" t="s">
        <v>75</v>
      </c>
      <c r="H307" s="5" t="s">
        <v>2467</v>
      </c>
      <c r="I307" s="5">
        <v>202501699</v>
      </c>
      <c r="J307" s="5"/>
      <c r="K307" s="6">
        <v>45950</v>
      </c>
      <c r="L307" s="6">
        <v>45955</v>
      </c>
      <c r="M307" s="42" t="s">
        <v>53</v>
      </c>
      <c r="N307" s="42" t="s">
        <v>54</v>
      </c>
      <c r="O307" s="42" t="s">
        <v>41</v>
      </c>
      <c r="P307" s="30">
        <f t="shared" si="15"/>
        <v>5</v>
      </c>
      <c r="Q307" s="41">
        <v>3411.5584415584417</v>
      </c>
      <c r="R307" s="41">
        <v>5900</v>
      </c>
      <c r="S307" s="41">
        <f t="shared" si="13"/>
        <v>2488.4415584415583</v>
      </c>
    </row>
    <row r="308" spans="1:19">
      <c r="A308" s="5">
        <v>307</v>
      </c>
      <c r="B308" s="5">
        <v>2510203067</v>
      </c>
      <c r="C308" s="5" t="s">
        <v>2479</v>
      </c>
      <c r="D308" s="5" t="s">
        <v>2405</v>
      </c>
      <c r="E308" s="5" t="s">
        <v>2480</v>
      </c>
      <c r="F308" s="5" t="s">
        <v>202</v>
      </c>
      <c r="G308" s="5" t="s">
        <v>52</v>
      </c>
      <c r="H308" s="5" t="s">
        <v>2467</v>
      </c>
      <c r="I308" s="5">
        <v>202501700</v>
      </c>
      <c r="J308" s="5"/>
      <c r="K308" s="6">
        <v>45950</v>
      </c>
      <c r="L308" s="6">
        <v>45955</v>
      </c>
      <c r="M308" s="42" t="s">
        <v>53</v>
      </c>
      <c r="N308" s="42" t="s">
        <v>54</v>
      </c>
      <c r="O308" s="42" t="s">
        <v>41</v>
      </c>
      <c r="P308" s="30">
        <f t="shared" si="15"/>
        <v>5</v>
      </c>
      <c r="Q308" s="41">
        <v>3411.5584415584417</v>
      </c>
      <c r="R308" s="41">
        <v>8000</v>
      </c>
      <c r="S308" s="41">
        <f t="shared" si="13"/>
        <v>4588.4415584415583</v>
      </c>
    </row>
    <row r="309" spans="1:19">
      <c r="A309" s="5">
        <v>308</v>
      </c>
      <c r="B309" s="5">
        <v>2510203083</v>
      </c>
      <c r="C309" s="5" t="s">
        <v>2481</v>
      </c>
      <c r="D309" s="5" t="s">
        <v>1168</v>
      </c>
      <c r="E309" s="5" t="s">
        <v>1265</v>
      </c>
      <c r="F309" s="5" t="s">
        <v>109</v>
      </c>
      <c r="G309" s="5" t="s">
        <v>43</v>
      </c>
      <c r="H309" s="5" t="s">
        <v>2467</v>
      </c>
      <c r="I309" s="5">
        <v>202501701</v>
      </c>
      <c r="J309" s="5"/>
      <c r="K309" s="6">
        <v>45950</v>
      </c>
      <c r="L309" s="6">
        <v>45955</v>
      </c>
      <c r="M309" s="42" t="s">
        <v>53</v>
      </c>
      <c r="N309" s="42" t="s">
        <v>54</v>
      </c>
      <c r="O309" s="42" t="s">
        <v>41</v>
      </c>
      <c r="P309" s="30">
        <f t="shared" si="15"/>
        <v>5</v>
      </c>
      <c r="Q309" s="41">
        <v>3411.5584415584417</v>
      </c>
      <c r="R309" s="41">
        <v>11000</v>
      </c>
      <c r="S309" s="41">
        <f t="shared" si="13"/>
        <v>7588.4415584415583</v>
      </c>
    </row>
    <row r="310" spans="1:19">
      <c r="A310" s="5">
        <v>309</v>
      </c>
      <c r="B310" s="13">
        <v>2510203096</v>
      </c>
      <c r="C310" s="13" t="s">
        <v>2482</v>
      </c>
      <c r="D310" s="13" t="s">
        <v>964</v>
      </c>
      <c r="E310" s="13" t="s">
        <v>965</v>
      </c>
      <c r="F310" s="13" t="s">
        <v>109</v>
      </c>
      <c r="G310" s="13" t="s">
        <v>43</v>
      </c>
      <c r="H310" s="13" t="s">
        <v>2467</v>
      </c>
      <c r="I310" s="13">
        <v>202501702</v>
      </c>
      <c r="J310" s="13"/>
      <c r="K310" s="14">
        <v>45950</v>
      </c>
      <c r="L310" s="14">
        <v>45955</v>
      </c>
      <c r="M310" s="13" t="s">
        <v>45</v>
      </c>
      <c r="N310" s="13" t="s">
        <v>46</v>
      </c>
      <c r="O310" s="13" t="s">
        <v>1523</v>
      </c>
      <c r="P310" s="35">
        <f t="shared" si="15"/>
        <v>5</v>
      </c>
      <c r="Q310" s="15">
        <v>3411.5584415584417</v>
      </c>
      <c r="R310" s="15">
        <v>11000</v>
      </c>
      <c r="S310" s="15">
        <f t="shared" si="13"/>
        <v>7588.4415584415583</v>
      </c>
    </row>
    <row r="311" spans="1:19">
      <c r="A311" s="5">
        <v>310</v>
      </c>
      <c r="B311" s="5">
        <v>2510211172</v>
      </c>
      <c r="C311" s="5" t="s">
        <v>2483</v>
      </c>
      <c r="D311" s="5" t="s">
        <v>444</v>
      </c>
      <c r="E311" s="5" t="s">
        <v>670</v>
      </c>
      <c r="F311" s="5" t="s">
        <v>109</v>
      </c>
      <c r="G311" s="5" t="s">
        <v>52</v>
      </c>
      <c r="H311" s="5" t="s">
        <v>2467</v>
      </c>
      <c r="I311" s="5">
        <v>202501703</v>
      </c>
      <c r="J311" s="5"/>
      <c r="K311" s="6">
        <v>45951</v>
      </c>
      <c r="L311" s="6">
        <v>45955</v>
      </c>
      <c r="M311" s="42" t="s">
        <v>53</v>
      </c>
      <c r="N311" s="42" t="s">
        <v>54</v>
      </c>
      <c r="O311" s="42" t="s">
        <v>41</v>
      </c>
      <c r="P311" s="30">
        <f t="shared" si="15"/>
        <v>4</v>
      </c>
      <c r="Q311" s="41">
        <v>3411.5584415584417</v>
      </c>
      <c r="R311" s="41">
        <v>5950</v>
      </c>
      <c r="S311" s="41">
        <f t="shared" si="13"/>
        <v>2538.4415584415583</v>
      </c>
    </row>
    <row r="312" spans="1:19">
      <c r="A312" s="5">
        <v>311</v>
      </c>
      <c r="B312" s="5">
        <v>2510211183</v>
      </c>
      <c r="C312" s="5" t="s">
        <v>2484</v>
      </c>
      <c r="D312" s="5" t="s">
        <v>444</v>
      </c>
      <c r="E312" s="5" t="s">
        <v>670</v>
      </c>
      <c r="F312" s="5" t="s">
        <v>109</v>
      </c>
      <c r="G312" s="5" t="s">
        <v>52</v>
      </c>
      <c r="H312" s="5" t="s">
        <v>2467</v>
      </c>
      <c r="I312" s="5">
        <v>202501704</v>
      </c>
      <c r="J312" s="5"/>
      <c r="K312" s="6">
        <v>45951</v>
      </c>
      <c r="L312" s="6">
        <v>45955</v>
      </c>
      <c r="M312" s="42" t="s">
        <v>53</v>
      </c>
      <c r="N312" s="42" t="s">
        <v>54</v>
      </c>
      <c r="O312" s="42" t="s">
        <v>41</v>
      </c>
      <c r="P312" s="30">
        <f t="shared" si="15"/>
        <v>4</v>
      </c>
      <c r="Q312" s="41">
        <v>3411.5584415584417</v>
      </c>
      <c r="R312" s="41">
        <v>5950</v>
      </c>
      <c r="S312" s="41">
        <f t="shared" si="13"/>
        <v>2538.4415584415583</v>
      </c>
    </row>
    <row r="313" spans="1:19">
      <c r="A313" s="5">
        <v>312</v>
      </c>
      <c r="B313" s="5">
        <v>2510211197</v>
      </c>
      <c r="C313" s="5" t="s">
        <v>2485</v>
      </c>
      <c r="D313" s="5" t="s">
        <v>69</v>
      </c>
      <c r="E313" s="5" t="s">
        <v>2437</v>
      </c>
      <c r="F313" s="5" t="s">
        <v>71</v>
      </c>
      <c r="G313" s="5" t="s">
        <v>43</v>
      </c>
      <c r="H313" s="5" t="s">
        <v>2467</v>
      </c>
      <c r="I313" s="5">
        <v>202501705</v>
      </c>
      <c r="J313" s="5"/>
      <c r="K313" s="6">
        <v>45951</v>
      </c>
      <c r="L313" s="6">
        <v>45955</v>
      </c>
      <c r="M313" s="42" t="s">
        <v>53</v>
      </c>
      <c r="N313" s="42" t="s">
        <v>54</v>
      </c>
      <c r="O313" s="42" t="s">
        <v>41</v>
      </c>
      <c r="P313" s="30">
        <f t="shared" si="15"/>
        <v>4</v>
      </c>
      <c r="Q313" s="41">
        <v>3411.5584415584417</v>
      </c>
      <c r="R313" s="41">
        <v>12000</v>
      </c>
      <c r="S313" s="41">
        <f t="shared" si="13"/>
        <v>8588.4415584415583</v>
      </c>
    </row>
    <row r="314" spans="1:19">
      <c r="A314" s="5">
        <v>313</v>
      </c>
      <c r="B314" s="5">
        <v>2510211203</v>
      </c>
      <c r="C314" s="5" t="s">
        <v>2486</v>
      </c>
      <c r="D314" s="5" t="s">
        <v>1765</v>
      </c>
      <c r="E314" s="5" t="s">
        <v>1766</v>
      </c>
      <c r="F314" s="5" t="s">
        <v>51</v>
      </c>
      <c r="G314" s="5" t="s">
        <v>52</v>
      </c>
      <c r="H314" s="5" t="s">
        <v>2467</v>
      </c>
      <c r="I314" s="5">
        <v>202501706</v>
      </c>
      <c r="J314" s="5"/>
      <c r="K314" s="6">
        <v>45951</v>
      </c>
      <c r="L314" s="6">
        <v>45955</v>
      </c>
      <c r="M314" s="42" t="s">
        <v>53</v>
      </c>
      <c r="N314" s="42" t="s">
        <v>54</v>
      </c>
      <c r="O314" s="42" t="s">
        <v>41</v>
      </c>
      <c r="P314" s="30">
        <f t="shared" si="15"/>
        <v>4</v>
      </c>
      <c r="Q314" s="41">
        <v>3411.5584415584417</v>
      </c>
      <c r="R314" s="41">
        <v>5500</v>
      </c>
      <c r="S314" s="41">
        <f t="shared" si="13"/>
        <v>2088.4415584415583</v>
      </c>
    </row>
    <row r="315" spans="1:19">
      <c r="A315" s="5">
        <v>314</v>
      </c>
      <c r="B315" s="5">
        <v>2510211207</v>
      </c>
      <c r="C315" s="5" t="s">
        <v>2487</v>
      </c>
      <c r="D315" s="5" t="s">
        <v>1662</v>
      </c>
      <c r="E315" s="5" t="s">
        <v>2009</v>
      </c>
      <c r="F315" s="5" t="s">
        <v>58</v>
      </c>
      <c r="G315" s="5" t="s">
        <v>52</v>
      </c>
      <c r="H315" s="5" t="s">
        <v>2467</v>
      </c>
      <c r="I315" s="5">
        <v>202501707</v>
      </c>
      <c r="J315" s="5"/>
      <c r="K315" s="6">
        <v>45951</v>
      </c>
      <c r="L315" s="6">
        <v>45955</v>
      </c>
      <c r="M315" s="42" t="s">
        <v>53</v>
      </c>
      <c r="N315" s="42" t="s">
        <v>54</v>
      </c>
      <c r="O315" s="42" t="s">
        <v>41</v>
      </c>
      <c r="P315" s="30">
        <f t="shared" si="15"/>
        <v>4</v>
      </c>
      <c r="Q315" s="41">
        <v>3411.5584415584417</v>
      </c>
      <c r="R315" s="41">
        <v>5500</v>
      </c>
      <c r="S315" s="41">
        <f t="shared" si="13"/>
        <v>2088.4415584415583</v>
      </c>
    </row>
    <row r="316" spans="1:19">
      <c r="A316" s="5">
        <v>315</v>
      </c>
      <c r="B316" s="5">
        <v>2510211212</v>
      </c>
      <c r="C316" s="5" t="s">
        <v>2488</v>
      </c>
      <c r="D316" s="5" t="s">
        <v>810</v>
      </c>
      <c r="E316" s="5" t="s">
        <v>2489</v>
      </c>
      <c r="F316" s="5" t="s">
        <v>457</v>
      </c>
      <c r="G316" s="5" t="s">
        <v>52</v>
      </c>
      <c r="H316" s="5" t="s">
        <v>2467</v>
      </c>
      <c r="I316" s="5">
        <v>202501708</v>
      </c>
      <c r="J316" s="5"/>
      <c r="K316" s="6">
        <v>45951</v>
      </c>
      <c r="L316" s="6">
        <v>45955</v>
      </c>
      <c r="M316" s="42" t="s">
        <v>53</v>
      </c>
      <c r="N316" s="42" t="s">
        <v>54</v>
      </c>
      <c r="O316" s="42" t="s">
        <v>41</v>
      </c>
      <c r="P316" s="30">
        <f t="shared" si="15"/>
        <v>4</v>
      </c>
      <c r="Q316" s="41">
        <v>3411.5584415584417</v>
      </c>
      <c r="R316" s="41">
        <v>5200</v>
      </c>
      <c r="S316" s="41">
        <f t="shared" si="13"/>
        <v>1788.4415584415583</v>
      </c>
    </row>
    <row r="317" spans="1:19">
      <c r="A317" s="5">
        <v>316</v>
      </c>
      <c r="B317" s="5">
        <v>2510210341</v>
      </c>
      <c r="C317" s="5" t="s">
        <v>2490</v>
      </c>
      <c r="D317" s="5" t="s">
        <v>40</v>
      </c>
      <c r="E317" s="5" t="s">
        <v>41</v>
      </c>
      <c r="F317" s="5" t="s">
        <v>42</v>
      </c>
      <c r="G317" s="5" t="s">
        <v>52</v>
      </c>
      <c r="H317" s="5" t="s">
        <v>2467</v>
      </c>
      <c r="I317" s="5">
        <v>202501709</v>
      </c>
      <c r="J317" s="5"/>
      <c r="K317" s="6">
        <v>45951</v>
      </c>
      <c r="L317" s="6">
        <v>45955</v>
      </c>
      <c r="M317" s="42" t="s">
        <v>53</v>
      </c>
      <c r="N317" s="42" t="s">
        <v>54</v>
      </c>
      <c r="O317" s="42" t="s">
        <v>41</v>
      </c>
      <c r="P317" s="30">
        <f t="shared" si="15"/>
        <v>4</v>
      </c>
      <c r="Q317" s="41">
        <v>3411.5584415584417</v>
      </c>
      <c r="R317" s="41">
        <v>9500</v>
      </c>
      <c r="S317" s="41">
        <f t="shared" si="13"/>
        <v>6088.4415584415583</v>
      </c>
    </row>
    <row r="318" spans="1:19">
      <c r="A318" s="5">
        <v>317</v>
      </c>
      <c r="B318" s="5">
        <v>2510212819</v>
      </c>
      <c r="C318" s="5" t="s">
        <v>2491</v>
      </c>
      <c r="D318" s="5" t="s">
        <v>564</v>
      </c>
      <c r="E318" s="5" t="s">
        <v>2390</v>
      </c>
      <c r="F318" s="5" t="s">
        <v>71</v>
      </c>
      <c r="G318" s="5" t="s">
        <v>52</v>
      </c>
      <c r="H318" s="5" t="s">
        <v>2467</v>
      </c>
      <c r="I318" s="5">
        <v>202501710</v>
      </c>
      <c r="J318" s="5"/>
      <c r="K318" s="6">
        <v>45951</v>
      </c>
      <c r="L318" s="6">
        <v>45955</v>
      </c>
      <c r="M318" s="42" t="s">
        <v>53</v>
      </c>
      <c r="N318" s="42" t="s">
        <v>54</v>
      </c>
      <c r="O318" s="42" t="s">
        <v>41</v>
      </c>
      <c r="P318" s="30">
        <f t="shared" si="15"/>
        <v>4</v>
      </c>
      <c r="Q318" s="41">
        <v>3411.5584415584417</v>
      </c>
      <c r="R318" s="41">
        <v>6500</v>
      </c>
      <c r="S318" s="41">
        <f t="shared" si="13"/>
        <v>3088.4415584415583</v>
      </c>
    </row>
    <row r="319" spans="1:19">
      <c r="A319" s="5">
        <v>318</v>
      </c>
      <c r="B319" s="5">
        <v>2510212821</v>
      </c>
      <c r="C319" s="5" t="s">
        <v>2492</v>
      </c>
      <c r="D319" s="5" t="s">
        <v>309</v>
      </c>
      <c r="E319" s="5" t="s">
        <v>310</v>
      </c>
      <c r="F319" s="5" t="s">
        <v>51</v>
      </c>
      <c r="G319" s="5" t="s">
        <v>52</v>
      </c>
      <c r="H319" s="5" t="s">
        <v>2467</v>
      </c>
      <c r="I319" s="5">
        <v>202501711</v>
      </c>
      <c r="J319" s="5"/>
      <c r="K319" s="6">
        <v>45951</v>
      </c>
      <c r="L319" s="6">
        <v>45955</v>
      </c>
      <c r="M319" s="42" t="s">
        <v>53</v>
      </c>
      <c r="N319" s="42" t="s">
        <v>54</v>
      </c>
      <c r="O319" s="42" t="s">
        <v>41</v>
      </c>
      <c r="P319" s="30">
        <f t="shared" si="15"/>
        <v>4</v>
      </c>
      <c r="Q319" s="41">
        <v>3411.5584415584417</v>
      </c>
      <c r="R319" s="41">
        <v>5500</v>
      </c>
      <c r="S319" s="41">
        <f t="shared" si="13"/>
        <v>2088.4415584415583</v>
      </c>
    </row>
    <row r="320" spans="1:19">
      <c r="A320" s="5">
        <v>319</v>
      </c>
      <c r="B320" s="5">
        <v>2510212823</v>
      </c>
      <c r="C320" s="5" t="s">
        <v>2493</v>
      </c>
      <c r="D320" s="5" t="s">
        <v>309</v>
      </c>
      <c r="E320" s="5" t="s">
        <v>310</v>
      </c>
      <c r="F320" s="5" t="s">
        <v>51</v>
      </c>
      <c r="G320" s="5" t="s">
        <v>52</v>
      </c>
      <c r="H320" s="5" t="s">
        <v>2467</v>
      </c>
      <c r="I320" s="5">
        <v>202501712</v>
      </c>
      <c r="J320" s="5"/>
      <c r="K320" s="6">
        <v>45951</v>
      </c>
      <c r="L320" s="6">
        <v>45955</v>
      </c>
      <c r="M320" s="42" t="s">
        <v>53</v>
      </c>
      <c r="N320" s="42" t="s">
        <v>54</v>
      </c>
      <c r="O320" s="42" t="s">
        <v>41</v>
      </c>
      <c r="P320" s="30">
        <f t="shared" si="15"/>
        <v>4</v>
      </c>
      <c r="Q320" s="41">
        <v>3411.5584415584417</v>
      </c>
      <c r="R320" s="41">
        <v>5500</v>
      </c>
      <c r="S320" s="41">
        <f t="shared" si="13"/>
        <v>2088.4415584415583</v>
      </c>
    </row>
    <row r="321" spans="1:19">
      <c r="A321" s="5">
        <v>320</v>
      </c>
      <c r="B321" s="5">
        <v>2510102951</v>
      </c>
      <c r="C321" s="5" t="s">
        <v>2494</v>
      </c>
      <c r="D321" s="5" t="s">
        <v>1299</v>
      </c>
      <c r="E321" s="5" t="s">
        <v>2495</v>
      </c>
      <c r="F321" s="5" t="s">
        <v>79</v>
      </c>
      <c r="G321" s="5" t="s">
        <v>75</v>
      </c>
      <c r="H321" s="5" t="s">
        <v>2467</v>
      </c>
      <c r="I321" s="5">
        <v>202501713</v>
      </c>
      <c r="J321" s="5"/>
      <c r="K321" s="6">
        <v>45951</v>
      </c>
      <c r="L321" s="6">
        <v>45955</v>
      </c>
      <c r="M321" s="42" t="s">
        <v>53</v>
      </c>
      <c r="N321" s="42" t="s">
        <v>54</v>
      </c>
      <c r="O321" s="42" t="s">
        <v>41</v>
      </c>
      <c r="P321" s="30">
        <f t="shared" si="15"/>
        <v>4</v>
      </c>
      <c r="Q321" s="41">
        <v>3411.5584415584417</v>
      </c>
      <c r="R321" s="41">
        <v>4500</v>
      </c>
      <c r="S321" s="41">
        <f t="shared" si="13"/>
        <v>1088.4415584415583</v>
      </c>
    </row>
    <row r="322" spans="1:19">
      <c r="A322" s="5">
        <v>321</v>
      </c>
      <c r="B322" s="5">
        <v>2510212835</v>
      </c>
      <c r="C322" s="5" t="s">
        <v>2496</v>
      </c>
      <c r="D322" s="5" t="s">
        <v>77</v>
      </c>
      <c r="E322" s="5" t="s">
        <v>1874</v>
      </c>
      <c r="F322" s="5" t="s">
        <v>79</v>
      </c>
      <c r="G322" s="5" t="s">
        <v>52</v>
      </c>
      <c r="H322" s="5" t="s">
        <v>2467</v>
      </c>
      <c r="I322" s="5">
        <v>202501714</v>
      </c>
      <c r="J322" s="5"/>
      <c r="K322" s="6">
        <v>45951</v>
      </c>
      <c r="L322" s="6">
        <v>45955</v>
      </c>
      <c r="M322" s="42" t="s">
        <v>53</v>
      </c>
      <c r="N322" s="42" t="s">
        <v>54</v>
      </c>
      <c r="O322" s="42" t="s">
        <v>41</v>
      </c>
      <c r="P322" s="30">
        <f t="shared" si="15"/>
        <v>4</v>
      </c>
      <c r="Q322" s="41">
        <v>3411.5584415584417</v>
      </c>
      <c r="R322" s="41">
        <v>5500</v>
      </c>
      <c r="S322" s="41">
        <f t="shared" ref="S322:S385" si="16">R322-Q322</f>
        <v>2088.4415584415583</v>
      </c>
    </row>
    <row r="323" spans="1:19">
      <c r="A323" s="5">
        <v>322</v>
      </c>
      <c r="B323" s="5">
        <v>2510212841</v>
      </c>
      <c r="C323" s="5" t="s">
        <v>2497</v>
      </c>
      <c r="D323" s="5" t="s">
        <v>564</v>
      </c>
      <c r="E323" s="5" t="s">
        <v>2390</v>
      </c>
      <c r="F323" s="5" t="s">
        <v>71</v>
      </c>
      <c r="G323" s="5" t="s">
        <v>75</v>
      </c>
      <c r="H323" s="5" t="s">
        <v>2467</v>
      </c>
      <c r="I323" s="5">
        <v>202501715</v>
      </c>
      <c r="J323" s="5"/>
      <c r="K323" s="6">
        <v>45951</v>
      </c>
      <c r="L323" s="6">
        <v>45955</v>
      </c>
      <c r="M323" s="42" t="s">
        <v>53</v>
      </c>
      <c r="N323" s="42" t="s">
        <v>54</v>
      </c>
      <c r="O323" s="42" t="s">
        <v>41</v>
      </c>
      <c r="P323" s="30">
        <f t="shared" si="15"/>
        <v>4</v>
      </c>
      <c r="Q323" s="41">
        <v>3411.5584415584417</v>
      </c>
      <c r="R323" s="41">
        <v>6500</v>
      </c>
      <c r="S323" s="41">
        <f t="shared" si="16"/>
        <v>3088.4415584415583</v>
      </c>
    </row>
    <row r="324" spans="1:19">
      <c r="A324" s="5">
        <v>323</v>
      </c>
      <c r="B324" s="5" t="s">
        <v>1239</v>
      </c>
      <c r="C324" s="5"/>
      <c r="D324" s="5"/>
      <c r="E324" s="5"/>
      <c r="F324" s="5"/>
      <c r="G324" s="5" t="s">
        <v>52</v>
      </c>
      <c r="H324" s="5"/>
      <c r="I324" s="5"/>
      <c r="J324" s="5"/>
      <c r="K324" s="5"/>
      <c r="L324" s="5"/>
      <c r="M324" s="5"/>
      <c r="N324" s="5"/>
      <c r="O324" s="5"/>
      <c r="P324" s="5"/>
      <c r="Q324" s="41">
        <v>3411.5584415584417</v>
      </c>
      <c r="R324" s="41">
        <v>0</v>
      </c>
      <c r="S324" s="41">
        <f t="shared" si="16"/>
        <v>-3411.5584415584417</v>
      </c>
    </row>
    <row r="325" spans="1:19">
      <c r="A325" s="5">
        <v>324</v>
      </c>
      <c r="B325" s="5" t="s">
        <v>1240</v>
      </c>
      <c r="C325" s="5"/>
      <c r="D325" s="5"/>
      <c r="E325" s="5"/>
      <c r="F325" s="5"/>
      <c r="G325" s="5" t="s">
        <v>52</v>
      </c>
      <c r="H325" s="5"/>
      <c r="I325" s="5"/>
      <c r="J325" s="5"/>
      <c r="K325" s="5"/>
      <c r="L325" s="5"/>
      <c r="M325" s="5"/>
      <c r="N325" s="5"/>
      <c r="O325" s="5"/>
      <c r="P325" s="5"/>
      <c r="Q325" s="41">
        <v>3411.5584415584417</v>
      </c>
      <c r="R325" s="41">
        <v>0</v>
      </c>
      <c r="S325" s="41">
        <f t="shared" si="16"/>
        <v>-3411.5584415584417</v>
      </c>
    </row>
    <row r="326" spans="1:19">
      <c r="A326" s="5">
        <v>325</v>
      </c>
      <c r="B326" s="22">
        <v>2510140669</v>
      </c>
      <c r="C326" s="22" t="s">
        <v>2384</v>
      </c>
      <c r="D326" s="22" t="s">
        <v>309</v>
      </c>
      <c r="E326" s="22" t="s">
        <v>310</v>
      </c>
      <c r="F326" s="22" t="s">
        <v>51</v>
      </c>
      <c r="G326" s="22" t="s">
        <v>52</v>
      </c>
      <c r="H326" s="22" t="s">
        <v>2498</v>
      </c>
      <c r="I326" s="22" t="s">
        <v>2499</v>
      </c>
      <c r="J326" s="22"/>
      <c r="K326" s="23">
        <v>45952</v>
      </c>
      <c r="L326" s="23">
        <v>45958</v>
      </c>
      <c r="M326" s="50" t="s">
        <v>53</v>
      </c>
      <c r="N326" s="50" t="s">
        <v>54</v>
      </c>
      <c r="O326" s="50" t="s">
        <v>41</v>
      </c>
      <c r="P326" s="34">
        <f t="shared" ref="P326:P351" si="17">L326-K326</f>
        <v>6</v>
      </c>
      <c r="Q326" s="24">
        <v>3411.5584415584417</v>
      </c>
      <c r="R326" s="24">
        <v>0</v>
      </c>
      <c r="S326" s="24">
        <f t="shared" si="16"/>
        <v>-3411.5584415584417</v>
      </c>
    </row>
    <row r="327" spans="1:19">
      <c r="A327" s="5">
        <v>326</v>
      </c>
      <c r="B327" s="22">
        <v>2510140675</v>
      </c>
      <c r="C327" s="22" t="s">
        <v>2386</v>
      </c>
      <c r="D327" s="22" t="s">
        <v>309</v>
      </c>
      <c r="E327" s="22" t="s">
        <v>310</v>
      </c>
      <c r="F327" s="22" t="s">
        <v>51</v>
      </c>
      <c r="G327" s="22" t="s">
        <v>52</v>
      </c>
      <c r="H327" s="22" t="s">
        <v>2498</v>
      </c>
      <c r="I327" s="22" t="s">
        <v>2500</v>
      </c>
      <c r="J327" s="22"/>
      <c r="K327" s="23">
        <v>45952</v>
      </c>
      <c r="L327" s="23">
        <v>45958</v>
      </c>
      <c r="M327" s="50" t="s">
        <v>53</v>
      </c>
      <c r="N327" s="50" t="s">
        <v>54</v>
      </c>
      <c r="O327" s="50" t="s">
        <v>41</v>
      </c>
      <c r="P327" s="34">
        <f t="shared" si="17"/>
        <v>6</v>
      </c>
      <c r="Q327" s="24">
        <v>3411.5584415584417</v>
      </c>
      <c r="R327" s="24">
        <v>0</v>
      </c>
      <c r="S327" s="24">
        <f t="shared" si="16"/>
        <v>-3411.5584415584417</v>
      </c>
    </row>
    <row r="328" spans="1:19">
      <c r="A328" s="5">
        <v>327</v>
      </c>
      <c r="B328" s="5">
        <v>2510212854</v>
      </c>
      <c r="C328" s="5" t="s">
        <v>2501</v>
      </c>
      <c r="D328" s="5" t="s">
        <v>2194</v>
      </c>
      <c r="E328" s="5" t="s">
        <v>2279</v>
      </c>
      <c r="F328" s="5" t="s">
        <v>79</v>
      </c>
      <c r="G328" s="5" t="s">
        <v>75</v>
      </c>
      <c r="H328" s="5" t="s">
        <v>2498</v>
      </c>
      <c r="I328" s="5">
        <v>202501716</v>
      </c>
      <c r="J328" s="5"/>
      <c r="K328" s="6">
        <v>45951</v>
      </c>
      <c r="L328" s="6">
        <v>45958</v>
      </c>
      <c r="M328" s="42" t="s">
        <v>53</v>
      </c>
      <c r="N328" s="42" t="s">
        <v>54</v>
      </c>
      <c r="O328" s="42" t="s">
        <v>41</v>
      </c>
      <c r="P328" s="30">
        <f t="shared" si="17"/>
        <v>7</v>
      </c>
      <c r="Q328" s="41">
        <v>3411.5584415584417</v>
      </c>
      <c r="R328" s="61">
        <v>2500</v>
      </c>
      <c r="S328" s="41">
        <f t="shared" si="16"/>
        <v>-911.5584415584417</v>
      </c>
    </row>
    <row r="329" spans="1:19">
      <c r="A329" s="5">
        <v>328</v>
      </c>
      <c r="B329" s="5">
        <v>2510212857</v>
      </c>
      <c r="C329" s="5" t="s">
        <v>2502</v>
      </c>
      <c r="D329" s="5" t="s">
        <v>964</v>
      </c>
      <c r="E329" s="5" t="s">
        <v>1900</v>
      </c>
      <c r="F329" s="5" t="s">
        <v>109</v>
      </c>
      <c r="G329" s="5" t="s">
        <v>43</v>
      </c>
      <c r="H329" s="5" t="s">
        <v>2498</v>
      </c>
      <c r="I329" s="5">
        <v>202501717</v>
      </c>
      <c r="J329" s="5"/>
      <c r="K329" s="6">
        <v>45951</v>
      </c>
      <c r="L329" s="6">
        <v>45958</v>
      </c>
      <c r="M329" s="42" t="s">
        <v>53</v>
      </c>
      <c r="N329" s="42" t="s">
        <v>54</v>
      </c>
      <c r="O329" s="42" t="s">
        <v>41</v>
      </c>
      <c r="P329" s="30">
        <f t="shared" si="17"/>
        <v>7</v>
      </c>
      <c r="Q329" s="41">
        <v>3411.5584415584417</v>
      </c>
      <c r="R329" s="41">
        <v>11000</v>
      </c>
      <c r="S329" s="41">
        <f t="shared" si="16"/>
        <v>7588.4415584415583</v>
      </c>
    </row>
    <row r="330" spans="1:19">
      <c r="A330" s="5">
        <v>329</v>
      </c>
      <c r="B330" s="5">
        <v>2510212860</v>
      </c>
      <c r="C330" s="5" t="s">
        <v>2503</v>
      </c>
      <c r="D330" s="5" t="s">
        <v>581</v>
      </c>
      <c r="E330" s="5" t="s">
        <v>2054</v>
      </c>
      <c r="F330" s="5" t="s">
        <v>202</v>
      </c>
      <c r="G330" s="5" t="s">
        <v>75</v>
      </c>
      <c r="H330" s="5" t="s">
        <v>2498</v>
      </c>
      <c r="I330" s="5">
        <v>202501718</v>
      </c>
      <c r="J330" s="5"/>
      <c r="K330" s="6">
        <v>45951</v>
      </c>
      <c r="L330" s="6">
        <v>45958</v>
      </c>
      <c r="M330" s="42" t="s">
        <v>53</v>
      </c>
      <c r="N330" s="42" t="s">
        <v>54</v>
      </c>
      <c r="O330" s="42" t="s">
        <v>41</v>
      </c>
      <c r="P330" s="30">
        <f t="shared" si="17"/>
        <v>7</v>
      </c>
      <c r="Q330" s="41">
        <v>3411.5584415584417</v>
      </c>
      <c r="R330" s="41">
        <v>5900</v>
      </c>
      <c r="S330" s="41">
        <f t="shared" si="16"/>
        <v>2488.4415584415583</v>
      </c>
    </row>
    <row r="331" spans="1:19">
      <c r="A331" s="5">
        <v>330</v>
      </c>
      <c r="B331" s="5">
        <v>2510212864</v>
      </c>
      <c r="C331" s="5" t="s">
        <v>2504</v>
      </c>
      <c r="D331" s="5" t="s">
        <v>444</v>
      </c>
      <c r="E331" s="5" t="s">
        <v>670</v>
      </c>
      <c r="F331" s="5" t="s">
        <v>109</v>
      </c>
      <c r="G331" s="5" t="s">
        <v>52</v>
      </c>
      <c r="H331" s="5" t="s">
        <v>2498</v>
      </c>
      <c r="I331" s="5">
        <v>202501719</v>
      </c>
      <c r="J331" s="5"/>
      <c r="K331" s="6">
        <v>45951</v>
      </c>
      <c r="L331" s="6">
        <v>45958</v>
      </c>
      <c r="M331" s="42" t="s">
        <v>53</v>
      </c>
      <c r="N331" s="42" t="s">
        <v>54</v>
      </c>
      <c r="O331" s="42" t="s">
        <v>41</v>
      </c>
      <c r="P331" s="30">
        <f t="shared" si="17"/>
        <v>7</v>
      </c>
      <c r="Q331" s="41">
        <v>3411.5584415584417</v>
      </c>
      <c r="R331" s="41">
        <v>5950</v>
      </c>
      <c r="S331" s="41">
        <f t="shared" si="16"/>
        <v>2538.4415584415583</v>
      </c>
    </row>
    <row r="332" spans="1:19">
      <c r="A332" s="5">
        <v>331</v>
      </c>
      <c r="B332" s="5">
        <v>2510223499</v>
      </c>
      <c r="C332" s="5" t="s">
        <v>2505</v>
      </c>
      <c r="D332" s="5" t="s">
        <v>804</v>
      </c>
      <c r="E332" s="5" t="s">
        <v>2186</v>
      </c>
      <c r="F332" s="5" t="s">
        <v>457</v>
      </c>
      <c r="G332" s="5" t="s">
        <v>52</v>
      </c>
      <c r="H332" s="5" t="s">
        <v>2498</v>
      </c>
      <c r="I332" s="5">
        <v>202501720</v>
      </c>
      <c r="J332" s="5"/>
      <c r="K332" s="6">
        <v>45952</v>
      </c>
      <c r="L332" s="6">
        <v>45958</v>
      </c>
      <c r="M332" s="42" t="s">
        <v>53</v>
      </c>
      <c r="N332" s="42" t="s">
        <v>54</v>
      </c>
      <c r="O332" s="42" t="s">
        <v>41</v>
      </c>
      <c r="P332" s="30">
        <f t="shared" si="17"/>
        <v>6</v>
      </c>
      <c r="Q332" s="41">
        <v>3411.5584415584417</v>
      </c>
      <c r="R332" s="41">
        <v>5000</v>
      </c>
      <c r="S332" s="41">
        <f t="shared" si="16"/>
        <v>1588.4415584415583</v>
      </c>
    </row>
    <row r="333" spans="1:19">
      <c r="A333" s="5">
        <v>332</v>
      </c>
      <c r="B333" s="5">
        <v>2510223503</v>
      </c>
      <c r="C333" s="5" t="s">
        <v>2506</v>
      </c>
      <c r="D333" s="5" t="s">
        <v>77</v>
      </c>
      <c r="E333" s="5" t="s">
        <v>1874</v>
      </c>
      <c r="F333" s="5" t="s">
        <v>79</v>
      </c>
      <c r="G333" s="5" t="s">
        <v>75</v>
      </c>
      <c r="H333" s="5" t="s">
        <v>2498</v>
      </c>
      <c r="I333" s="5">
        <v>202501721</v>
      </c>
      <c r="J333" s="5"/>
      <c r="K333" s="6">
        <v>45952</v>
      </c>
      <c r="L333" s="6">
        <v>45958</v>
      </c>
      <c r="M333" s="42" t="s">
        <v>53</v>
      </c>
      <c r="N333" s="42" t="s">
        <v>54</v>
      </c>
      <c r="O333" s="42" t="s">
        <v>41</v>
      </c>
      <c r="P333" s="30">
        <f t="shared" si="17"/>
        <v>6</v>
      </c>
      <c r="Q333" s="41">
        <v>3411.5584415584417</v>
      </c>
      <c r="R333" s="41">
        <v>4500</v>
      </c>
      <c r="S333" s="41">
        <f t="shared" si="16"/>
        <v>1088.4415584415583</v>
      </c>
    </row>
    <row r="334" spans="1:19">
      <c r="A334" s="5">
        <v>333</v>
      </c>
      <c r="B334" s="5">
        <v>2510223509</v>
      </c>
      <c r="C334" s="5" t="s">
        <v>2507</v>
      </c>
      <c r="D334" s="5" t="s">
        <v>564</v>
      </c>
      <c r="E334" s="5" t="s">
        <v>2294</v>
      </c>
      <c r="F334" s="5" t="s">
        <v>71</v>
      </c>
      <c r="G334" s="5" t="s">
        <v>75</v>
      </c>
      <c r="H334" s="5" t="s">
        <v>2498</v>
      </c>
      <c r="I334" s="5">
        <v>202501722</v>
      </c>
      <c r="J334" s="5"/>
      <c r="K334" s="6">
        <v>45952</v>
      </c>
      <c r="L334" s="6">
        <v>45958</v>
      </c>
      <c r="M334" s="42" t="s">
        <v>53</v>
      </c>
      <c r="N334" s="42" t="s">
        <v>54</v>
      </c>
      <c r="O334" s="42" t="s">
        <v>41</v>
      </c>
      <c r="P334" s="30">
        <f t="shared" si="17"/>
        <v>6</v>
      </c>
      <c r="Q334" s="41">
        <v>3411.5584415584417</v>
      </c>
      <c r="R334" s="41">
        <v>6500</v>
      </c>
      <c r="S334" s="41">
        <f t="shared" si="16"/>
        <v>3088.4415584415583</v>
      </c>
    </row>
    <row r="335" spans="1:19">
      <c r="A335" s="5">
        <v>334</v>
      </c>
      <c r="B335" s="5">
        <v>2510223516</v>
      </c>
      <c r="C335" s="5" t="s">
        <v>2508</v>
      </c>
      <c r="D335" s="5" t="s">
        <v>1438</v>
      </c>
      <c r="E335" s="5" t="s">
        <v>2509</v>
      </c>
      <c r="F335" s="5" t="s">
        <v>202</v>
      </c>
      <c r="G335" s="5" t="s">
        <v>190</v>
      </c>
      <c r="H335" s="5" t="s">
        <v>2498</v>
      </c>
      <c r="I335" s="5">
        <v>202501723</v>
      </c>
      <c r="J335" s="5"/>
      <c r="K335" s="6">
        <v>45952</v>
      </c>
      <c r="L335" s="6">
        <v>45958</v>
      </c>
      <c r="M335" s="42" t="s">
        <v>53</v>
      </c>
      <c r="N335" s="42" t="s">
        <v>54</v>
      </c>
      <c r="O335" s="42" t="s">
        <v>41</v>
      </c>
      <c r="P335" s="30">
        <f t="shared" si="17"/>
        <v>6</v>
      </c>
      <c r="Q335" s="41">
        <v>3411.5584415584417</v>
      </c>
      <c r="R335" s="41">
        <v>13000</v>
      </c>
      <c r="S335" s="41">
        <f t="shared" si="16"/>
        <v>9588.4415584415583</v>
      </c>
    </row>
    <row r="336" spans="1:19">
      <c r="A336" s="5">
        <v>335</v>
      </c>
      <c r="B336" s="5">
        <v>2510223521</v>
      </c>
      <c r="C336" s="5" t="s">
        <v>2510</v>
      </c>
      <c r="D336" s="5" t="s">
        <v>83</v>
      </c>
      <c r="E336" s="5" t="s">
        <v>1925</v>
      </c>
      <c r="F336" s="5" t="s">
        <v>62</v>
      </c>
      <c r="G336" s="5" t="s">
        <v>43</v>
      </c>
      <c r="H336" s="5" t="s">
        <v>2498</v>
      </c>
      <c r="I336" s="5">
        <v>202501724</v>
      </c>
      <c r="J336" s="5"/>
      <c r="K336" s="6">
        <v>45952</v>
      </c>
      <c r="L336" s="6">
        <v>45958</v>
      </c>
      <c r="M336" s="42" t="s">
        <v>53</v>
      </c>
      <c r="N336" s="42" t="s">
        <v>54</v>
      </c>
      <c r="O336" s="42" t="s">
        <v>41</v>
      </c>
      <c r="P336" s="30">
        <f t="shared" si="17"/>
        <v>6</v>
      </c>
      <c r="Q336" s="41">
        <v>3411.5584415584417</v>
      </c>
      <c r="R336" s="41">
        <v>9000</v>
      </c>
      <c r="S336" s="41">
        <f t="shared" si="16"/>
        <v>5588.4415584415583</v>
      </c>
    </row>
    <row r="337" spans="1:19">
      <c r="A337" s="5">
        <v>336</v>
      </c>
      <c r="B337" s="5">
        <v>2510223524</v>
      </c>
      <c r="C337" s="5" t="s">
        <v>2511</v>
      </c>
      <c r="D337" s="5" t="s">
        <v>1629</v>
      </c>
      <c r="E337" s="5" t="s">
        <v>1812</v>
      </c>
      <c r="F337" s="5" t="s">
        <v>141</v>
      </c>
      <c r="G337" s="5" t="s">
        <v>52</v>
      </c>
      <c r="H337" s="5" t="s">
        <v>2498</v>
      </c>
      <c r="I337" s="5">
        <v>202501725</v>
      </c>
      <c r="J337" s="5"/>
      <c r="K337" s="6">
        <v>45952</v>
      </c>
      <c r="L337" s="6">
        <v>45958</v>
      </c>
      <c r="M337" s="42" t="s">
        <v>53</v>
      </c>
      <c r="N337" s="42" t="s">
        <v>54</v>
      </c>
      <c r="O337" s="42" t="s">
        <v>41</v>
      </c>
      <c r="P337" s="30">
        <f t="shared" si="17"/>
        <v>6</v>
      </c>
      <c r="Q337" s="41">
        <v>3411.5584415584417</v>
      </c>
      <c r="R337" s="41">
        <v>5500</v>
      </c>
      <c r="S337" s="41">
        <f t="shared" si="16"/>
        <v>2088.4415584415583</v>
      </c>
    </row>
    <row r="338" spans="1:19">
      <c r="A338" s="5">
        <v>337</v>
      </c>
      <c r="B338" s="5">
        <v>2510223531</v>
      </c>
      <c r="C338" s="5" t="s">
        <v>2512</v>
      </c>
      <c r="D338" s="5" t="s">
        <v>321</v>
      </c>
      <c r="E338" s="5" t="s">
        <v>322</v>
      </c>
      <c r="F338" s="5" t="s">
        <v>202</v>
      </c>
      <c r="G338" s="5" t="s">
        <v>52</v>
      </c>
      <c r="H338" s="5" t="s">
        <v>2498</v>
      </c>
      <c r="I338" s="5">
        <v>202501726</v>
      </c>
      <c r="J338" s="5"/>
      <c r="K338" s="6">
        <v>45952</v>
      </c>
      <c r="L338" s="6">
        <v>45958</v>
      </c>
      <c r="M338" s="42" t="s">
        <v>53</v>
      </c>
      <c r="N338" s="42" t="s">
        <v>54</v>
      </c>
      <c r="O338" s="42" t="s">
        <v>41</v>
      </c>
      <c r="P338" s="30">
        <f t="shared" si="17"/>
        <v>6</v>
      </c>
      <c r="Q338" s="41">
        <v>3411.5584415584417</v>
      </c>
      <c r="R338" s="41">
        <v>7000</v>
      </c>
      <c r="S338" s="41">
        <f t="shared" si="16"/>
        <v>3588.4415584415583</v>
      </c>
    </row>
    <row r="339" spans="1:19">
      <c r="A339" s="5">
        <v>338</v>
      </c>
      <c r="B339" s="5">
        <v>2510223537</v>
      </c>
      <c r="C339" s="5" t="s">
        <v>2513</v>
      </c>
      <c r="D339" s="5" t="s">
        <v>599</v>
      </c>
      <c r="E339" s="5" t="s">
        <v>1852</v>
      </c>
      <c r="F339" s="5" t="s">
        <v>169</v>
      </c>
      <c r="G339" s="5" t="s">
        <v>52</v>
      </c>
      <c r="H339" s="5" t="s">
        <v>2498</v>
      </c>
      <c r="I339" s="5">
        <v>202501727</v>
      </c>
      <c r="J339" s="5"/>
      <c r="K339" s="6">
        <v>45952</v>
      </c>
      <c r="L339" s="6">
        <v>45958</v>
      </c>
      <c r="M339" s="42" t="s">
        <v>53</v>
      </c>
      <c r="N339" s="42" t="s">
        <v>54</v>
      </c>
      <c r="O339" s="42" t="s">
        <v>41</v>
      </c>
      <c r="P339" s="30">
        <f t="shared" si="17"/>
        <v>6</v>
      </c>
      <c r="Q339" s="41">
        <v>3411.5584415584417</v>
      </c>
      <c r="R339" s="41">
        <v>7500</v>
      </c>
      <c r="S339" s="41">
        <f t="shared" si="16"/>
        <v>4088.4415584415583</v>
      </c>
    </row>
    <row r="340" spans="1:19">
      <c r="A340" s="5">
        <v>339</v>
      </c>
      <c r="B340" s="5">
        <v>2510232298</v>
      </c>
      <c r="C340" s="5" t="s">
        <v>2514</v>
      </c>
      <c r="D340" s="5" t="s">
        <v>263</v>
      </c>
      <c r="E340" s="5" t="s">
        <v>1140</v>
      </c>
      <c r="F340" s="5" t="s">
        <v>71</v>
      </c>
      <c r="G340" s="5" t="s">
        <v>43</v>
      </c>
      <c r="H340" s="5" t="s">
        <v>2498</v>
      </c>
      <c r="I340" s="5">
        <v>202501728</v>
      </c>
      <c r="J340" s="5"/>
      <c r="K340" s="6">
        <v>45953</v>
      </c>
      <c r="L340" s="6">
        <v>45958</v>
      </c>
      <c r="M340" s="42" t="s">
        <v>53</v>
      </c>
      <c r="N340" s="42" t="s">
        <v>54</v>
      </c>
      <c r="O340" s="42" t="s">
        <v>41</v>
      </c>
      <c r="P340" s="30">
        <f t="shared" si="17"/>
        <v>5</v>
      </c>
      <c r="Q340" s="41">
        <v>3411.5584415584417</v>
      </c>
      <c r="R340" s="41">
        <v>12000</v>
      </c>
      <c r="S340" s="41">
        <f t="shared" si="16"/>
        <v>8588.4415584415583</v>
      </c>
    </row>
    <row r="341" spans="1:19">
      <c r="A341" s="5">
        <v>340</v>
      </c>
      <c r="B341" s="5">
        <v>2510232305</v>
      </c>
      <c r="C341" s="5" t="s">
        <v>2515</v>
      </c>
      <c r="D341" s="5" t="s">
        <v>676</v>
      </c>
      <c r="E341" s="5" t="s">
        <v>2516</v>
      </c>
      <c r="F341" s="5" t="s">
        <v>678</v>
      </c>
      <c r="G341" s="5" t="s">
        <v>52</v>
      </c>
      <c r="H341" s="5" t="s">
        <v>2498</v>
      </c>
      <c r="I341" s="5">
        <v>202501729</v>
      </c>
      <c r="J341" s="5"/>
      <c r="K341" s="6">
        <v>45953</v>
      </c>
      <c r="L341" s="6">
        <v>45958</v>
      </c>
      <c r="M341" s="42" t="s">
        <v>53</v>
      </c>
      <c r="N341" s="42" t="s">
        <v>54</v>
      </c>
      <c r="O341" s="42" t="s">
        <v>41</v>
      </c>
      <c r="P341" s="30">
        <f t="shared" si="17"/>
        <v>5</v>
      </c>
      <c r="Q341" s="41">
        <v>3411.5584415584417</v>
      </c>
      <c r="R341" s="41">
        <v>7500</v>
      </c>
      <c r="S341" s="41">
        <f t="shared" si="16"/>
        <v>4088.4415584415583</v>
      </c>
    </row>
    <row r="342" spans="1:19">
      <c r="A342" s="5">
        <v>341</v>
      </c>
      <c r="B342" s="5">
        <v>2510232315</v>
      </c>
      <c r="C342" s="5" t="s">
        <v>2517</v>
      </c>
      <c r="D342" s="5" t="s">
        <v>86</v>
      </c>
      <c r="E342" s="5" t="s">
        <v>699</v>
      </c>
      <c r="F342" s="5" t="s">
        <v>87</v>
      </c>
      <c r="G342" s="5" t="s">
        <v>43</v>
      </c>
      <c r="H342" s="5" t="s">
        <v>2498</v>
      </c>
      <c r="I342" s="5">
        <v>202501730</v>
      </c>
      <c r="J342" s="5"/>
      <c r="K342" s="6">
        <v>45953</v>
      </c>
      <c r="L342" s="6">
        <v>45958</v>
      </c>
      <c r="M342" s="42" t="s">
        <v>53</v>
      </c>
      <c r="N342" s="42" t="s">
        <v>54</v>
      </c>
      <c r="O342" s="42" t="s">
        <v>41</v>
      </c>
      <c r="P342" s="30">
        <f t="shared" si="17"/>
        <v>5</v>
      </c>
      <c r="Q342" s="41">
        <v>3411.5584415584417</v>
      </c>
      <c r="R342" s="41">
        <v>11000</v>
      </c>
      <c r="S342" s="41">
        <f t="shared" si="16"/>
        <v>7588.4415584415583</v>
      </c>
    </row>
    <row r="343" spans="1:19">
      <c r="A343" s="5">
        <v>342</v>
      </c>
      <c r="B343" s="5">
        <v>2510232323</v>
      </c>
      <c r="C343" s="5" t="s">
        <v>2518</v>
      </c>
      <c r="D343" s="5" t="s">
        <v>345</v>
      </c>
      <c r="E343" s="5" t="s">
        <v>2519</v>
      </c>
      <c r="F343" s="5" t="s">
        <v>66</v>
      </c>
      <c r="G343" s="5" t="s">
        <v>52</v>
      </c>
      <c r="H343" s="5" t="s">
        <v>2498</v>
      </c>
      <c r="I343" s="5">
        <v>202501731</v>
      </c>
      <c r="J343" s="5"/>
      <c r="K343" s="6">
        <v>45953</v>
      </c>
      <c r="L343" s="6">
        <v>45958</v>
      </c>
      <c r="M343" s="42" t="s">
        <v>53</v>
      </c>
      <c r="N343" s="42" t="s">
        <v>54</v>
      </c>
      <c r="O343" s="42" t="s">
        <v>41</v>
      </c>
      <c r="P343" s="30">
        <f t="shared" si="17"/>
        <v>5</v>
      </c>
      <c r="Q343" s="41">
        <v>3411.5584415584417</v>
      </c>
      <c r="R343" s="41">
        <v>6000</v>
      </c>
      <c r="S343" s="41">
        <f t="shared" si="16"/>
        <v>2588.4415584415583</v>
      </c>
    </row>
    <row r="344" spans="1:19">
      <c r="A344" s="5">
        <v>343</v>
      </c>
      <c r="B344" s="5">
        <v>2510232326</v>
      </c>
      <c r="C344" s="5" t="s">
        <v>2520</v>
      </c>
      <c r="D344" s="5" t="s">
        <v>440</v>
      </c>
      <c r="E344" s="5" t="s">
        <v>441</v>
      </c>
      <c r="F344" s="5" t="s">
        <v>169</v>
      </c>
      <c r="G344" s="5" t="s">
        <v>52</v>
      </c>
      <c r="H344" s="5" t="s">
        <v>2498</v>
      </c>
      <c r="I344" s="5">
        <v>202501732</v>
      </c>
      <c r="J344" s="5"/>
      <c r="K344" s="6">
        <v>45953</v>
      </c>
      <c r="L344" s="6">
        <v>45958</v>
      </c>
      <c r="M344" s="42" t="s">
        <v>53</v>
      </c>
      <c r="N344" s="42" t="s">
        <v>54</v>
      </c>
      <c r="O344" s="42" t="s">
        <v>41</v>
      </c>
      <c r="P344" s="30">
        <f t="shared" si="17"/>
        <v>5</v>
      </c>
      <c r="Q344" s="41">
        <v>3411.5584415584417</v>
      </c>
      <c r="R344" s="41">
        <v>5500</v>
      </c>
      <c r="S344" s="41">
        <f t="shared" si="16"/>
        <v>2088.4415584415583</v>
      </c>
    </row>
    <row r="345" spans="1:19">
      <c r="A345" s="5">
        <v>344</v>
      </c>
      <c r="B345" s="5">
        <v>2510232331</v>
      </c>
      <c r="C345" s="5" t="s">
        <v>2521</v>
      </c>
      <c r="D345" s="5" t="s">
        <v>804</v>
      </c>
      <c r="E345" s="5" t="s">
        <v>2186</v>
      </c>
      <c r="F345" s="5" t="s">
        <v>457</v>
      </c>
      <c r="G345" s="5" t="s">
        <v>52</v>
      </c>
      <c r="H345" s="5" t="s">
        <v>2498</v>
      </c>
      <c r="I345" s="5">
        <v>202501733</v>
      </c>
      <c r="J345" s="5"/>
      <c r="K345" s="6">
        <v>45953</v>
      </c>
      <c r="L345" s="6">
        <v>45958</v>
      </c>
      <c r="M345" s="42" t="s">
        <v>53</v>
      </c>
      <c r="N345" s="42" t="s">
        <v>54</v>
      </c>
      <c r="O345" s="42" t="s">
        <v>41</v>
      </c>
      <c r="P345" s="30">
        <f t="shared" si="17"/>
        <v>5</v>
      </c>
      <c r="Q345" s="41">
        <v>3411.5584415584417</v>
      </c>
      <c r="R345" s="41">
        <v>5000</v>
      </c>
      <c r="S345" s="41">
        <f t="shared" si="16"/>
        <v>1588.4415584415583</v>
      </c>
    </row>
    <row r="346" spans="1:19">
      <c r="A346" s="5">
        <v>345</v>
      </c>
      <c r="B346" s="5">
        <v>2510241951</v>
      </c>
      <c r="C346" s="5" t="s">
        <v>2522</v>
      </c>
      <c r="D346" s="5" t="s">
        <v>908</v>
      </c>
      <c r="E346" s="5" t="s">
        <v>909</v>
      </c>
      <c r="F346" s="5" t="s">
        <v>362</v>
      </c>
      <c r="G346" s="5" t="s">
        <v>43</v>
      </c>
      <c r="H346" s="5" t="s">
        <v>2498</v>
      </c>
      <c r="I346" s="5">
        <v>202501734</v>
      </c>
      <c r="J346" s="5"/>
      <c r="K346" s="6">
        <v>45954</v>
      </c>
      <c r="L346" s="6">
        <v>45958</v>
      </c>
      <c r="M346" s="42" t="s">
        <v>53</v>
      </c>
      <c r="N346" s="42" t="s">
        <v>54</v>
      </c>
      <c r="O346" s="42" t="s">
        <v>41</v>
      </c>
      <c r="P346" s="30">
        <f t="shared" si="17"/>
        <v>4</v>
      </c>
      <c r="Q346" s="41">
        <v>3411.5584415584417</v>
      </c>
      <c r="R346" s="41">
        <v>10500</v>
      </c>
      <c r="S346" s="41">
        <f t="shared" si="16"/>
        <v>7088.4415584415583</v>
      </c>
    </row>
    <row r="347" spans="1:19">
      <c r="A347" s="5">
        <v>346</v>
      </c>
      <c r="B347" s="13">
        <v>2510241955</v>
      </c>
      <c r="C347" s="13" t="s">
        <v>2523</v>
      </c>
      <c r="D347" s="13" t="s">
        <v>139</v>
      </c>
      <c r="E347" s="13" t="s">
        <v>140</v>
      </c>
      <c r="F347" s="13" t="s">
        <v>141</v>
      </c>
      <c r="G347" s="13" t="s">
        <v>52</v>
      </c>
      <c r="H347" s="13" t="s">
        <v>2498</v>
      </c>
      <c r="I347" s="13">
        <v>202501735</v>
      </c>
      <c r="J347" s="13"/>
      <c r="K347" s="14">
        <v>45954</v>
      </c>
      <c r="L347" s="14">
        <v>45958</v>
      </c>
      <c r="M347" s="118" t="s">
        <v>45</v>
      </c>
      <c r="N347" s="118" t="s">
        <v>46</v>
      </c>
      <c r="O347" s="118" t="s">
        <v>1523</v>
      </c>
      <c r="P347" s="35">
        <f t="shared" si="17"/>
        <v>4</v>
      </c>
      <c r="Q347" s="15">
        <v>3411.5584415584417</v>
      </c>
      <c r="R347" s="15">
        <v>6000</v>
      </c>
      <c r="S347" s="15">
        <f t="shared" si="16"/>
        <v>2588.4415584415583</v>
      </c>
    </row>
    <row r="348" spans="1:19">
      <c r="A348" s="5">
        <v>347</v>
      </c>
      <c r="B348" s="5">
        <v>2510241956</v>
      </c>
      <c r="C348" s="5" t="s">
        <v>2524</v>
      </c>
      <c r="D348" s="5" t="s">
        <v>309</v>
      </c>
      <c r="E348" s="5" t="s">
        <v>310</v>
      </c>
      <c r="F348" s="5" t="s">
        <v>51</v>
      </c>
      <c r="G348" s="5" t="s">
        <v>52</v>
      </c>
      <c r="H348" s="5" t="s">
        <v>2498</v>
      </c>
      <c r="I348" s="5">
        <v>202501736</v>
      </c>
      <c r="J348" s="5"/>
      <c r="K348" s="6">
        <v>45954</v>
      </c>
      <c r="L348" s="6">
        <v>45958</v>
      </c>
      <c r="M348" s="42" t="s">
        <v>53</v>
      </c>
      <c r="N348" s="42" t="s">
        <v>54</v>
      </c>
      <c r="O348" s="42" t="s">
        <v>41</v>
      </c>
      <c r="P348" s="30">
        <f t="shared" si="17"/>
        <v>4</v>
      </c>
      <c r="Q348" s="41">
        <v>3411.5584415584417</v>
      </c>
      <c r="R348" s="41">
        <v>5500</v>
      </c>
      <c r="S348" s="41">
        <f t="shared" si="16"/>
        <v>2088.4415584415583</v>
      </c>
    </row>
    <row r="349" spans="1:19">
      <c r="A349" s="5">
        <v>348</v>
      </c>
      <c r="B349" s="5">
        <v>2510241964</v>
      </c>
      <c r="C349" s="5" t="s">
        <v>2525</v>
      </c>
      <c r="D349" s="5" t="s">
        <v>103</v>
      </c>
      <c r="E349" s="5" t="s">
        <v>1123</v>
      </c>
      <c r="F349" s="5" t="s">
        <v>51</v>
      </c>
      <c r="G349" s="5" t="s">
        <v>52</v>
      </c>
      <c r="H349" s="5" t="s">
        <v>2498</v>
      </c>
      <c r="I349" s="5">
        <v>202501737</v>
      </c>
      <c r="J349" s="5"/>
      <c r="K349" s="6">
        <v>45954</v>
      </c>
      <c r="L349" s="6">
        <v>45958</v>
      </c>
      <c r="M349" s="42" t="s">
        <v>53</v>
      </c>
      <c r="N349" s="42" t="s">
        <v>54</v>
      </c>
      <c r="O349" s="42" t="s">
        <v>41</v>
      </c>
      <c r="P349" s="30">
        <f t="shared" si="17"/>
        <v>4</v>
      </c>
      <c r="Q349" s="41">
        <v>3411.5584415584417</v>
      </c>
      <c r="R349" s="41">
        <v>8000</v>
      </c>
      <c r="S349" s="41">
        <f t="shared" si="16"/>
        <v>4588.4415584415583</v>
      </c>
    </row>
    <row r="350" spans="1:19">
      <c r="A350" s="5">
        <v>349</v>
      </c>
      <c r="B350" s="9">
        <v>2510241970</v>
      </c>
      <c r="C350" s="9" t="s">
        <v>2526</v>
      </c>
      <c r="D350" s="9" t="s">
        <v>334</v>
      </c>
      <c r="E350" s="9" t="s">
        <v>335</v>
      </c>
      <c r="F350" s="9" t="s">
        <v>71</v>
      </c>
      <c r="G350" s="9" t="s">
        <v>43</v>
      </c>
      <c r="H350" s="9" t="s">
        <v>2498</v>
      </c>
      <c r="I350" s="9">
        <v>202501738</v>
      </c>
      <c r="J350" s="9"/>
      <c r="K350" s="10">
        <v>45954</v>
      </c>
      <c r="L350" s="10">
        <v>45958</v>
      </c>
      <c r="M350" s="54" t="s">
        <v>45</v>
      </c>
      <c r="N350" s="54" t="s">
        <v>94</v>
      </c>
      <c r="O350" s="54" t="s">
        <v>1667</v>
      </c>
      <c r="P350" s="32">
        <f t="shared" si="17"/>
        <v>4</v>
      </c>
      <c r="Q350" s="11">
        <v>3411.5584415584417</v>
      </c>
      <c r="R350" s="11">
        <v>12000</v>
      </c>
      <c r="S350" s="11">
        <f t="shared" si="16"/>
        <v>8588.4415584415583</v>
      </c>
    </row>
    <row r="351" spans="1:19">
      <c r="A351" s="5">
        <v>350</v>
      </c>
      <c r="B351" s="5">
        <v>2510241981</v>
      </c>
      <c r="C351" s="5" t="s">
        <v>2527</v>
      </c>
      <c r="D351" s="5" t="s">
        <v>97</v>
      </c>
      <c r="E351" s="5" t="s">
        <v>2528</v>
      </c>
      <c r="F351" s="5" t="s">
        <v>71</v>
      </c>
      <c r="G351" s="5" t="s">
        <v>52</v>
      </c>
      <c r="H351" s="5" t="s">
        <v>2498</v>
      </c>
      <c r="I351" s="5">
        <v>202501739</v>
      </c>
      <c r="J351" s="5"/>
      <c r="K351" s="6">
        <v>45954</v>
      </c>
      <c r="L351" s="6">
        <v>45958</v>
      </c>
      <c r="M351" s="42" t="s">
        <v>53</v>
      </c>
      <c r="N351" s="42" t="s">
        <v>54</v>
      </c>
      <c r="O351" s="42" t="s">
        <v>41</v>
      </c>
      <c r="P351" s="30">
        <f t="shared" si="17"/>
        <v>4</v>
      </c>
      <c r="Q351" s="41">
        <v>3411.5584415584417</v>
      </c>
      <c r="R351" s="41">
        <v>8500</v>
      </c>
      <c r="S351" s="41">
        <f t="shared" si="16"/>
        <v>5088.4415584415583</v>
      </c>
    </row>
    <row r="352" spans="1:19">
      <c r="A352" s="5">
        <v>351</v>
      </c>
      <c r="B352" s="5" t="s">
        <v>1239</v>
      </c>
      <c r="C352" s="5"/>
      <c r="D352" s="5"/>
      <c r="E352" s="5"/>
      <c r="F352" s="5"/>
      <c r="G352" s="5" t="s">
        <v>52</v>
      </c>
      <c r="H352" s="5"/>
      <c r="I352" s="5"/>
      <c r="J352" s="5"/>
      <c r="K352" s="5"/>
      <c r="L352" s="5"/>
      <c r="M352" s="5"/>
      <c r="N352" s="5"/>
      <c r="O352" s="5"/>
      <c r="P352" s="5"/>
      <c r="Q352" s="41">
        <v>3411.5584415584417</v>
      </c>
      <c r="R352" s="41">
        <v>0</v>
      </c>
      <c r="S352" s="41">
        <f t="shared" si="16"/>
        <v>-3411.5584415584417</v>
      </c>
    </row>
    <row r="353" spans="1:19">
      <c r="A353" s="5">
        <v>352</v>
      </c>
      <c r="B353" s="5" t="s">
        <v>1240</v>
      </c>
      <c r="C353" s="5"/>
      <c r="D353" s="5"/>
      <c r="E353" s="5"/>
      <c r="F353" s="5"/>
      <c r="G353" s="5" t="s">
        <v>52</v>
      </c>
      <c r="H353" s="5"/>
      <c r="I353" s="5"/>
      <c r="J353" s="5"/>
      <c r="K353" s="5"/>
      <c r="L353" s="5"/>
      <c r="M353" s="5"/>
      <c r="N353" s="5"/>
      <c r="O353" s="5"/>
      <c r="P353" s="5"/>
      <c r="Q353" s="41">
        <v>3411.5584415584417</v>
      </c>
      <c r="R353" s="41">
        <v>0</v>
      </c>
      <c r="S353" s="41">
        <f t="shared" si="16"/>
        <v>-3411.5584415584417</v>
      </c>
    </row>
    <row r="354" spans="1:19">
      <c r="A354" s="5">
        <v>353</v>
      </c>
      <c r="B354" s="22">
        <v>2510062079</v>
      </c>
      <c r="C354" s="22" t="s">
        <v>2254</v>
      </c>
      <c r="D354" s="22" t="s">
        <v>77</v>
      </c>
      <c r="E354" s="22" t="s">
        <v>1874</v>
      </c>
      <c r="F354" s="22" t="s">
        <v>79</v>
      </c>
      <c r="G354" s="22" t="s">
        <v>75</v>
      </c>
      <c r="H354" s="22" t="s">
        <v>2529</v>
      </c>
      <c r="I354" s="22" t="s">
        <v>2530</v>
      </c>
      <c r="J354" s="22"/>
      <c r="K354" s="23">
        <v>45955</v>
      </c>
      <c r="L354" s="23">
        <v>45961</v>
      </c>
      <c r="M354" s="50" t="s">
        <v>53</v>
      </c>
      <c r="N354" s="50" t="s">
        <v>54</v>
      </c>
      <c r="O354" s="50" t="s">
        <v>41</v>
      </c>
      <c r="P354" s="34">
        <f t="shared" ref="P354:P382" si="18">L354-K354</f>
        <v>6</v>
      </c>
      <c r="Q354" s="24">
        <v>3121.0850439882697</v>
      </c>
      <c r="R354" s="24">
        <v>0</v>
      </c>
      <c r="S354" s="24">
        <f t="shared" si="16"/>
        <v>-3121.0850439882697</v>
      </c>
    </row>
    <row r="355" spans="1:19">
      <c r="A355" s="5">
        <v>354</v>
      </c>
      <c r="B355" s="13">
        <v>2510203096</v>
      </c>
      <c r="C355" s="13" t="s">
        <v>2482</v>
      </c>
      <c r="D355" s="13" t="s">
        <v>964</v>
      </c>
      <c r="E355" s="13" t="s">
        <v>965</v>
      </c>
      <c r="F355" s="13" t="s">
        <v>109</v>
      </c>
      <c r="G355" s="13" t="s">
        <v>43</v>
      </c>
      <c r="H355" s="13" t="s">
        <v>2529</v>
      </c>
      <c r="I355" s="13" t="s">
        <v>2531</v>
      </c>
      <c r="J355" s="13"/>
      <c r="K355" s="14">
        <v>45955</v>
      </c>
      <c r="L355" s="14">
        <v>45961</v>
      </c>
      <c r="M355" s="118" t="s">
        <v>45</v>
      </c>
      <c r="N355" s="118" t="s">
        <v>46</v>
      </c>
      <c r="O355" s="118" t="s">
        <v>1523</v>
      </c>
      <c r="P355" s="35">
        <f t="shared" si="18"/>
        <v>6</v>
      </c>
      <c r="Q355" s="15">
        <v>3121.0850439882697</v>
      </c>
      <c r="R355" s="15">
        <v>0</v>
      </c>
      <c r="S355" s="15">
        <f t="shared" si="16"/>
        <v>-3121.0850439882697</v>
      </c>
    </row>
    <row r="356" spans="1:19">
      <c r="A356" s="5">
        <v>355</v>
      </c>
      <c r="B356" s="22">
        <v>2510241970</v>
      </c>
      <c r="C356" s="22" t="s">
        <v>2526</v>
      </c>
      <c r="D356" s="22" t="s">
        <v>334</v>
      </c>
      <c r="E356" s="22" t="s">
        <v>335</v>
      </c>
      <c r="F356" s="22" t="s">
        <v>71</v>
      </c>
      <c r="G356" s="22" t="s">
        <v>43</v>
      </c>
      <c r="H356" s="22" t="s">
        <v>2529</v>
      </c>
      <c r="I356" s="22" t="s">
        <v>2532</v>
      </c>
      <c r="J356" s="22"/>
      <c r="K356" s="23">
        <v>45954</v>
      </c>
      <c r="L356" s="23">
        <v>45961</v>
      </c>
      <c r="M356" s="50" t="s">
        <v>53</v>
      </c>
      <c r="N356" s="50" t="s">
        <v>54</v>
      </c>
      <c r="O356" s="50" t="s">
        <v>41</v>
      </c>
      <c r="P356" s="34">
        <f t="shared" si="18"/>
        <v>7</v>
      </c>
      <c r="Q356" s="24">
        <v>3121.0850439882697</v>
      </c>
      <c r="R356" s="24">
        <v>0</v>
      </c>
      <c r="S356" s="24">
        <f t="shared" si="16"/>
        <v>-3121.0850439882697</v>
      </c>
    </row>
    <row r="357" spans="1:19">
      <c r="A357" s="5">
        <v>356</v>
      </c>
      <c r="B357" s="5">
        <v>2510241987</v>
      </c>
      <c r="C357" s="5" t="s">
        <v>2533</v>
      </c>
      <c r="D357" s="5" t="s">
        <v>405</v>
      </c>
      <c r="E357" s="5" t="s">
        <v>1519</v>
      </c>
      <c r="F357" s="5" t="s">
        <v>202</v>
      </c>
      <c r="G357" s="5" t="s">
        <v>52</v>
      </c>
      <c r="H357" s="5" t="s">
        <v>2529</v>
      </c>
      <c r="I357" s="5">
        <v>202501740</v>
      </c>
      <c r="J357" s="5"/>
      <c r="K357" s="6">
        <v>45954</v>
      </c>
      <c r="L357" s="6">
        <v>45961</v>
      </c>
      <c r="M357" s="42" t="s">
        <v>53</v>
      </c>
      <c r="N357" s="42" t="s">
        <v>54</v>
      </c>
      <c r="O357" s="42" t="s">
        <v>41</v>
      </c>
      <c r="P357" s="30">
        <f t="shared" si="18"/>
        <v>7</v>
      </c>
      <c r="Q357" s="41">
        <v>3121.0850439882697</v>
      </c>
      <c r="R357" s="41">
        <v>6450</v>
      </c>
      <c r="S357" s="41">
        <f t="shared" si="16"/>
        <v>3328.9149560117303</v>
      </c>
    </row>
    <row r="358" spans="1:19">
      <c r="A358" s="5">
        <v>357</v>
      </c>
      <c r="B358" s="13">
        <v>2510241991</v>
      </c>
      <c r="C358" s="13" t="s">
        <v>2534</v>
      </c>
      <c r="D358" s="13" t="s">
        <v>2535</v>
      </c>
      <c r="E358" s="13" t="s">
        <v>2536</v>
      </c>
      <c r="F358" s="13" t="s">
        <v>87</v>
      </c>
      <c r="G358" s="13" t="s">
        <v>52</v>
      </c>
      <c r="H358" s="13" t="s">
        <v>2529</v>
      </c>
      <c r="I358" s="13">
        <v>202501741</v>
      </c>
      <c r="J358" s="13"/>
      <c r="K358" s="14">
        <v>45954</v>
      </c>
      <c r="L358" s="14">
        <v>45961</v>
      </c>
      <c r="M358" s="118" t="s">
        <v>45</v>
      </c>
      <c r="N358" s="118" t="s">
        <v>46</v>
      </c>
      <c r="O358" s="118" t="s">
        <v>1523</v>
      </c>
      <c r="P358" s="35">
        <f t="shared" si="18"/>
        <v>7</v>
      </c>
      <c r="Q358" s="15">
        <v>3121.0850439882697</v>
      </c>
      <c r="R358" s="15">
        <v>5500</v>
      </c>
      <c r="S358" s="15">
        <f t="shared" si="16"/>
        <v>2378.9149560117303</v>
      </c>
    </row>
    <row r="359" spans="1:19">
      <c r="A359" s="5">
        <v>358</v>
      </c>
      <c r="B359" s="9">
        <v>2510240420</v>
      </c>
      <c r="C359" s="9" t="s">
        <v>2537</v>
      </c>
      <c r="D359" s="9" t="s">
        <v>40</v>
      </c>
      <c r="E359" s="9" t="s">
        <v>41</v>
      </c>
      <c r="F359" s="9" t="s">
        <v>42</v>
      </c>
      <c r="G359" s="9" t="s">
        <v>43</v>
      </c>
      <c r="H359" s="9" t="s">
        <v>2529</v>
      </c>
      <c r="I359" s="9">
        <v>202501742</v>
      </c>
      <c r="J359" s="9"/>
      <c r="K359" s="10">
        <v>45954</v>
      </c>
      <c r="L359" s="10">
        <v>45961</v>
      </c>
      <c r="M359" s="54" t="s">
        <v>45</v>
      </c>
      <c r="N359" s="54" t="s">
        <v>94</v>
      </c>
      <c r="O359" s="54" t="s">
        <v>1667</v>
      </c>
      <c r="P359" s="32">
        <f t="shared" si="18"/>
        <v>7</v>
      </c>
      <c r="Q359" s="11">
        <v>3121.0850439882697</v>
      </c>
      <c r="R359" s="11">
        <v>9500</v>
      </c>
      <c r="S359" s="11">
        <f t="shared" si="16"/>
        <v>6378.9149560117303</v>
      </c>
    </row>
    <row r="360" spans="1:19">
      <c r="A360" s="5">
        <v>359</v>
      </c>
      <c r="B360" s="5">
        <v>2510251396</v>
      </c>
      <c r="C360" s="5" t="s">
        <v>2538</v>
      </c>
      <c r="D360" s="5" t="s">
        <v>804</v>
      </c>
      <c r="E360" s="5" t="s">
        <v>2186</v>
      </c>
      <c r="F360" s="5" t="s">
        <v>457</v>
      </c>
      <c r="G360" s="5" t="s">
        <v>52</v>
      </c>
      <c r="H360" s="5" t="s">
        <v>2529</v>
      </c>
      <c r="I360" s="5">
        <v>202501743</v>
      </c>
      <c r="J360" s="5"/>
      <c r="K360" s="6">
        <v>45955</v>
      </c>
      <c r="L360" s="6">
        <v>45961</v>
      </c>
      <c r="M360" s="42" t="s">
        <v>53</v>
      </c>
      <c r="N360" s="42" t="s">
        <v>54</v>
      </c>
      <c r="O360" s="42" t="s">
        <v>41</v>
      </c>
      <c r="P360" s="30">
        <f t="shared" si="18"/>
        <v>6</v>
      </c>
      <c r="Q360" s="41">
        <v>3121.0850439882697</v>
      </c>
      <c r="R360" s="41">
        <v>5000</v>
      </c>
      <c r="S360" s="41">
        <f t="shared" si="16"/>
        <v>1878.9149560117303</v>
      </c>
    </row>
    <row r="361" spans="1:19">
      <c r="A361" s="5">
        <v>360</v>
      </c>
      <c r="B361" s="5">
        <v>2510251402</v>
      </c>
      <c r="C361" s="5" t="s">
        <v>2539</v>
      </c>
      <c r="D361" s="5" t="s">
        <v>1475</v>
      </c>
      <c r="E361" s="5" t="s">
        <v>1476</v>
      </c>
      <c r="F361" s="5" t="s">
        <v>362</v>
      </c>
      <c r="G361" s="5" t="s">
        <v>43</v>
      </c>
      <c r="H361" s="5" t="s">
        <v>2529</v>
      </c>
      <c r="I361" s="5">
        <v>202501744</v>
      </c>
      <c r="J361" s="5"/>
      <c r="K361" s="6">
        <v>45955</v>
      </c>
      <c r="L361" s="6">
        <v>45961</v>
      </c>
      <c r="M361" s="42" t="s">
        <v>53</v>
      </c>
      <c r="N361" s="42" t="s">
        <v>54</v>
      </c>
      <c r="O361" s="42" t="s">
        <v>41</v>
      </c>
      <c r="P361" s="30">
        <f t="shared" si="18"/>
        <v>6</v>
      </c>
      <c r="Q361" s="41">
        <v>3121.0850439882697</v>
      </c>
      <c r="R361" s="41">
        <v>10500</v>
      </c>
      <c r="S361" s="41">
        <f t="shared" si="16"/>
        <v>7378.9149560117303</v>
      </c>
    </row>
    <row r="362" spans="1:19">
      <c r="A362" s="5">
        <v>361</v>
      </c>
      <c r="B362" s="5">
        <v>2510251423</v>
      </c>
      <c r="C362" s="5" t="s">
        <v>2540</v>
      </c>
      <c r="D362" s="5" t="s">
        <v>97</v>
      </c>
      <c r="E362" s="5" t="s">
        <v>1746</v>
      </c>
      <c r="F362" s="5" t="s">
        <v>71</v>
      </c>
      <c r="G362" s="5" t="s">
        <v>75</v>
      </c>
      <c r="H362" s="5" t="s">
        <v>2529</v>
      </c>
      <c r="I362" s="5">
        <v>202501745</v>
      </c>
      <c r="J362" s="5"/>
      <c r="K362" s="6">
        <v>45955</v>
      </c>
      <c r="L362" s="6">
        <v>45961</v>
      </c>
      <c r="M362" s="42" t="s">
        <v>53</v>
      </c>
      <c r="N362" s="42" t="s">
        <v>54</v>
      </c>
      <c r="O362" s="42" t="s">
        <v>41</v>
      </c>
      <c r="P362" s="30">
        <f t="shared" si="18"/>
        <v>6</v>
      </c>
      <c r="Q362" s="41">
        <v>3121.0850439882697</v>
      </c>
      <c r="R362" s="41">
        <v>4900</v>
      </c>
      <c r="S362" s="41">
        <f t="shared" si="16"/>
        <v>1778.9149560117303</v>
      </c>
    </row>
    <row r="363" spans="1:19">
      <c r="A363" s="5">
        <v>362</v>
      </c>
      <c r="B363" s="5">
        <v>2510252451</v>
      </c>
      <c r="C363" s="5" t="s">
        <v>2541</v>
      </c>
      <c r="D363" s="5" t="s">
        <v>745</v>
      </c>
      <c r="E363" s="5" t="s">
        <v>869</v>
      </c>
      <c r="F363" s="5" t="s">
        <v>202</v>
      </c>
      <c r="G363" s="5" t="s">
        <v>75</v>
      </c>
      <c r="H363" s="5" t="s">
        <v>2529</v>
      </c>
      <c r="I363" s="5">
        <v>202501746</v>
      </c>
      <c r="J363" s="5"/>
      <c r="K363" s="6">
        <v>45955</v>
      </c>
      <c r="L363" s="6">
        <v>45961</v>
      </c>
      <c r="M363" s="42" t="s">
        <v>53</v>
      </c>
      <c r="N363" s="42" t="s">
        <v>54</v>
      </c>
      <c r="O363" s="42" t="s">
        <v>41</v>
      </c>
      <c r="P363" s="30">
        <f t="shared" si="18"/>
        <v>6</v>
      </c>
      <c r="Q363" s="41">
        <v>3121.0850439882697</v>
      </c>
      <c r="R363" s="41">
        <v>4900</v>
      </c>
      <c r="S363" s="41">
        <f t="shared" si="16"/>
        <v>1778.9149560117303</v>
      </c>
    </row>
    <row r="364" spans="1:19">
      <c r="A364" s="5">
        <v>363</v>
      </c>
      <c r="B364" s="5">
        <v>2510252463</v>
      </c>
      <c r="C364" s="5" t="s">
        <v>2542</v>
      </c>
      <c r="D364" s="5" t="s">
        <v>83</v>
      </c>
      <c r="E364" s="5" t="s">
        <v>1925</v>
      </c>
      <c r="F364" s="5" t="s">
        <v>62</v>
      </c>
      <c r="G364" s="5" t="s">
        <v>52</v>
      </c>
      <c r="H364" s="5" t="s">
        <v>2529</v>
      </c>
      <c r="I364" s="5">
        <v>202501747</v>
      </c>
      <c r="J364" s="5"/>
      <c r="K364" s="6">
        <v>45955</v>
      </c>
      <c r="L364" s="6">
        <v>45961</v>
      </c>
      <c r="M364" s="42" t="s">
        <v>53</v>
      </c>
      <c r="N364" s="42" t="s">
        <v>54</v>
      </c>
      <c r="O364" s="42" t="s">
        <v>41</v>
      </c>
      <c r="P364" s="30">
        <f t="shared" si="18"/>
        <v>6</v>
      </c>
      <c r="Q364" s="41">
        <v>3121.0850439882697</v>
      </c>
      <c r="R364" s="41">
        <v>6000</v>
      </c>
      <c r="S364" s="41">
        <f t="shared" si="16"/>
        <v>2878.9149560117303</v>
      </c>
    </row>
    <row r="365" spans="1:19">
      <c r="A365" s="5">
        <v>364</v>
      </c>
      <c r="B365" s="5">
        <v>2510252467</v>
      </c>
      <c r="C365" s="5" t="s">
        <v>2543</v>
      </c>
      <c r="D365" s="5" t="s">
        <v>855</v>
      </c>
      <c r="E365" s="5" t="s">
        <v>2068</v>
      </c>
      <c r="F365" s="5" t="s">
        <v>51</v>
      </c>
      <c r="G365" s="5" t="s">
        <v>52</v>
      </c>
      <c r="H365" s="5" t="s">
        <v>2529</v>
      </c>
      <c r="I365" s="5">
        <v>202501748</v>
      </c>
      <c r="J365" s="5"/>
      <c r="K365" s="6">
        <v>45955</v>
      </c>
      <c r="L365" s="6">
        <v>45961</v>
      </c>
      <c r="M365" s="42" t="s">
        <v>53</v>
      </c>
      <c r="N365" s="42" t="s">
        <v>54</v>
      </c>
      <c r="O365" s="42" t="s">
        <v>41</v>
      </c>
      <c r="P365" s="30">
        <f t="shared" si="18"/>
        <v>6</v>
      </c>
      <c r="Q365" s="41">
        <v>3121.0850439882697</v>
      </c>
      <c r="R365" s="41">
        <v>5500</v>
      </c>
      <c r="S365" s="41">
        <f t="shared" si="16"/>
        <v>2378.9149560117303</v>
      </c>
    </row>
    <row r="366" spans="1:19">
      <c r="A366" s="5">
        <v>365</v>
      </c>
      <c r="B366" s="5">
        <v>2510252482</v>
      </c>
      <c r="C366" s="5" t="s">
        <v>2544</v>
      </c>
      <c r="D366" s="5" t="s">
        <v>528</v>
      </c>
      <c r="E366" s="5" t="s">
        <v>2545</v>
      </c>
      <c r="F366" s="5" t="s">
        <v>202</v>
      </c>
      <c r="G366" s="5" t="s">
        <v>52</v>
      </c>
      <c r="H366" s="5" t="s">
        <v>2529</v>
      </c>
      <c r="I366" s="5">
        <v>202501749</v>
      </c>
      <c r="J366" s="5"/>
      <c r="K366" s="6">
        <v>45955</v>
      </c>
      <c r="L366" s="6">
        <v>45961</v>
      </c>
      <c r="M366" s="42" t="s">
        <v>53</v>
      </c>
      <c r="N366" s="42" t="s">
        <v>54</v>
      </c>
      <c r="O366" s="42" t="s">
        <v>41</v>
      </c>
      <c r="P366" s="30">
        <f t="shared" si="18"/>
        <v>6</v>
      </c>
      <c r="Q366" s="41">
        <v>3121.0850439882697</v>
      </c>
      <c r="R366" s="41">
        <v>7500</v>
      </c>
      <c r="S366" s="41">
        <f t="shared" si="16"/>
        <v>4378.9149560117303</v>
      </c>
    </row>
    <row r="367" spans="1:19">
      <c r="A367" s="5">
        <v>366</v>
      </c>
      <c r="B367" s="5">
        <v>2510252489</v>
      </c>
      <c r="C367" s="5" t="s">
        <v>2546</v>
      </c>
      <c r="D367" s="5" t="s">
        <v>440</v>
      </c>
      <c r="E367" s="5" t="s">
        <v>441</v>
      </c>
      <c r="F367" s="5" t="s">
        <v>169</v>
      </c>
      <c r="G367" s="5" t="s">
        <v>52</v>
      </c>
      <c r="H367" s="5" t="s">
        <v>2529</v>
      </c>
      <c r="I367" s="5">
        <v>202501750</v>
      </c>
      <c r="J367" s="5"/>
      <c r="K367" s="6">
        <v>45955</v>
      </c>
      <c r="L367" s="6">
        <v>45961</v>
      </c>
      <c r="M367" s="42" t="s">
        <v>53</v>
      </c>
      <c r="N367" s="42" t="s">
        <v>54</v>
      </c>
      <c r="O367" s="42" t="s">
        <v>41</v>
      </c>
      <c r="P367" s="30">
        <f t="shared" si="18"/>
        <v>6</v>
      </c>
      <c r="Q367" s="41">
        <v>3121.0850439882697</v>
      </c>
      <c r="R367" s="41">
        <v>5500</v>
      </c>
      <c r="S367" s="41">
        <f t="shared" si="16"/>
        <v>2378.9149560117303</v>
      </c>
    </row>
    <row r="368" spans="1:19">
      <c r="A368" s="5">
        <v>367</v>
      </c>
      <c r="B368" s="5">
        <v>2510252496</v>
      </c>
      <c r="C368" s="5" t="s">
        <v>2547</v>
      </c>
      <c r="D368" s="5" t="s">
        <v>354</v>
      </c>
      <c r="E368" s="5" t="s">
        <v>2548</v>
      </c>
      <c r="F368" s="5" t="s">
        <v>141</v>
      </c>
      <c r="G368" s="5" t="s">
        <v>190</v>
      </c>
      <c r="H368" s="5" t="s">
        <v>2529</v>
      </c>
      <c r="I368" s="5">
        <v>202501751</v>
      </c>
      <c r="J368" s="5"/>
      <c r="K368" s="6">
        <v>45955</v>
      </c>
      <c r="L368" s="6">
        <v>45961</v>
      </c>
      <c r="M368" s="42" t="s">
        <v>53</v>
      </c>
      <c r="N368" s="42" t="s">
        <v>54</v>
      </c>
      <c r="O368" s="42" t="s">
        <v>41</v>
      </c>
      <c r="P368" s="30">
        <f t="shared" si="18"/>
        <v>6</v>
      </c>
      <c r="Q368" s="41">
        <v>3121.0850439882697</v>
      </c>
      <c r="R368" s="41">
        <v>12500</v>
      </c>
      <c r="S368" s="41">
        <f t="shared" si="16"/>
        <v>9378.9149560117294</v>
      </c>
    </row>
    <row r="369" spans="1:19">
      <c r="A369" s="5">
        <v>368</v>
      </c>
      <c r="B369" s="5">
        <v>2510261204</v>
      </c>
      <c r="C369" s="5" t="s">
        <v>2549</v>
      </c>
      <c r="D369" s="5" t="s">
        <v>309</v>
      </c>
      <c r="E369" s="5" t="s">
        <v>1597</v>
      </c>
      <c r="F369" s="5" t="s">
        <v>51</v>
      </c>
      <c r="G369" s="5" t="s">
        <v>52</v>
      </c>
      <c r="H369" s="5" t="s">
        <v>2529</v>
      </c>
      <c r="I369" s="5">
        <v>202501752</v>
      </c>
      <c r="J369" s="5"/>
      <c r="K369" s="6">
        <v>45956</v>
      </c>
      <c r="L369" s="6">
        <v>45961</v>
      </c>
      <c r="M369" s="42" t="s">
        <v>53</v>
      </c>
      <c r="N369" s="42" t="s">
        <v>54</v>
      </c>
      <c r="O369" s="42" t="s">
        <v>41</v>
      </c>
      <c r="P369" s="30">
        <f t="shared" si="18"/>
        <v>5</v>
      </c>
      <c r="Q369" s="41">
        <v>3121.0850439882697</v>
      </c>
      <c r="R369" s="41">
        <v>5500</v>
      </c>
      <c r="S369" s="41">
        <f t="shared" si="16"/>
        <v>2378.9149560117303</v>
      </c>
    </row>
    <row r="370" spans="1:19">
      <c r="A370" s="5">
        <v>369</v>
      </c>
      <c r="B370" s="5">
        <v>2510261210</v>
      </c>
      <c r="C370" s="5" t="s">
        <v>2550</v>
      </c>
      <c r="D370" s="5" t="s">
        <v>855</v>
      </c>
      <c r="E370" s="5" t="s">
        <v>2068</v>
      </c>
      <c r="F370" s="5" t="s">
        <v>51</v>
      </c>
      <c r="G370" s="5" t="s">
        <v>52</v>
      </c>
      <c r="H370" s="5" t="s">
        <v>2529</v>
      </c>
      <c r="I370" s="5">
        <v>202501753</v>
      </c>
      <c r="J370" s="5"/>
      <c r="K370" s="6">
        <v>45956</v>
      </c>
      <c r="L370" s="6">
        <v>45961</v>
      </c>
      <c r="M370" s="42" t="s">
        <v>53</v>
      </c>
      <c r="N370" s="42" t="s">
        <v>54</v>
      </c>
      <c r="O370" s="42" t="s">
        <v>41</v>
      </c>
      <c r="P370" s="30">
        <f t="shared" si="18"/>
        <v>5</v>
      </c>
      <c r="Q370" s="41">
        <v>3121.0850439882697</v>
      </c>
      <c r="R370" s="41">
        <v>5500</v>
      </c>
      <c r="S370" s="41">
        <f t="shared" si="16"/>
        <v>2378.9149560117303</v>
      </c>
    </row>
    <row r="371" spans="1:19">
      <c r="A371" s="5">
        <v>370</v>
      </c>
      <c r="B371" s="5">
        <v>2510260669</v>
      </c>
      <c r="C371" s="5" t="s">
        <v>2551</v>
      </c>
      <c r="D371" s="5" t="s">
        <v>40</v>
      </c>
      <c r="E371" s="5" t="s">
        <v>41</v>
      </c>
      <c r="F371" s="5" t="s">
        <v>42</v>
      </c>
      <c r="G371" s="5" t="s">
        <v>75</v>
      </c>
      <c r="H371" s="5" t="s">
        <v>2529</v>
      </c>
      <c r="I371" s="5">
        <v>202501754</v>
      </c>
      <c r="J371" s="5"/>
      <c r="K371" s="6">
        <v>45956</v>
      </c>
      <c r="L371" s="6">
        <v>45961</v>
      </c>
      <c r="M371" s="42" t="s">
        <v>53</v>
      </c>
      <c r="N371" s="42" t="s">
        <v>54</v>
      </c>
      <c r="O371" s="42" t="s">
        <v>41</v>
      </c>
      <c r="P371" s="30">
        <f t="shared" si="18"/>
        <v>5</v>
      </c>
      <c r="Q371" s="41">
        <v>3121.0850439882697</v>
      </c>
      <c r="R371" s="41">
        <v>6500</v>
      </c>
      <c r="S371" s="41">
        <f t="shared" si="16"/>
        <v>3378.9149560117303</v>
      </c>
    </row>
    <row r="372" spans="1:19">
      <c r="A372" s="5">
        <v>371</v>
      </c>
      <c r="B372" s="5">
        <v>2510261215</v>
      </c>
      <c r="C372" s="5" t="s">
        <v>2552</v>
      </c>
      <c r="D372" s="5" t="s">
        <v>528</v>
      </c>
      <c r="E372" s="5" t="s">
        <v>1917</v>
      </c>
      <c r="F372" s="5" t="s">
        <v>202</v>
      </c>
      <c r="G372" s="5" t="s">
        <v>52</v>
      </c>
      <c r="H372" s="5" t="s">
        <v>2529</v>
      </c>
      <c r="I372" s="5">
        <v>202501755</v>
      </c>
      <c r="J372" s="5"/>
      <c r="K372" s="6">
        <v>45956</v>
      </c>
      <c r="L372" s="6">
        <v>45961</v>
      </c>
      <c r="M372" s="42" t="s">
        <v>53</v>
      </c>
      <c r="N372" s="42" t="s">
        <v>54</v>
      </c>
      <c r="O372" s="42" t="s">
        <v>41</v>
      </c>
      <c r="P372" s="30">
        <f t="shared" si="18"/>
        <v>5</v>
      </c>
      <c r="Q372" s="41">
        <v>3121.0850439882697</v>
      </c>
      <c r="R372" s="41">
        <v>7500</v>
      </c>
      <c r="S372" s="41">
        <f t="shared" si="16"/>
        <v>4378.9149560117303</v>
      </c>
    </row>
    <row r="373" spans="1:19">
      <c r="A373" s="5">
        <v>372</v>
      </c>
      <c r="B373" s="5">
        <v>2510261223</v>
      </c>
      <c r="C373" s="5" t="s">
        <v>2553</v>
      </c>
      <c r="D373" s="5" t="s">
        <v>1438</v>
      </c>
      <c r="E373" s="5" t="s">
        <v>1439</v>
      </c>
      <c r="F373" s="5" t="s">
        <v>202</v>
      </c>
      <c r="G373" s="5" t="s">
        <v>52</v>
      </c>
      <c r="H373" s="5" t="s">
        <v>2529</v>
      </c>
      <c r="I373" s="5">
        <v>202501756</v>
      </c>
      <c r="J373" s="5"/>
      <c r="K373" s="6">
        <v>45956</v>
      </c>
      <c r="L373" s="6">
        <v>45961</v>
      </c>
      <c r="M373" s="42" t="s">
        <v>53</v>
      </c>
      <c r="N373" s="42" t="s">
        <v>54</v>
      </c>
      <c r="O373" s="42" t="s">
        <v>41</v>
      </c>
      <c r="P373" s="30">
        <f t="shared" si="18"/>
        <v>5</v>
      </c>
      <c r="Q373" s="41">
        <v>3121.0850439882697</v>
      </c>
      <c r="R373" s="41">
        <v>8000</v>
      </c>
      <c r="S373" s="41">
        <f t="shared" si="16"/>
        <v>4878.9149560117303</v>
      </c>
    </row>
    <row r="374" spans="1:19">
      <c r="A374" s="5">
        <v>373</v>
      </c>
      <c r="B374" s="9">
        <v>2510261232</v>
      </c>
      <c r="C374" s="9" t="s">
        <v>2554</v>
      </c>
      <c r="D374" s="9" t="s">
        <v>2555</v>
      </c>
      <c r="E374" s="9" t="s">
        <v>2556</v>
      </c>
      <c r="F374" s="9" t="s">
        <v>62</v>
      </c>
      <c r="G374" s="9" t="s">
        <v>43</v>
      </c>
      <c r="H374" s="9" t="s">
        <v>2529</v>
      </c>
      <c r="I374" s="9">
        <v>202501757</v>
      </c>
      <c r="J374" s="9"/>
      <c r="K374" s="10">
        <v>45956</v>
      </c>
      <c r="L374" s="10">
        <v>45961</v>
      </c>
      <c r="M374" s="54" t="s">
        <v>45</v>
      </c>
      <c r="N374" s="54" t="s">
        <v>94</v>
      </c>
      <c r="O374" s="54" t="s">
        <v>1667</v>
      </c>
      <c r="P374" s="32">
        <f t="shared" si="18"/>
        <v>5</v>
      </c>
      <c r="Q374" s="11">
        <v>3121.0850439882697</v>
      </c>
      <c r="R374" s="11">
        <v>8000</v>
      </c>
      <c r="S374" s="11">
        <f t="shared" si="16"/>
        <v>4878.9149560117303</v>
      </c>
    </row>
    <row r="375" spans="1:19">
      <c r="A375" s="5">
        <v>374</v>
      </c>
      <c r="B375" s="5">
        <v>2510261234</v>
      </c>
      <c r="C375" s="5" t="s">
        <v>2557</v>
      </c>
      <c r="D375" s="5" t="s">
        <v>103</v>
      </c>
      <c r="E375" s="5" t="s">
        <v>104</v>
      </c>
      <c r="F375" s="5" t="s">
        <v>51</v>
      </c>
      <c r="G375" s="5" t="s">
        <v>52</v>
      </c>
      <c r="H375" s="5" t="s">
        <v>2529</v>
      </c>
      <c r="I375" s="5">
        <v>202501758</v>
      </c>
      <c r="J375" s="5"/>
      <c r="K375" s="6">
        <v>45956</v>
      </c>
      <c r="L375" s="6">
        <v>45961</v>
      </c>
      <c r="M375" s="42" t="s">
        <v>53</v>
      </c>
      <c r="N375" s="42" t="s">
        <v>54</v>
      </c>
      <c r="O375" s="42" t="s">
        <v>41</v>
      </c>
      <c r="P375" s="30">
        <f t="shared" si="18"/>
        <v>5</v>
      </c>
      <c r="Q375" s="41">
        <v>3121.0850439882697</v>
      </c>
      <c r="R375" s="41">
        <v>8000</v>
      </c>
      <c r="S375" s="41">
        <f t="shared" si="16"/>
        <v>4878.9149560117303</v>
      </c>
    </row>
    <row r="376" spans="1:19">
      <c r="A376" s="5">
        <v>375</v>
      </c>
      <c r="B376" s="5">
        <v>2510271995</v>
      </c>
      <c r="C376" s="5" t="s">
        <v>2558</v>
      </c>
      <c r="D376" s="5" t="s">
        <v>1662</v>
      </c>
      <c r="E376" s="5" t="s">
        <v>1318</v>
      </c>
      <c r="F376" s="5" t="s">
        <v>62</v>
      </c>
      <c r="G376" s="5" t="s">
        <v>52</v>
      </c>
      <c r="H376" s="5" t="s">
        <v>2529</v>
      </c>
      <c r="I376" s="5">
        <v>202501759</v>
      </c>
      <c r="J376" s="5"/>
      <c r="K376" s="6">
        <v>45957</v>
      </c>
      <c r="L376" s="6">
        <v>45961</v>
      </c>
      <c r="M376" s="42" t="s">
        <v>53</v>
      </c>
      <c r="N376" s="42" t="s">
        <v>54</v>
      </c>
      <c r="O376" s="42" t="s">
        <v>41</v>
      </c>
      <c r="P376" s="30">
        <f t="shared" si="18"/>
        <v>4</v>
      </c>
      <c r="Q376" s="41">
        <v>3121.0850439882697</v>
      </c>
      <c r="R376" s="41">
        <v>5500</v>
      </c>
      <c r="S376" s="41">
        <f t="shared" si="16"/>
        <v>2378.9149560117303</v>
      </c>
    </row>
    <row r="377" spans="1:19">
      <c r="A377" s="5">
        <v>376</v>
      </c>
      <c r="B377" s="5">
        <v>2510272001</v>
      </c>
      <c r="C377" s="5" t="s">
        <v>2559</v>
      </c>
      <c r="D377" s="5" t="s">
        <v>1662</v>
      </c>
      <c r="E377" s="5" t="s">
        <v>1318</v>
      </c>
      <c r="F377" s="5" t="s">
        <v>62</v>
      </c>
      <c r="G377" s="5" t="s">
        <v>52</v>
      </c>
      <c r="H377" s="5" t="s">
        <v>2529</v>
      </c>
      <c r="I377" s="5">
        <v>202501760</v>
      </c>
      <c r="J377" s="5"/>
      <c r="K377" s="6">
        <v>45957</v>
      </c>
      <c r="L377" s="6">
        <v>45961</v>
      </c>
      <c r="M377" s="42" t="s">
        <v>53</v>
      </c>
      <c r="N377" s="42" t="s">
        <v>54</v>
      </c>
      <c r="O377" s="42" t="s">
        <v>41</v>
      </c>
      <c r="P377" s="30">
        <f t="shared" si="18"/>
        <v>4</v>
      </c>
      <c r="Q377" s="41">
        <v>3121.0850439882697</v>
      </c>
      <c r="R377" s="41">
        <v>5500</v>
      </c>
      <c r="S377" s="41">
        <f t="shared" si="16"/>
        <v>2378.9149560117303</v>
      </c>
    </row>
    <row r="378" spans="1:19">
      <c r="A378" s="5">
        <v>377</v>
      </c>
      <c r="B378" s="5">
        <v>2510270655</v>
      </c>
      <c r="C378" s="5" t="s">
        <v>2560</v>
      </c>
      <c r="D378" s="5" t="s">
        <v>40</v>
      </c>
      <c r="E378" s="5" t="s">
        <v>41</v>
      </c>
      <c r="F378" s="5" t="s">
        <v>42</v>
      </c>
      <c r="G378" s="5" t="s">
        <v>190</v>
      </c>
      <c r="H378" s="5" t="s">
        <v>2529</v>
      </c>
      <c r="I378" s="5">
        <v>202501761</v>
      </c>
      <c r="J378" s="5"/>
      <c r="K378" s="6">
        <v>45957</v>
      </c>
      <c r="L378" s="6">
        <v>45961</v>
      </c>
      <c r="M378" s="42" t="s">
        <v>53</v>
      </c>
      <c r="N378" s="42" t="s">
        <v>54</v>
      </c>
      <c r="O378" s="42" t="s">
        <v>41</v>
      </c>
      <c r="P378" s="30">
        <f t="shared" si="18"/>
        <v>4</v>
      </c>
      <c r="Q378" s="41">
        <v>3121.0850439882697</v>
      </c>
      <c r="R378" s="41">
        <v>13500</v>
      </c>
      <c r="S378" s="41">
        <f t="shared" si="16"/>
        <v>10378.914956011729</v>
      </c>
    </row>
    <row r="379" spans="1:19">
      <c r="A379" s="5">
        <v>378</v>
      </c>
      <c r="B379" s="5">
        <v>2510272012</v>
      </c>
      <c r="C379" s="5" t="s">
        <v>2561</v>
      </c>
      <c r="D379" s="5" t="s">
        <v>564</v>
      </c>
      <c r="E379" s="5" t="s">
        <v>1485</v>
      </c>
      <c r="F379" s="5" t="s">
        <v>71</v>
      </c>
      <c r="G379" s="5" t="s">
        <v>75</v>
      </c>
      <c r="H379" s="5" t="s">
        <v>2529</v>
      </c>
      <c r="I379" s="5">
        <v>202501762</v>
      </c>
      <c r="J379" s="5"/>
      <c r="K379" s="6">
        <v>45957</v>
      </c>
      <c r="L379" s="6">
        <v>45961</v>
      </c>
      <c r="M379" s="42" t="s">
        <v>53</v>
      </c>
      <c r="N379" s="42" t="s">
        <v>54</v>
      </c>
      <c r="O379" s="42" t="s">
        <v>41</v>
      </c>
      <c r="P379" s="30">
        <f t="shared" si="18"/>
        <v>4</v>
      </c>
      <c r="Q379" s="41">
        <v>3121.0850439882697</v>
      </c>
      <c r="R379" s="41">
        <v>6500</v>
      </c>
      <c r="S379" s="41">
        <f t="shared" si="16"/>
        <v>3378.9149560117303</v>
      </c>
    </row>
    <row r="380" spans="1:19">
      <c r="A380" s="5">
        <v>379</v>
      </c>
      <c r="B380" s="5">
        <v>2510272017</v>
      </c>
      <c r="C380" s="5" t="s">
        <v>2562</v>
      </c>
      <c r="D380" s="5" t="s">
        <v>564</v>
      </c>
      <c r="E380" s="5" t="s">
        <v>565</v>
      </c>
      <c r="F380" s="5" t="s">
        <v>71</v>
      </c>
      <c r="G380" s="5" t="s">
        <v>52</v>
      </c>
      <c r="H380" s="5" t="s">
        <v>2529</v>
      </c>
      <c r="I380" s="5">
        <v>202501763</v>
      </c>
      <c r="J380" s="5"/>
      <c r="K380" s="6">
        <v>45957</v>
      </c>
      <c r="L380" s="6">
        <v>45961</v>
      </c>
      <c r="M380" s="42" t="s">
        <v>53</v>
      </c>
      <c r="N380" s="42" t="s">
        <v>54</v>
      </c>
      <c r="O380" s="42" t="s">
        <v>41</v>
      </c>
      <c r="P380" s="30">
        <f t="shared" si="18"/>
        <v>4</v>
      </c>
      <c r="Q380" s="41">
        <v>3121.0850439882697</v>
      </c>
      <c r="R380" s="41">
        <v>8500</v>
      </c>
      <c r="S380" s="41">
        <f t="shared" si="16"/>
        <v>5378.9149560117303</v>
      </c>
    </row>
    <row r="381" spans="1:19">
      <c r="A381" s="5">
        <v>380</v>
      </c>
      <c r="B381" s="5">
        <v>2510272021</v>
      </c>
      <c r="C381" s="5" t="s">
        <v>2563</v>
      </c>
      <c r="D381" s="5" t="s">
        <v>405</v>
      </c>
      <c r="E381" s="5" t="s">
        <v>1647</v>
      </c>
      <c r="F381" s="5" t="s">
        <v>202</v>
      </c>
      <c r="G381" s="5" t="s">
        <v>52</v>
      </c>
      <c r="H381" s="5" t="s">
        <v>2529</v>
      </c>
      <c r="I381" s="5">
        <v>202501764</v>
      </c>
      <c r="J381" s="5"/>
      <c r="K381" s="6">
        <v>45957</v>
      </c>
      <c r="L381" s="6">
        <v>45961</v>
      </c>
      <c r="M381" s="42" t="s">
        <v>53</v>
      </c>
      <c r="N381" s="42" t="s">
        <v>54</v>
      </c>
      <c r="O381" s="42" t="s">
        <v>41</v>
      </c>
      <c r="P381" s="30">
        <f t="shared" si="18"/>
        <v>4</v>
      </c>
      <c r="Q381" s="41">
        <v>3121.0850439882697</v>
      </c>
      <c r="R381" s="41">
        <v>6450</v>
      </c>
      <c r="S381" s="41">
        <f t="shared" si="16"/>
        <v>3328.9149560117303</v>
      </c>
    </row>
    <row r="382" spans="1:19">
      <c r="A382" s="5">
        <v>381</v>
      </c>
      <c r="B382" s="5">
        <v>2510272034</v>
      </c>
      <c r="C382" s="5" t="s">
        <v>2564</v>
      </c>
      <c r="D382" s="5" t="s">
        <v>321</v>
      </c>
      <c r="E382" s="5" t="s">
        <v>2565</v>
      </c>
      <c r="F382" s="5" t="s">
        <v>202</v>
      </c>
      <c r="G382" s="5" t="s">
        <v>52</v>
      </c>
      <c r="H382" s="5" t="s">
        <v>2529</v>
      </c>
      <c r="I382" s="5">
        <v>202501765</v>
      </c>
      <c r="J382" s="5"/>
      <c r="K382" s="6">
        <v>45957</v>
      </c>
      <c r="L382" s="6">
        <v>45961</v>
      </c>
      <c r="M382" s="42" t="s">
        <v>53</v>
      </c>
      <c r="N382" s="42" t="s">
        <v>54</v>
      </c>
      <c r="O382" s="42" t="s">
        <v>41</v>
      </c>
      <c r="P382" s="30">
        <f t="shared" si="18"/>
        <v>4</v>
      </c>
      <c r="Q382" s="41">
        <v>3121.0850439882697</v>
      </c>
      <c r="R382" s="41">
        <v>7500</v>
      </c>
      <c r="S382" s="41">
        <f t="shared" si="16"/>
        <v>4378.9149560117303</v>
      </c>
    </row>
    <row r="383" spans="1:19">
      <c r="A383" s="5">
        <v>382</v>
      </c>
      <c r="B383" s="5" t="s">
        <v>1239</v>
      </c>
      <c r="C383" s="5"/>
      <c r="D383" s="5"/>
      <c r="E383" s="5"/>
      <c r="F383" s="5"/>
      <c r="G383" s="5" t="s">
        <v>52</v>
      </c>
      <c r="H383" s="5"/>
      <c r="I383" s="5"/>
      <c r="J383" s="5"/>
      <c r="K383" s="5"/>
      <c r="L383" s="5"/>
      <c r="M383" s="5"/>
      <c r="N383" s="5"/>
      <c r="O383" s="5"/>
      <c r="P383" s="5"/>
      <c r="Q383" s="41">
        <v>3121.0850439882697</v>
      </c>
      <c r="R383" s="41">
        <v>0</v>
      </c>
      <c r="S383" s="41">
        <f t="shared" si="16"/>
        <v>-3121.0850439882697</v>
      </c>
    </row>
    <row r="384" spans="1:19">
      <c r="A384" s="5">
        <v>383</v>
      </c>
      <c r="B384" s="5" t="s">
        <v>1240</v>
      </c>
      <c r="C384" s="5"/>
      <c r="D384" s="5"/>
      <c r="E384" s="5"/>
      <c r="F384" s="5"/>
      <c r="G384" s="5" t="s">
        <v>52</v>
      </c>
      <c r="H384" s="5"/>
      <c r="I384" s="5"/>
      <c r="J384" s="5"/>
      <c r="K384" s="5"/>
      <c r="L384" s="5"/>
      <c r="M384" s="5"/>
      <c r="N384" s="5"/>
      <c r="O384" s="5"/>
      <c r="P384" s="5"/>
      <c r="Q384" s="41">
        <v>3121.0850439882697</v>
      </c>
      <c r="R384" s="41">
        <v>0</v>
      </c>
      <c r="S384" s="41">
        <f t="shared" si="16"/>
        <v>-3121.0850439882697</v>
      </c>
    </row>
    <row r="385" spans="1:19">
      <c r="A385" s="5">
        <v>384</v>
      </c>
      <c r="B385" s="26">
        <v>2510140841</v>
      </c>
      <c r="C385" s="26" t="s">
        <v>2392</v>
      </c>
      <c r="D385" s="26" t="s">
        <v>40</v>
      </c>
      <c r="E385" s="26" t="s">
        <v>41</v>
      </c>
      <c r="F385" s="26" t="s">
        <v>42</v>
      </c>
      <c r="G385" s="26" t="s">
        <v>43</v>
      </c>
      <c r="H385" s="26" t="s">
        <v>2566</v>
      </c>
      <c r="I385" s="26" t="s">
        <v>2567</v>
      </c>
      <c r="J385" s="26"/>
      <c r="K385" s="27">
        <v>45958</v>
      </c>
      <c r="L385" s="27">
        <v>45962</v>
      </c>
      <c r="M385" s="122" t="s">
        <v>45</v>
      </c>
      <c r="N385" s="122" t="s">
        <v>163</v>
      </c>
      <c r="O385" s="122" t="s">
        <v>1667</v>
      </c>
      <c r="P385" s="33">
        <f t="shared" ref="P385:P403" si="19">L385-K385</f>
        <v>4</v>
      </c>
      <c r="Q385" s="28">
        <v>4412.0779220779223</v>
      </c>
      <c r="R385" s="28">
        <v>0</v>
      </c>
      <c r="S385" s="28">
        <f t="shared" si="16"/>
        <v>-4412.0779220779223</v>
      </c>
    </row>
    <row r="386" spans="1:19">
      <c r="A386" s="5">
        <v>385</v>
      </c>
      <c r="B386" s="13">
        <v>2510240420</v>
      </c>
      <c r="C386" s="13" t="s">
        <v>2537</v>
      </c>
      <c r="D386" s="13" t="s">
        <v>40</v>
      </c>
      <c r="E386" s="13" t="s">
        <v>41</v>
      </c>
      <c r="F386" s="13" t="s">
        <v>42</v>
      </c>
      <c r="G386" s="13" t="s">
        <v>43</v>
      </c>
      <c r="H386" s="13" t="s">
        <v>2566</v>
      </c>
      <c r="I386" s="13" t="s">
        <v>2568</v>
      </c>
      <c r="J386" s="13"/>
      <c r="K386" s="14">
        <v>45954</v>
      </c>
      <c r="L386" s="14">
        <v>45962</v>
      </c>
      <c r="M386" s="118" t="s">
        <v>45</v>
      </c>
      <c r="N386" s="118" t="s">
        <v>46</v>
      </c>
      <c r="O386" s="118" t="s">
        <v>1667</v>
      </c>
      <c r="P386" s="35">
        <f t="shared" si="19"/>
        <v>8</v>
      </c>
      <c r="Q386" s="15">
        <v>4412.0779220779223</v>
      </c>
      <c r="R386" s="15">
        <v>0</v>
      </c>
      <c r="S386" s="15">
        <f t="shared" ref="S386:S405" si="20">R386-Q386</f>
        <v>-4412.0779220779223</v>
      </c>
    </row>
    <row r="387" spans="1:19">
      <c r="A387" s="5">
        <v>386</v>
      </c>
      <c r="B387" s="22">
        <v>2510261232</v>
      </c>
      <c r="C387" s="22" t="s">
        <v>2554</v>
      </c>
      <c r="D387" s="22" t="s">
        <v>2555</v>
      </c>
      <c r="E387" s="22" t="s">
        <v>2556</v>
      </c>
      <c r="F387" s="22" t="s">
        <v>62</v>
      </c>
      <c r="G387" s="22" t="s">
        <v>43</v>
      </c>
      <c r="H387" s="22" t="s">
        <v>2566</v>
      </c>
      <c r="I387" s="22" t="s">
        <v>2569</v>
      </c>
      <c r="J387" s="22"/>
      <c r="K387" s="23">
        <v>45956</v>
      </c>
      <c r="L387" s="23">
        <v>45962</v>
      </c>
      <c r="M387" s="50" t="s">
        <v>53</v>
      </c>
      <c r="N387" s="50" t="s">
        <v>54</v>
      </c>
      <c r="O387" s="50" t="s">
        <v>41</v>
      </c>
      <c r="P387" s="34">
        <f t="shared" si="19"/>
        <v>6</v>
      </c>
      <c r="Q387" s="24">
        <v>4412.0779220779223</v>
      </c>
      <c r="R387" s="24">
        <v>0</v>
      </c>
      <c r="S387" s="24">
        <f t="shared" si="20"/>
        <v>-4412.0779220779223</v>
      </c>
    </row>
    <row r="388" spans="1:19">
      <c r="A388" s="5">
        <v>387</v>
      </c>
      <c r="B388" s="5">
        <v>2510272006</v>
      </c>
      <c r="C388" s="5" t="s">
        <v>2570</v>
      </c>
      <c r="D388" s="5" t="s">
        <v>437</v>
      </c>
      <c r="E388" s="5" t="s">
        <v>438</v>
      </c>
      <c r="F388" s="5" t="s">
        <v>71</v>
      </c>
      <c r="G388" s="5" t="s">
        <v>43</v>
      </c>
      <c r="H388" s="5" t="s">
        <v>2566</v>
      </c>
      <c r="I388" s="5">
        <v>202501766</v>
      </c>
      <c r="J388" s="5"/>
      <c r="K388" s="6">
        <v>45957</v>
      </c>
      <c r="L388" s="6">
        <v>45962</v>
      </c>
      <c r="M388" s="42" t="s">
        <v>53</v>
      </c>
      <c r="N388" s="42" t="s">
        <v>54</v>
      </c>
      <c r="O388" s="42" t="s">
        <v>41</v>
      </c>
      <c r="P388" s="30">
        <f t="shared" si="19"/>
        <v>5</v>
      </c>
      <c r="Q388" s="41">
        <v>4412.0779220779223</v>
      </c>
      <c r="R388" s="41">
        <v>13500</v>
      </c>
      <c r="S388" s="41">
        <f t="shared" si="20"/>
        <v>9087.9220779220777</v>
      </c>
    </row>
    <row r="389" spans="1:19">
      <c r="A389" s="5">
        <v>388</v>
      </c>
      <c r="B389" s="5">
        <v>2510272037</v>
      </c>
      <c r="C389" s="5" t="s">
        <v>2571</v>
      </c>
      <c r="D389" s="5" t="s">
        <v>1261</v>
      </c>
      <c r="E389" s="5" t="s">
        <v>1806</v>
      </c>
      <c r="F389" s="5" t="s">
        <v>71</v>
      </c>
      <c r="G389" s="5" t="s">
        <v>75</v>
      </c>
      <c r="H389" s="5" t="s">
        <v>2566</v>
      </c>
      <c r="I389" s="5">
        <v>202501767</v>
      </c>
      <c r="J389" s="5"/>
      <c r="K389" s="6">
        <v>45957</v>
      </c>
      <c r="L389" s="6">
        <v>45962</v>
      </c>
      <c r="M389" s="42" t="s">
        <v>53</v>
      </c>
      <c r="N389" s="42" t="s">
        <v>54</v>
      </c>
      <c r="O389" s="42" t="s">
        <v>41</v>
      </c>
      <c r="P389" s="30">
        <f t="shared" si="19"/>
        <v>5</v>
      </c>
      <c r="Q389" s="41">
        <v>4412.0779220779223</v>
      </c>
      <c r="R389" s="41">
        <v>4500</v>
      </c>
      <c r="S389" s="41">
        <f t="shared" si="20"/>
        <v>87.922077922077733</v>
      </c>
    </row>
    <row r="390" spans="1:19">
      <c r="A390" s="5">
        <v>389</v>
      </c>
      <c r="B390" s="5">
        <v>2510272038</v>
      </c>
      <c r="C390" s="5" t="s">
        <v>2572</v>
      </c>
      <c r="D390" s="5" t="s">
        <v>1261</v>
      </c>
      <c r="E390" s="5" t="s">
        <v>1806</v>
      </c>
      <c r="F390" s="5" t="s">
        <v>71</v>
      </c>
      <c r="G390" s="5" t="s">
        <v>75</v>
      </c>
      <c r="H390" s="5" t="s">
        <v>2566</v>
      </c>
      <c r="I390" s="5">
        <v>202501768</v>
      </c>
      <c r="J390" s="5"/>
      <c r="K390" s="6">
        <v>45957</v>
      </c>
      <c r="L390" s="6">
        <v>45962</v>
      </c>
      <c r="M390" s="42" t="s">
        <v>53</v>
      </c>
      <c r="N390" s="42" t="s">
        <v>54</v>
      </c>
      <c r="O390" s="42" t="s">
        <v>41</v>
      </c>
      <c r="P390" s="30">
        <f t="shared" si="19"/>
        <v>5</v>
      </c>
      <c r="Q390" s="41">
        <v>4412.0779220779223</v>
      </c>
      <c r="R390" s="41">
        <v>4500</v>
      </c>
      <c r="S390" s="41">
        <f t="shared" si="20"/>
        <v>87.922077922077733</v>
      </c>
    </row>
    <row r="391" spans="1:19">
      <c r="A391" s="5">
        <v>390</v>
      </c>
      <c r="B391" s="5">
        <v>2510272043</v>
      </c>
      <c r="C391" s="5" t="s">
        <v>2573</v>
      </c>
      <c r="D391" s="5" t="s">
        <v>83</v>
      </c>
      <c r="E391" s="5" t="s">
        <v>84</v>
      </c>
      <c r="F391" s="5" t="s">
        <v>62</v>
      </c>
      <c r="G391" s="5" t="s">
        <v>52</v>
      </c>
      <c r="H391" s="5" t="s">
        <v>2566</v>
      </c>
      <c r="I391" s="5">
        <v>202501769</v>
      </c>
      <c r="J391" s="5"/>
      <c r="K391" s="6">
        <v>45957</v>
      </c>
      <c r="L391" s="6">
        <v>45962</v>
      </c>
      <c r="M391" s="42" t="s">
        <v>53</v>
      </c>
      <c r="N391" s="42" t="s">
        <v>54</v>
      </c>
      <c r="O391" s="42" t="s">
        <v>41</v>
      </c>
      <c r="P391" s="30">
        <f t="shared" si="19"/>
        <v>5</v>
      </c>
      <c r="Q391" s="41">
        <v>4412.0779220779223</v>
      </c>
      <c r="R391" s="41">
        <v>6000</v>
      </c>
      <c r="S391" s="41">
        <f t="shared" si="20"/>
        <v>1587.9220779220777</v>
      </c>
    </row>
    <row r="392" spans="1:19">
      <c r="A392" s="5">
        <v>391</v>
      </c>
      <c r="B392" s="5">
        <v>2510272048</v>
      </c>
      <c r="C392" s="5" t="s">
        <v>2574</v>
      </c>
      <c r="D392" s="5" t="s">
        <v>60</v>
      </c>
      <c r="E392" s="5" t="s">
        <v>61</v>
      </c>
      <c r="F392" s="5" t="s">
        <v>62</v>
      </c>
      <c r="G392" s="5" t="s">
        <v>52</v>
      </c>
      <c r="H392" s="5" t="s">
        <v>2566</v>
      </c>
      <c r="I392" s="5">
        <v>202501770</v>
      </c>
      <c r="J392" s="5"/>
      <c r="K392" s="6">
        <v>45957</v>
      </c>
      <c r="L392" s="6">
        <v>45962</v>
      </c>
      <c r="M392" s="42" t="s">
        <v>53</v>
      </c>
      <c r="N392" s="42" t="s">
        <v>54</v>
      </c>
      <c r="O392" s="42" t="s">
        <v>41</v>
      </c>
      <c r="P392" s="30">
        <f t="shared" si="19"/>
        <v>5</v>
      </c>
      <c r="Q392" s="41">
        <v>4412.0779220779223</v>
      </c>
      <c r="R392" s="41">
        <v>6000</v>
      </c>
      <c r="S392" s="41">
        <f t="shared" si="20"/>
        <v>1587.9220779220777</v>
      </c>
    </row>
    <row r="393" spans="1:19">
      <c r="A393" s="5">
        <v>392</v>
      </c>
      <c r="B393" s="5">
        <v>2510283104</v>
      </c>
      <c r="C393" s="5" t="s">
        <v>2575</v>
      </c>
      <c r="D393" s="5" t="s">
        <v>733</v>
      </c>
      <c r="E393" s="5" t="s">
        <v>2576</v>
      </c>
      <c r="F393" s="5" t="s">
        <v>51</v>
      </c>
      <c r="G393" s="5" t="s">
        <v>52</v>
      </c>
      <c r="H393" s="5" t="s">
        <v>2566</v>
      </c>
      <c r="I393" s="5">
        <v>202501771</v>
      </c>
      <c r="J393" s="5"/>
      <c r="K393" s="6">
        <v>45958</v>
      </c>
      <c r="L393" s="6">
        <v>45962</v>
      </c>
      <c r="M393" s="42" t="s">
        <v>53</v>
      </c>
      <c r="N393" s="42" t="s">
        <v>54</v>
      </c>
      <c r="O393" s="42" t="s">
        <v>41</v>
      </c>
      <c r="P393" s="30">
        <f t="shared" si="19"/>
        <v>4</v>
      </c>
      <c r="Q393" s="41">
        <v>4412.0779220779223</v>
      </c>
      <c r="R393" s="41">
        <v>5300</v>
      </c>
      <c r="S393" s="41">
        <f t="shared" si="20"/>
        <v>887.92207792207773</v>
      </c>
    </row>
    <row r="394" spans="1:19">
      <c r="A394" s="5">
        <v>393</v>
      </c>
      <c r="B394" s="5">
        <v>2510280060</v>
      </c>
      <c r="C394" s="5" t="s">
        <v>2577</v>
      </c>
      <c r="D394" s="5" t="s">
        <v>40</v>
      </c>
      <c r="E394" s="5" t="s">
        <v>41</v>
      </c>
      <c r="F394" s="5" t="s">
        <v>42</v>
      </c>
      <c r="G394" s="5" t="s">
        <v>43</v>
      </c>
      <c r="H394" s="5" t="s">
        <v>2566</v>
      </c>
      <c r="I394" s="5">
        <v>202501772</v>
      </c>
      <c r="J394" s="5"/>
      <c r="K394" s="6">
        <v>45958</v>
      </c>
      <c r="L394" s="6">
        <v>45962</v>
      </c>
      <c r="M394" s="42" t="s">
        <v>53</v>
      </c>
      <c r="N394" s="42" t="s">
        <v>54</v>
      </c>
      <c r="O394" s="42" t="s">
        <v>41</v>
      </c>
      <c r="P394" s="30">
        <f t="shared" si="19"/>
        <v>4</v>
      </c>
      <c r="Q394" s="41">
        <v>4412.0779220779223</v>
      </c>
      <c r="R394" s="41">
        <v>14500</v>
      </c>
      <c r="S394" s="41">
        <f t="shared" si="20"/>
        <v>10087.922077922078</v>
      </c>
    </row>
    <row r="395" spans="1:19">
      <c r="A395" s="5">
        <v>394</v>
      </c>
      <c r="B395" s="5">
        <v>2510281593</v>
      </c>
      <c r="C395" s="5" t="s">
        <v>2578</v>
      </c>
      <c r="D395" s="5" t="s">
        <v>631</v>
      </c>
      <c r="E395" s="5" t="s">
        <v>664</v>
      </c>
      <c r="F395" s="5" t="s">
        <v>87</v>
      </c>
      <c r="G395" s="5" t="s">
        <v>52</v>
      </c>
      <c r="H395" s="5" t="s">
        <v>2566</v>
      </c>
      <c r="I395" s="5">
        <v>202501773</v>
      </c>
      <c r="J395" s="5"/>
      <c r="K395" s="6">
        <v>45958</v>
      </c>
      <c r="L395" s="6">
        <v>45962</v>
      </c>
      <c r="M395" s="42" t="s">
        <v>53</v>
      </c>
      <c r="N395" s="42" t="s">
        <v>54</v>
      </c>
      <c r="O395" s="42" t="s">
        <v>41</v>
      </c>
      <c r="P395" s="30">
        <f t="shared" si="19"/>
        <v>4</v>
      </c>
      <c r="Q395" s="41">
        <v>4412.0779220779223</v>
      </c>
      <c r="R395" s="41">
        <v>8000</v>
      </c>
      <c r="S395" s="41">
        <f t="shared" si="20"/>
        <v>3587.9220779220777</v>
      </c>
    </row>
    <row r="396" spans="1:19">
      <c r="A396" s="5">
        <v>395</v>
      </c>
      <c r="B396" s="5">
        <v>2510283121</v>
      </c>
      <c r="C396" s="5" t="s">
        <v>2579</v>
      </c>
      <c r="D396" s="5" t="s">
        <v>564</v>
      </c>
      <c r="E396" s="5" t="s">
        <v>2390</v>
      </c>
      <c r="F396" s="5" t="s">
        <v>71</v>
      </c>
      <c r="G396" s="5" t="s">
        <v>75</v>
      </c>
      <c r="H396" s="5" t="s">
        <v>2566</v>
      </c>
      <c r="I396" s="5">
        <v>202501774</v>
      </c>
      <c r="J396" s="5"/>
      <c r="K396" s="6">
        <v>45958</v>
      </c>
      <c r="L396" s="6">
        <v>45962</v>
      </c>
      <c r="M396" s="42" t="s">
        <v>53</v>
      </c>
      <c r="N396" s="42" t="s">
        <v>54</v>
      </c>
      <c r="O396" s="42" t="s">
        <v>41</v>
      </c>
      <c r="P396" s="30">
        <f t="shared" si="19"/>
        <v>4</v>
      </c>
      <c r="Q396" s="41">
        <v>4412.0779220779223</v>
      </c>
      <c r="R396" s="41">
        <v>6500</v>
      </c>
      <c r="S396" s="41">
        <f t="shared" si="20"/>
        <v>2087.9220779220777</v>
      </c>
    </row>
    <row r="397" spans="1:19">
      <c r="A397" s="5">
        <v>396</v>
      </c>
      <c r="B397" s="5">
        <v>2510283130</v>
      </c>
      <c r="C397" s="5" t="s">
        <v>2580</v>
      </c>
      <c r="D397" s="5" t="s">
        <v>810</v>
      </c>
      <c r="E397" s="5" t="s">
        <v>1595</v>
      </c>
      <c r="F397" s="5" t="s">
        <v>457</v>
      </c>
      <c r="G397" s="5" t="s">
        <v>52</v>
      </c>
      <c r="H397" s="5" t="s">
        <v>2566</v>
      </c>
      <c r="I397" s="5">
        <v>202501775</v>
      </c>
      <c r="J397" s="5"/>
      <c r="K397" s="6">
        <v>45958</v>
      </c>
      <c r="L397" s="6">
        <v>45962</v>
      </c>
      <c r="M397" s="42" t="s">
        <v>53</v>
      </c>
      <c r="N397" s="42" t="s">
        <v>54</v>
      </c>
      <c r="O397" s="42" t="s">
        <v>41</v>
      </c>
      <c r="P397" s="30">
        <f t="shared" si="19"/>
        <v>4</v>
      </c>
      <c r="Q397" s="41">
        <v>4412.0779220779223</v>
      </c>
      <c r="R397" s="41">
        <v>5200</v>
      </c>
      <c r="S397" s="41">
        <f t="shared" si="20"/>
        <v>787.92207792207773</v>
      </c>
    </row>
    <row r="398" spans="1:19">
      <c r="A398" s="5">
        <v>397</v>
      </c>
      <c r="B398" s="5">
        <v>2510283133</v>
      </c>
      <c r="C398" s="5" t="s">
        <v>2581</v>
      </c>
      <c r="D398" s="5" t="s">
        <v>77</v>
      </c>
      <c r="E398" s="5" t="s">
        <v>1874</v>
      </c>
      <c r="F398" s="5" t="s">
        <v>79</v>
      </c>
      <c r="G398" s="5" t="s">
        <v>43</v>
      </c>
      <c r="H398" s="5" t="s">
        <v>2566</v>
      </c>
      <c r="I398" s="5">
        <v>202501776</v>
      </c>
      <c r="J398" s="5"/>
      <c r="K398" s="6">
        <v>45958</v>
      </c>
      <c r="L398" s="6">
        <v>45962</v>
      </c>
      <c r="M398" s="42" t="s">
        <v>53</v>
      </c>
      <c r="N398" s="42" t="s">
        <v>54</v>
      </c>
      <c r="O398" s="42" t="s">
        <v>41</v>
      </c>
      <c r="P398" s="30">
        <f t="shared" si="19"/>
        <v>4</v>
      </c>
      <c r="Q398" s="41">
        <v>4412.0779220779223</v>
      </c>
      <c r="R398" s="41">
        <v>8500</v>
      </c>
      <c r="S398" s="41">
        <f t="shared" si="20"/>
        <v>4087.9220779220777</v>
      </c>
    </row>
    <row r="399" spans="1:19">
      <c r="A399" s="5">
        <v>398</v>
      </c>
      <c r="B399" s="5">
        <v>2510281593</v>
      </c>
      <c r="C399" s="5" t="s">
        <v>2582</v>
      </c>
      <c r="D399" s="5" t="s">
        <v>40</v>
      </c>
      <c r="E399" s="5" t="s">
        <v>41</v>
      </c>
      <c r="F399" s="5" t="s">
        <v>42</v>
      </c>
      <c r="G399" s="5" t="s">
        <v>43</v>
      </c>
      <c r="H399" s="5" t="s">
        <v>2566</v>
      </c>
      <c r="I399" s="5">
        <v>202501777</v>
      </c>
      <c r="J399" s="5"/>
      <c r="K399" s="6">
        <v>45958</v>
      </c>
      <c r="L399" s="6">
        <v>45962</v>
      </c>
      <c r="M399" s="42" t="s">
        <v>53</v>
      </c>
      <c r="N399" s="42" t="s">
        <v>54</v>
      </c>
      <c r="O399" s="42" t="s">
        <v>41</v>
      </c>
      <c r="P399" s="30">
        <f t="shared" si="19"/>
        <v>4</v>
      </c>
      <c r="Q399" s="41">
        <v>4412.0779220779223</v>
      </c>
      <c r="R399" s="41">
        <v>14500</v>
      </c>
      <c r="S399" s="41">
        <f t="shared" si="20"/>
        <v>10087.922077922078</v>
      </c>
    </row>
    <row r="400" spans="1:19">
      <c r="A400" s="5">
        <v>399</v>
      </c>
      <c r="B400" s="5">
        <v>2510283136</v>
      </c>
      <c r="C400" s="5" t="s">
        <v>2583</v>
      </c>
      <c r="D400" s="5" t="s">
        <v>393</v>
      </c>
      <c r="E400" s="5" t="s">
        <v>2584</v>
      </c>
      <c r="F400" s="5" t="s">
        <v>202</v>
      </c>
      <c r="G400" s="5" t="s">
        <v>43</v>
      </c>
      <c r="H400" s="5" t="s">
        <v>2566</v>
      </c>
      <c r="I400" s="5">
        <v>202501778</v>
      </c>
      <c r="J400" s="5"/>
      <c r="K400" s="6">
        <v>45958</v>
      </c>
      <c r="L400" s="6">
        <v>45962</v>
      </c>
      <c r="M400" s="42" t="s">
        <v>53</v>
      </c>
      <c r="N400" s="42" t="s">
        <v>54</v>
      </c>
      <c r="O400" s="42" t="s">
        <v>41</v>
      </c>
      <c r="P400" s="30">
        <f t="shared" si="19"/>
        <v>4</v>
      </c>
      <c r="Q400" s="41">
        <v>4412.0779220779223</v>
      </c>
      <c r="R400" s="41">
        <v>13500</v>
      </c>
      <c r="S400" s="41">
        <f t="shared" si="20"/>
        <v>9087.9220779220777</v>
      </c>
    </row>
    <row r="401" spans="1:19">
      <c r="A401" s="5">
        <v>400</v>
      </c>
      <c r="B401" s="5">
        <v>2510283139</v>
      </c>
      <c r="C401" s="5" t="s">
        <v>2585</v>
      </c>
      <c r="D401" s="5" t="s">
        <v>564</v>
      </c>
      <c r="E401" s="5" t="s">
        <v>1485</v>
      </c>
      <c r="F401" s="5" t="s">
        <v>71</v>
      </c>
      <c r="G401" s="5" t="s">
        <v>75</v>
      </c>
      <c r="H401" s="5" t="s">
        <v>2566</v>
      </c>
      <c r="I401" s="5">
        <v>202501779</v>
      </c>
      <c r="J401" s="5"/>
      <c r="K401" s="6">
        <v>45958</v>
      </c>
      <c r="L401" s="6">
        <v>45962</v>
      </c>
      <c r="M401" s="42" t="s">
        <v>53</v>
      </c>
      <c r="N401" s="42" t="s">
        <v>54</v>
      </c>
      <c r="O401" s="42" t="s">
        <v>41</v>
      </c>
      <c r="P401" s="30">
        <f t="shared" si="19"/>
        <v>4</v>
      </c>
      <c r="Q401" s="41">
        <v>4412.0779220779223</v>
      </c>
      <c r="R401" s="41">
        <v>6500</v>
      </c>
      <c r="S401" s="41">
        <f t="shared" si="20"/>
        <v>2087.9220779220777</v>
      </c>
    </row>
    <row r="402" spans="1:19">
      <c r="A402" s="5">
        <v>401</v>
      </c>
      <c r="B402" s="5">
        <v>2510283143</v>
      </c>
      <c r="C402" s="5" t="s">
        <v>2586</v>
      </c>
      <c r="D402" s="5" t="s">
        <v>309</v>
      </c>
      <c r="E402" s="5" t="s">
        <v>310</v>
      </c>
      <c r="F402" s="5" t="s">
        <v>51</v>
      </c>
      <c r="G402" s="5" t="s">
        <v>52</v>
      </c>
      <c r="H402" s="5" t="s">
        <v>2566</v>
      </c>
      <c r="I402" s="5">
        <v>202501780</v>
      </c>
      <c r="J402" s="5"/>
      <c r="K402" s="6">
        <v>45958</v>
      </c>
      <c r="L402" s="6">
        <v>45962</v>
      </c>
      <c r="M402" s="42" t="s">
        <v>53</v>
      </c>
      <c r="N402" s="42" t="s">
        <v>54</v>
      </c>
      <c r="O402" s="42" t="s">
        <v>41</v>
      </c>
      <c r="P402" s="30">
        <f t="shared" si="19"/>
        <v>4</v>
      </c>
      <c r="Q402" s="41">
        <v>4412.0779220779223</v>
      </c>
      <c r="R402" s="41">
        <v>5500</v>
      </c>
      <c r="S402" s="41">
        <f t="shared" si="20"/>
        <v>1087.9220779220777</v>
      </c>
    </row>
    <row r="403" spans="1:19">
      <c r="A403" s="5">
        <v>402</v>
      </c>
      <c r="B403" s="5">
        <v>2510283147</v>
      </c>
      <c r="C403" s="5" t="s">
        <v>2587</v>
      </c>
      <c r="D403" s="5" t="s">
        <v>60</v>
      </c>
      <c r="E403" s="5" t="s">
        <v>1896</v>
      </c>
      <c r="F403" s="5" t="s">
        <v>62</v>
      </c>
      <c r="G403" s="5" t="s">
        <v>43</v>
      </c>
      <c r="H403" s="5" t="s">
        <v>2566</v>
      </c>
      <c r="I403" s="5">
        <v>202501781</v>
      </c>
      <c r="J403" s="5"/>
      <c r="K403" s="6">
        <v>45958</v>
      </c>
      <c r="L403" s="6">
        <v>45962</v>
      </c>
      <c r="M403" s="42" t="s">
        <v>53</v>
      </c>
      <c r="N403" s="42" t="s">
        <v>54</v>
      </c>
      <c r="O403" s="42" t="s">
        <v>41</v>
      </c>
      <c r="P403" s="30">
        <f t="shared" si="19"/>
        <v>4</v>
      </c>
      <c r="Q403" s="41">
        <v>4412.0779220779223</v>
      </c>
      <c r="R403" s="41">
        <v>9000</v>
      </c>
      <c r="S403" s="41">
        <f t="shared" si="20"/>
        <v>4587.9220779220777</v>
      </c>
    </row>
    <row r="404" spans="1:19">
      <c r="A404" s="5">
        <v>403</v>
      </c>
      <c r="B404" s="5" t="s">
        <v>1239</v>
      </c>
      <c r="C404" s="5"/>
      <c r="D404" s="5"/>
      <c r="E404" s="5"/>
      <c r="F404" s="5"/>
      <c r="G404" s="5" t="s">
        <v>52</v>
      </c>
      <c r="H404" s="5"/>
      <c r="I404" s="5"/>
      <c r="J404" s="5"/>
      <c r="K404" s="5"/>
      <c r="L404" s="5"/>
      <c r="M404" s="5"/>
      <c r="N404" s="5"/>
      <c r="O404" s="5"/>
      <c r="P404" s="5"/>
      <c r="Q404" s="41">
        <v>4412.0779220779223</v>
      </c>
      <c r="R404" s="41">
        <v>0</v>
      </c>
      <c r="S404" s="41">
        <f t="shared" si="20"/>
        <v>-4412.0779220779223</v>
      </c>
    </row>
    <row r="405" spans="1:19">
      <c r="A405" s="5">
        <v>404</v>
      </c>
      <c r="B405" s="5" t="s">
        <v>1240</v>
      </c>
      <c r="C405" s="5"/>
      <c r="D405" s="5"/>
      <c r="E405" s="5"/>
      <c r="F405" s="5"/>
      <c r="G405" s="5" t="s">
        <v>52</v>
      </c>
      <c r="H405" s="5"/>
      <c r="I405" s="5"/>
      <c r="J405" s="5"/>
      <c r="K405" s="5"/>
      <c r="L405" s="5"/>
      <c r="M405" s="5"/>
      <c r="N405" s="5"/>
      <c r="O405" s="5"/>
      <c r="P405" s="5"/>
      <c r="Q405" s="41">
        <v>4412.0779220779223</v>
      </c>
      <c r="R405" s="41">
        <v>0</v>
      </c>
      <c r="S405" s="41">
        <f t="shared" si="20"/>
        <v>-4412.0779220779223</v>
      </c>
    </row>
    <row r="408" spans="1:19">
      <c r="C408" s="5" t="s">
        <v>19</v>
      </c>
      <c r="D408" s="37">
        <f>AVERAGE(P:P)</f>
        <v>4.4601063829787231</v>
      </c>
    </row>
    <row r="409" spans="1:19">
      <c r="C409" s="5" t="s">
        <v>12</v>
      </c>
      <c r="D409" s="5">
        <f>COUNTIF(N:N,"Repeat")</f>
        <v>16</v>
      </c>
      <c r="E409" s="38">
        <f>D409/414</f>
        <v>3.864734299516908E-2</v>
      </c>
    </row>
    <row r="410" spans="1:19">
      <c r="C410" s="5" t="s">
        <v>13</v>
      </c>
      <c r="D410" s="5">
        <f>COUNTIF(N:N,"Resampling")</f>
        <v>19</v>
      </c>
      <c r="E410" s="38">
        <f>D410/414</f>
        <v>4.5893719806763288E-2</v>
      </c>
    </row>
    <row r="411" spans="1:19">
      <c r="C411" s="5" t="s">
        <v>15</v>
      </c>
      <c r="D411" s="5">
        <f>COUNTIF(N:N,"Refund")</f>
        <v>3</v>
      </c>
      <c r="E411" s="38">
        <f>D411/414</f>
        <v>7.246376811594203E-3</v>
      </c>
    </row>
    <row r="412" spans="1:19">
      <c r="C412" s="5" t="s">
        <v>14</v>
      </c>
      <c r="D412" s="5">
        <f>COUNTIF(N:N,"High risk")</f>
        <v>3</v>
      </c>
      <c r="E412" s="38">
        <f>D412/414</f>
        <v>7.246376811594203E-3</v>
      </c>
    </row>
    <row r="413" spans="1:19">
      <c r="C413" s="5" t="s">
        <v>11</v>
      </c>
      <c r="D413" s="8">
        <f>SUM(Q:Q)</f>
        <v>1342250.9090909052</v>
      </c>
    </row>
    <row r="414" spans="1:19">
      <c r="C414" s="5" t="s">
        <v>10</v>
      </c>
      <c r="D414" s="8">
        <f>AVERAGE(Q:Q)</f>
        <v>3322.4032403240226</v>
      </c>
    </row>
    <row r="415" spans="1:19">
      <c r="C415" s="5" t="s">
        <v>16</v>
      </c>
      <c r="D415" s="8">
        <f>SUM(R:R)</f>
        <v>2368200</v>
      </c>
    </row>
    <row r="416" spans="1:19">
      <c r="C416" s="5" t="s">
        <v>17</v>
      </c>
      <c r="D416" s="8">
        <f>D415-D413</f>
        <v>1025949.0909090948</v>
      </c>
    </row>
  </sheetData>
  <dataValidations count="1">
    <dataValidation type="list" allowBlank="1" showInputMessage="1" showErrorMessage="1" sqref="G1:G28 G31:G59 G62:G90 G93:G121 G124:G152 G155:G177 G180:G207 G210:G233 G236:G264 G267:G295 G298:G323 G326:G351 G354:G382 G385:G403" xr:uid="{0D8CCE7D-9456-B444-919B-0FEA1C972E51}">
      <formula1>"Basic,Standard,Advanced,Twin"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2FEF-3489-9647-9F75-51CD0B14F6EF}">
  <dimension ref="A1:S413"/>
  <sheetViews>
    <sheetView topLeftCell="A375" workbookViewId="0">
      <selection activeCell="D411" sqref="D411"/>
    </sheetView>
  </sheetViews>
  <sheetFormatPr baseColWidth="10" defaultRowHeight="16"/>
  <cols>
    <col min="1" max="1" width="4" bestFit="1" customWidth="1"/>
    <col min="2" max="2" width="12.5" bestFit="1" customWidth="1"/>
    <col min="3" max="3" width="32" bestFit="1" customWidth="1"/>
    <col min="4" max="4" width="43.1640625" bestFit="1" customWidth="1"/>
    <col min="5" max="5" width="27" bestFit="1" customWidth="1"/>
    <col min="6" max="6" width="14.6640625" bestFit="1" customWidth="1"/>
    <col min="7" max="7" width="12" bestFit="1" customWidth="1"/>
    <col min="8" max="8" width="15.1640625" bestFit="1" customWidth="1"/>
    <col min="9" max="9" width="16" bestFit="1" customWidth="1"/>
    <col min="10" max="12" width="13.33203125" customWidth="1"/>
    <col min="13" max="13" width="12.5" customWidth="1"/>
    <col min="14" max="14" width="13.6640625" bestFit="1" customWidth="1"/>
    <col min="15" max="15" width="18" customWidth="1"/>
    <col min="16" max="16" width="9.83203125" bestFit="1" customWidth="1"/>
    <col min="17" max="17" width="13" bestFit="1" customWidth="1"/>
    <col min="18" max="18" width="14.1640625" bestFit="1" customWidth="1"/>
    <col min="19" max="19" width="12.6640625" bestFit="1" customWidth="1"/>
  </cols>
  <sheetData>
    <row r="1" spans="1:19">
      <c r="A1" s="3" t="s">
        <v>20</v>
      </c>
      <c r="B1" s="3" t="s">
        <v>21</v>
      </c>
      <c r="C1" s="3" t="s">
        <v>22</v>
      </c>
      <c r="D1" s="3" t="s">
        <v>23</v>
      </c>
      <c r="E1" s="3" t="s">
        <v>24</v>
      </c>
      <c r="F1" s="3" t="s">
        <v>25</v>
      </c>
      <c r="G1" s="3" t="s">
        <v>26</v>
      </c>
      <c r="H1" s="3" t="s">
        <v>27</v>
      </c>
      <c r="I1" s="3" t="s">
        <v>28</v>
      </c>
      <c r="J1" s="3" t="s">
        <v>29</v>
      </c>
      <c r="K1" s="3" t="s">
        <v>30</v>
      </c>
      <c r="L1" s="3" t="s">
        <v>31</v>
      </c>
      <c r="M1" s="3" t="s">
        <v>32</v>
      </c>
      <c r="N1" s="3" t="s">
        <v>33</v>
      </c>
      <c r="O1" s="3" t="s">
        <v>34</v>
      </c>
      <c r="P1" s="3" t="s">
        <v>35</v>
      </c>
      <c r="Q1" s="4" t="s">
        <v>36</v>
      </c>
      <c r="R1" s="4" t="s">
        <v>37</v>
      </c>
      <c r="S1" s="3" t="s">
        <v>38</v>
      </c>
    </row>
    <row r="2" spans="1:19">
      <c r="A2" s="5">
        <v>1</v>
      </c>
      <c r="B2" s="22">
        <v>2510172858</v>
      </c>
      <c r="C2" s="22" t="s">
        <v>2436</v>
      </c>
      <c r="D2" s="22" t="s">
        <v>69</v>
      </c>
      <c r="E2" s="22" t="s">
        <v>2437</v>
      </c>
      <c r="F2" s="22" t="s">
        <v>71</v>
      </c>
      <c r="G2" s="22" t="s">
        <v>43</v>
      </c>
      <c r="H2" s="22" t="s">
        <v>2588</v>
      </c>
      <c r="I2" s="22" t="s">
        <v>2589</v>
      </c>
      <c r="J2" s="22"/>
      <c r="K2" s="23">
        <v>45962</v>
      </c>
      <c r="L2" s="23">
        <v>45965</v>
      </c>
      <c r="M2" s="50" t="s">
        <v>53</v>
      </c>
      <c r="N2" s="50" t="s">
        <v>54</v>
      </c>
      <c r="O2" s="50" t="s">
        <v>41</v>
      </c>
      <c r="P2" s="34">
        <f t="shared" ref="P2:P31" si="0">L2-K2</f>
        <v>3</v>
      </c>
      <c r="Q2" s="24">
        <v>3036.3636363636365</v>
      </c>
      <c r="R2" s="24">
        <v>0</v>
      </c>
      <c r="S2" s="24">
        <f t="shared" ref="S2:S65" si="1">R2-Q2</f>
        <v>-3036.3636363636365</v>
      </c>
    </row>
    <row r="3" spans="1:19">
      <c r="A3" s="5">
        <v>2</v>
      </c>
      <c r="B3" s="5">
        <v>2510283154</v>
      </c>
      <c r="C3" s="5" t="s">
        <v>2590</v>
      </c>
      <c r="D3" s="5" t="s">
        <v>444</v>
      </c>
      <c r="E3" s="5" t="s">
        <v>1835</v>
      </c>
      <c r="F3" s="5" t="s">
        <v>109</v>
      </c>
      <c r="G3" s="5" t="s">
        <v>52</v>
      </c>
      <c r="H3" s="5" t="s">
        <v>2588</v>
      </c>
      <c r="I3" s="5">
        <v>202501782</v>
      </c>
      <c r="J3" s="5"/>
      <c r="K3" s="6">
        <v>45958</v>
      </c>
      <c r="L3" s="6">
        <v>45965</v>
      </c>
      <c r="M3" s="42" t="s">
        <v>53</v>
      </c>
      <c r="N3" s="42" t="s">
        <v>54</v>
      </c>
      <c r="O3" s="42" t="s">
        <v>41</v>
      </c>
      <c r="P3" s="30">
        <f t="shared" si="0"/>
        <v>7</v>
      </c>
      <c r="Q3" s="41">
        <v>3036.3636363636365</v>
      </c>
      <c r="R3" s="41">
        <v>5950</v>
      </c>
      <c r="S3" s="41">
        <f t="shared" si="1"/>
        <v>2913.6363636363635</v>
      </c>
    </row>
    <row r="4" spans="1:19">
      <c r="A4" s="5">
        <v>3</v>
      </c>
      <c r="B4" s="5">
        <v>2510283158</v>
      </c>
      <c r="C4" s="5" t="s">
        <v>2591</v>
      </c>
      <c r="D4" s="5" t="s">
        <v>86</v>
      </c>
      <c r="E4" s="5" t="s">
        <v>270</v>
      </c>
      <c r="F4" s="5" t="s">
        <v>87</v>
      </c>
      <c r="G4" s="5" t="s">
        <v>52</v>
      </c>
      <c r="H4" s="5" t="s">
        <v>2588</v>
      </c>
      <c r="I4" s="5">
        <v>202501783</v>
      </c>
      <c r="J4" s="5"/>
      <c r="K4" s="6">
        <v>45958</v>
      </c>
      <c r="L4" s="6">
        <v>45965</v>
      </c>
      <c r="M4" s="42" t="s">
        <v>53</v>
      </c>
      <c r="N4" s="42" t="s">
        <v>54</v>
      </c>
      <c r="O4" s="42" t="s">
        <v>41</v>
      </c>
      <c r="P4" s="30">
        <f t="shared" si="0"/>
        <v>7</v>
      </c>
      <c r="Q4" s="41">
        <v>3036.3636363636365</v>
      </c>
      <c r="R4" s="41">
        <v>6000</v>
      </c>
      <c r="S4" s="41">
        <f t="shared" si="1"/>
        <v>2963.6363636363635</v>
      </c>
    </row>
    <row r="5" spans="1:19">
      <c r="A5" s="5">
        <v>4</v>
      </c>
      <c r="B5" s="5">
        <v>2510292900</v>
      </c>
      <c r="C5" s="5" t="s">
        <v>2592</v>
      </c>
      <c r="D5" s="5" t="s">
        <v>2194</v>
      </c>
      <c r="E5" s="5" t="s">
        <v>2195</v>
      </c>
      <c r="F5" s="5" t="s">
        <v>66</v>
      </c>
      <c r="G5" s="5" t="s">
        <v>75</v>
      </c>
      <c r="H5" s="5" t="s">
        <v>2588</v>
      </c>
      <c r="I5" s="5">
        <v>202501784</v>
      </c>
      <c r="J5" s="5"/>
      <c r="K5" s="6">
        <v>45959</v>
      </c>
      <c r="L5" s="6">
        <v>45965</v>
      </c>
      <c r="M5" s="42" t="s">
        <v>53</v>
      </c>
      <c r="N5" s="42" t="s">
        <v>54</v>
      </c>
      <c r="O5" s="42" t="s">
        <v>41</v>
      </c>
      <c r="P5" s="30">
        <f t="shared" si="0"/>
        <v>6</v>
      </c>
      <c r="Q5" s="41">
        <v>3036.3636363636365</v>
      </c>
      <c r="R5" s="61">
        <v>2500</v>
      </c>
      <c r="S5" s="41">
        <f t="shared" si="1"/>
        <v>-536.36363636363649</v>
      </c>
    </row>
    <row r="6" spans="1:19">
      <c r="A6" s="5">
        <v>5</v>
      </c>
      <c r="B6" s="5">
        <v>2510292906</v>
      </c>
      <c r="C6" s="5" t="s">
        <v>2593</v>
      </c>
      <c r="D6" s="5" t="s">
        <v>2194</v>
      </c>
      <c r="E6" s="5" t="s">
        <v>2195</v>
      </c>
      <c r="F6" s="5" t="s">
        <v>66</v>
      </c>
      <c r="G6" s="5" t="s">
        <v>75</v>
      </c>
      <c r="H6" s="5" t="s">
        <v>2588</v>
      </c>
      <c r="I6" s="5">
        <v>202501785</v>
      </c>
      <c r="J6" s="5"/>
      <c r="K6" s="6">
        <v>45959</v>
      </c>
      <c r="L6" s="6">
        <v>45965</v>
      </c>
      <c r="M6" s="42" t="s">
        <v>53</v>
      </c>
      <c r="N6" s="42" t="s">
        <v>54</v>
      </c>
      <c r="O6" s="42" t="s">
        <v>41</v>
      </c>
      <c r="P6" s="30">
        <f t="shared" si="0"/>
        <v>6</v>
      </c>
      <c r="Q6" s="41">
        <v>3036.3636363636365</v>
      </c>
      <c r="R6" s="61">
        <v>2500</v>
      </c>
      <c r="S6" s="41">
        <f t="shared" si="1"/>
        <v>-536.36363636363649</v>
      </c>
    </row>
    <row r="7" spans="1:19">
      <c r="A7" s="5">
        <v>6</v>
      </c>
      <c r="B7" s="5">
        <v>2510261236</v>
      </c>
      <c r="C7" s="5" t="s">
        <v>2594</v>
      </c>
      <c r="D7" s="5" t="s">
        <v>748</v>
      </c>
      <c r="E7" s="5" t="s">
        <v>947</v>
      </c>
      <c r="F7" s="5" t="s">
        <v>51</v>
      </c>
      <c r="G7" s="5" t="s">
        <v>52</v>
      </c>
      <c r="H7" s="5" t="s">
        <v>2588</v>
      </c>
      <c r="I7" s="5">
        <v>202501786</v>
      </c>
      <c r="J7" s="5"/>
      <c r="K7" s="6">
        <v>45959</v>
      </c>
      <c r="L7" s="6">
        <v>45965</v>
      </c>
      <c r="M7" s="42" t="s">
        <v>53</v>
      </c>
      <c r="N7" s="42" t="s">
        <v>54</v>
      </c>
      <c r="O7" s="42" t="s">
        <v>41</v>
      </c>
      <c r="P7" s="30">
        <f t="shared" si="0"/>
        <v>6</v>
      </c>
      <c r="Q7" s="41">
        <v>3036.3636363636365</v>
      </c>
      <c r="R7" s="41">
        <v>6000</v>
      </c>
      <c r="S7" s="41">
        <f t="shared" si="1"/>
        <v>2963.6363636363635</v>
      </c>
    </row>
    <row r="8" spans="1:19">
      <c r="A8" s="5">
        <v>7</v>
      </c>
      <c r="B8" s="5">
        <v>2510292917</v>
      </c>
      <c r="C8" s="5" t="s">
        <v>2595</v>
      </c>
      <c r="D8" s="5" t="s">
        <v>2430</v>
      </c>
      <c r="E8" s="5" t="s">
        <v>2431</v>
      </c>
      <c r="F8" s="5" t="s">
        <v>66</v>
      </c>
      <c r="G8" s="5" t="s">
        <v>52</v>
      </c>
      <c r="H8" s="5" t="s">
        <v>2588</v>
      </c>
      <c r="I8" s="5">
        <v>202501787</v>
      </c>
      <c r="J8" s="5"/>
      <c r="K8" s="6">
        <v>45959</v>
      </c>
      <c r="L8" s="6">
        <v>45965</v>
      </c>
      <c r="M8" s="42" t="s">
        <v>53</v>
      </c>
      <c r="N8" s="42" t="s">
        <v>54</v>
      </c>
      <c r="O8" s="42" t="s">
        <v>41</v>
      </c>
      <c r="P8" s="30">
        <f t="shared" si="0"/>
        <v>6</v>
      </c>
      <c r="Q8" s="41">
        <v>3036.3636363636365</v>
      </c>
      <c r="R8" s="41">
        <v>5500</v>
      </c>
      <c r="S8" s="41">
        <f t="shared" si="1"/>
        <v>2463.6363636363635</v>
      </c>
    </row>
    <row r="9" spans="1:19">
      <c r="A9" s="5">
        <v>8</v>
      </c>
      <c r="B9" s="13">
        <v>2510292911</v>
      </c>
      <c r="C9" s="13" t="s">
        <v>2596</v>
      </c>
      <c r="D9" s="13" t="s">
        <v>810</v>
      </c>
      <c r="E9" s="13" t="s">
        <v>853</v>
      </c>
      <c r="F9" s="13" t="s">
        <v>457</v>
      </c>
      <c r="G9" s="13" t="s">
        <v>43</v>
      </c>
      <c r="H9" s="13" t="s">
        <v>2588</v>
      </c>
      <c r="I9" s="13">
        <v>202501788</v>
      </c>
      <c r="J9" s="13"/>
      <c r="K9" s="14">
        <v>45959</v>
      </c>
      <c r="L9" s="14">
        <v>45965</v>
      </c>
      <c r="M9" s="118" t="s">
        <v>53</v>
      </c>
      <c r="N9" s="118" t="s">
        <v>46</v>
      </c>
      <c r="O9" s="13" t="s">
        <v>2597</v>
      </c>
      <c r="P9" s="35">
        <f t="shared" si="0"/>
        <v>6</v>
      </c>
      <c r="Q9" s="15">
        <v>3036.3636363636365</v>
      </c>
      <c r="R9" s="15">
        <v>12500</v>
      </c>
      <c r="S9" s="15">
        <f t="shared" si="1"/>
        <v>9463.636363636364</v>
      </c>
    </row>
    <row r="10" spans="1:19">
      <c r="A10" s="5">
        <v>9</v>
      </c>
      <c r="B10" s="5">
        <v>2510292914</v>
      </c>
      <c r="C10" s="5" t="s">
        <v>2598</v>
      </c>
      <c r="D10" s="5" t="s">
        <v>2211</v>
      </c>
      <c r="E10" s="5" t="s">
        <v>978</v>
      </c>
      <c r="F10" s="5" t="s">
        <v>51</v>
      </c>
      <c r="G10" s="5" t="s">
        <v>43</v>
      </c>
      <c r="H10" s="5" t="s">
        <v>2588</v>
      </c>
      <c r="I10" s="5">
        <v>202501789</v>
      </c>
      <c r="J10" s="5"/>
      <c r="K10" s="6">
        <v>45959</v>
      </c>
      <c r="L10" s="6">
        <v>45965</v>
      </c>
      <c r="M10" s="42" t="s">
        <v>53</v>
      </c>
      <c r="N10" s="42" t="s">
        <v>54</v>
      </c>
      <c r="O10" s="42" t="s">
        <v>41</v>
      </c>
      <c r="P10" s="30">
        <f t="shared" si="0"/>
        <v>6</v>
      </c>
      <c r="Q10" s="41">
        <v>3036.3636363636365</v>
      </c>
      <c r="R10" s="41">
        <v>11000</v>
      </c>
      <c r="S10" s="41">
        <f t="shared" si="1"/>
        <v>7963.636363636364</v>
      </c>
    </row>
    <row r="11" spans="1:19">
      <c r="A11" s="5">
        <v>10</v>
      </c>
      <c r="B11" s="5">
        <v>2510292922</v>
      </c>
      <c r="C11" s="5" t="s">
        <v>2599</v>
      </c>
      <c r="D11" s="5" t="s">
        <v>528</v>
      </c>
      <c r="E11" s="5" t="s">
        <v>2161</v>
      </c>
      <c r="F11" s="5" t="s">
        <v>202</v>
      </c>
      <c r="G11" s="5" t="s">
        <v>52</v>
      </c>
      <c r="H11" s="5" t="s">
        <v>2588</v>
      </c>
      <c r="I11" s="5">
        <v>202501790</v>
      </c>
      <c r="J11" s="5"/>
      <c r="K11" s="6">
        <v>45959</v>
      </c>
      <c r="L11" s="6">
        <v>45965</v>
      </c>
      <c r="M11" s="42" t="s">
        <v>53</v>
      </c>
      <c r="N11" s="42" t="s">
        <v>54</v>
      </c>
      <c r="O11" s="42" t="s">
        <v>41</v>
      </c>
      <c r="P11" s="30">
        <f t="shared" si="0"/>
        <v>6</v>
      </c>
      <c r="Q11" s="41">
        <v>3036.3636363636365</v>
      </c>
      <c r="R11" s="41">
        <v>7500</v>
      </c>
      <c r="S11" s="41">
        <f t="shared" si="1"/>
        <v>4463.636363636364</v>
      </c>
    </row>
    <row r="12" spans="1:19">
      <c r="A12" s="5">
        <v>11</v>
      </c>
      <c r="B12" s="5">
        <v>2510292928</v>
      </c>
      <c r="C12" s="5" t="s">
        <v>2600</v>
      </c>
      <c r="D12" s="5" t="s">
        <v>405</v>
      </c>
      <c r="E12" s="5" t="s">
        <v>2238</v>
      </c>
      <c r="F12" s="5" t="s">
        <v>202</v>
      </c>
      <c r="G12" s="5" t="s">
        <v>52</v>
      </c>
      <c r="H12" s="5" t="s">
        <v>2588</v>
      </c>
      <c r="I12" s="5">
        <v>202501791</v>
      </c>
      <c r="J12" s="5"/>
      <c r="K12" s="6">
        <v>45959</v>
      </c>
      <c r="L12" s="6">
        <v>45965</v>
      </c>
      <c r="M12" s="42" t="s">
        <v>53</v>
      </c>
      <c r="N12" s="42" t="s">
        <v>54</v>
      </c>
      <c r="O12" s="42" t="s">
        <v>41</v>
      </c>
      <c r="P12" s="30">
        <f t="shared" si="0"/>
        <v>6</v>
      </c>
      <c r="Q12" s="41">
        <v>3036.3636363636365</v>
      </c>
      <c r="R12" s="41">
        <v>6450</v>
      </c>
      <c r="S12" s="41">
        <f t="shared" si="1"/>
        <v>3413.6363636363635</v>
      </c>
    </row>
    <row r="13" spans="1:19">
      <c r="A13" s="5">
        <v>12</v>
      </c>
      <c r="B13" s="5">
        <v>2510303111</v>
      </c>
      <c r="C13" s="5" t="s">
        <v>2601</v>
      </c>
      <c r="D13" s="5" t="s">
        <v>1475</v>
      </c>
      <c r="E13" s="5" t="s">
        <v>1476</v>
      </c>
      <c r="F13" s="5" t="s">
        <v>362</v>
      </c>
      <c r="G13" s="5" t="s">
        <v>52</v>
      </c>
      <c r="H13" s="5" t="s">
        <v>2588</v>
      </c>
      <c r="I13" s="5">
        <v>202501792</v>
      </c>
      <c r="J13" s="5"/>
      <c r="K13" s="6">
        <v>45960</v>
      </c>
      <c r="L13" s="6">
        <v>45965</v>
      </c>
      <c r="M13" s="42" t="s">
        <v>53</v>
      </c>
      <c r="N13" s="42" t="s">
        <v>54</v>
      </c>
      <c r="O13" s="42" t="s">
        <v>41</v>
      </c>
      <c r="P13" s="30">
        <f t="shared" si="0"/>
        <v>5</v>
      </c>
      <c r="Q13" s="41">
        <v>3036.3636363636365</v>
      </c>
      <c r="R13" s="41">
        <v>5500</v>
      </c>
      <c r="S13" s="41">
        <f t="shared" si="1"/>
        <v>2463.6363636363635</v>
      </c>
    </row>
    <row r="14" spans="1:19">
      <c r="A14" s="5">
        <v>13</v>
      </c>
      <c r="B14" s="9">
        <v>2510303117</v>
      </c>
      <c r="C14" s="9" t="s">
        <v>2602</v>
      </c>
      <c r="D14" s="9" t="s">
        <v>405</v>
      </c>
      <c r="E14" s="9" t="s">
        <v>2603</v>
      </c>
      <c r="F14" s="9" t="s">
        <v>202</v>
      </c>
      <c r="G14" s="9" t="s">
        <v>52</v>
      </c>
      <c r="H14" s="9" t="s">
        <v>2588</v>
      </c>
      <c r="I14" s="9">
        <v>202501793</v>
      </c>
      <c r="J14" s="9"/>
      <c r="K14" s="10">
        <v>45960</v>
      </c>
      <c r="L14" s="10">
        <v>45965</v>
      </c>
      <c r="M14" s="54" t="s">
        <v>45</v>
      </c>
      <c r="N14" s="54" t="s">
        <v>94</v>
      </c>
      <c r="O14" s="9" t="s">
        <v>2604</v>
      </c>
      <c r="P14" s="32">
        <f t="shared" si="0"/>
        <v>5</v>
      </c>
      <c r="Q14" s="11">
        <v>3036.3636363636365</v>
      </c>
      <c r="R14" s="11">
        <v>6450</v>
      </c>
      <c r="S14" s="11">
        <f t="shared" si="1"/>
        <v>3413.6363636363635</v>
      </c>
    </row>
    <row r="15" spans="1:19">
      <c r="A15" s="5">
        <v>14</v>
      </c>
      <c r="B15" s="5">
        <v>2510303128</v>
      </c>
      <c r="C15" s="5" t="s">
        <v>2605</v>
      </c>
      <c r="D15" s="5" t="s">
        <v>440</v>
      </c>
      <c r="E15" s="5" t="s">
        <v>441</v>
      </c>
      <c r="F15" s="5" t="s">
        <v>169</v>
      </c>
      <c r="G15" s="5" t="s">
        <v>52</v>
      </c>
      <c r="H15" s="5" t="s">
        <v>2588</v>
      </c>
      <c r="I15" s="5">
        <v>202501794</v>
      </c>
      <c r="J15" s="5"/>
      <c r="K15" s="6">
        <v>45960</v>
      </c>
      <c r="L15" s="6">
        <v>45965</v>
      </c>
      <c r="M15" s="42" t="s">
        <v>53</v>
      </c>
      <c r="N15" s="42" t="s">
        <v>54</v>
      </c>
      <c r="O15" s="42" t="s">
        <v>41</v>
      </c>
      <c r="P15" s="30">
        <f t="shared" si="0"/>
        <v>5</v>
      </c>
      <c r="Q15" s="41">
        <v>3036.3636363636365</v>
      </c>
      <c r="R15" s="41">
        <v>5500</v>
      </c>
      <c r="S15" s="41">
        <f t="shared" si="1"/>
        <v>2463.6363636363635</v>
      </c>
    </row>
    <row r="16" spans="1:19">
      <c r="A16" s="5">
        <v>15</v>
      </c>
      <c r="B16" s="5">
        <v>2510303133</v>
      </c>
      <c r="C16" s="5" t="s">
        <v>2606</v>
      </c>
      <c r="D16" s="5" t="s">
        <v>440</v>
      </c>
      <c r="E16" s="5" t="s">
        <v>441</v>
      </c>
      <c r="F16" s="5" t="s">
        <v>169</v>
      </c>
      <c r="G16" s="5" t="s">
        <v>52</v>
      </c>
      <c r="H16" s="5" t="s">
        <v>2588</v>
      </c>
      <c r="I16" s="5">
        <v>202501795</v>
      </c>
      <c r="J16" s="5"/>
      <c r="K16" s="6">
        <v>45960</v>
      </c>
      <c r="L16" s="6">
        <v>45965</v>
      </c>
      <c r="M16" s="42" t="s">
        <v>53</v>
      </c>
      <c r="N16" s="42" t="s">
        <v>54</v>
      </c>
      <c r="O16" s="42" t="s">
        <v>41</v>
      </c>
      <c r="P16" s="30">
        <f t="shared" si="0"/>
        <v>5</v>
      </c>
      <c r="Q16" s="41">
        <v>3036.3636363636365</v>
      </c>
      <c r="R16" s="41">
        <v>5500</v>
      </c>
      <c r="S16" s="41">
        <f t="shared" si="1"/>
        <v>2463.6363636363635</v>
      </c>
    </row>
    <row r="17" spans="1:19">
      <c r="A17" s="5">
        <v>16</v>
      </c>
      <c r="B17" s="5">
        <v>2510303135</v>
      </c>
      <c r="C17" s="5" t="s">
        <v>2607</v>
      </c>
      <c r="D17" s="5" t="s">
        <v>1261</v>
      </c>
      <c r="E17" s="5" t="s">
        <v>1262</v>
      </c>
      <c r="F17" s="5" t="s">
        <v>71</v>
      </c>
      <c r="G17" s="5" t="s">
        <v>75</v>
      </c>
      <c r="H17" s="5" t="s">
        <v>2588</v>
      </c>
      <c r="I17" s="5">
        <v>202501796</v>
      </c>
      <c r="J17" s="5"/>
      <c r="K17" s="6">
        <v>45960</v>
      </c>
      <c r="L17" s="6">
        <v>45965</v>
      </c>
      <c r="M17" s="42" t="s">
        <v>53</v>
      </c>
      <c r="N17" s="42" t="s">
        <v>54</v>
      </c>
      <c r="O17" s="42" t="s">
        <v>41</v>
      </c>
      <c r="P17" s="30">
        <f t="shared" si="0"/>
        <v>5</v>
      </c>
      <c r="Q17" s="41">
        <v>3036.3636363636365</v>
      </c>
      <c r="R17" s="41">
        <v>4500</v>
      </c>
      <c r="S17" s="41">
        <f t="shared" si="1"/>
        <v>1463.6363636363635</v>
      </c>
    </row>
    <row r="18" spans="1:19">
      <c r="A18" s="5">
        <v>17</v>
      </c>
      <c r="B18" s="9">
        <v>2510312603</v>
      </c>
      <c r="C18" s="9" t="s">
        <v>2608</v>
      </c>
      <c r="D18" s="9" t="s">
        <v>64</v>
      </c>
      <c r="E18" s="9" t="s">
        <v>1498</v>
      </c>
      <c r="F18" s="9" t="s">
        <v>66</v>
      </c>
      <c r="G18" s="9" t="s">
        <v>52</v>
      </c>
      <c r="H18" s="9" t="s">
        <v>2588</v>
      </c>
      <c r="I18" s="9">
        <v>202501797</v>
      </c>
      <c r="J18" s="9"/>
      <c r="K18" s="10">
        <v>45961</v>
      </c>
      <c r="L18" s="10">
        <v>45965</v>
      </c>
      <c r="M18" s="54" t="s">
        <v>45</v>
      </c>
      <c r="N18" s="54" t="s">
        <v>94</v>
      </c>
      <c r="O18" s="9" t="s">
        <v>2604</v>
      </c>
      <c r="P18" s="32">
        <f t="shared" si="0"/>
        <v>4</v>
      </c>
      <c r="Q18" s="11">
        <v>3036.3636363636365</v>
      </c>
      <c r="R18" s="11">
        <v>5500</v>
      </c>
      <c r="S18" s="11">
        <f t="shared" si="1"/>
        <v>2463.6363636363635</v>
      </c>
    </row>
    <row r="19" spans="1:19">
      <c r="A19" s="5">
        <v>18</v>
      </c>
      <c r="B19" s="5">
        <v>2510312608</v>
      </c>
      <c r="C19" s="5" t="s">
        <v>2609</v>
      </c>
      <c r="D19" s="5" t="s">
        <v>733</v>
      </c>
      <c r="E19" s="5" t="s">
        <v>2610</v>
      </c>
      <c r="F19" s="5" t="s">
        <v>51</v>
      </c>
      <c r="G19" s="5" t="s">
        <v>52</v>
      </c>
      <c r="H19" s="5" t="s">
        <v>2588</v>
      </c>
      <c r="I19" s="5">
        <v>202501798</v>
      </c>
      <c r="J19" s="5"/>
      <c r="K19" s="6">
        <v>45961</v>
      </c>
      <c r="L19" s="6">
        <v>45965</v>
      </c>
      <c r="M19" s="42" t="s">
        <v>53</v>
      </c>
      <c r="N19" s="42" t="s">
        <v>54</v>
      </c>
      <c r="O19" s="42" t="s">
        <v>41</v>
      </c>
      <c r="P19" s="30">
        <f t="shared" si="0"/>
        <v>4</v>
      </c>
      <c r="Q19" s="41">
        <v>3036.3636363636365</v>
      </c>
      <c r="R19" s="41">
        <v>5300</v>
      </c>
      <c r="S19" s="41">
        <f t="shared" si="1"/>
        <v>2263.6363636363635</v>
      </c>
    </row>
    <row r="20" spans="1:19">
      <c r="A20" s="5">
        <v>19</v>
      </c>
      <c r="B20" s="5">
        <v>2510312612</v>
      </c>
      <c r="C20" s="5" t="s">
        <v>2611</v>
      </c>
      <c r="D20" s="5" t="s">
        <v>550</v>
      </c>
      <c r="E20" s="5" t="s">
        <v>2612</v>
      </c>
      <c r="F20" s="5" t="s">
        <v>51</v>
      </c>
      <c r="G20" s="5" t="s">
        <v>75</v>
      </c>
      <c r="H20" s="5" t="s">
        <v>2588</v>
      </c>
      <c r="I20" s="5">
        <v>202501799</v>
      </c>
      <c r="J20" s="5"/>
      <c r="K20" s="6">
        <v>45961</v>
      </c>
      <c r="L20" s="6">
        <v>45965</v>
      </c>
      <c r="M20" s="42" t="s">
        <v>53</v>
      </c>
      <c r="N20" s="42" t="s">
        <v>54</v>
      </c>
      <c r="O20" s="42" t="s">
        <v>41</v>
      </c>
      <c r="P20" s="30">
        <f t="shared" si="0"/>
        <v>4</v>
      </c>
      <c r="Q20" s="41">
        <v>3036.3636363636365</v>
      </c>
      <c r="R20" s="41">
        <v>4900</v>
      </c>
      <c r="S20" s="41">
        <f t="shared" si="1"/>
        <v>1863.6363636363635</v>
      </c>
    </row>
    <row r="21" spans="1:19">
      <c r="A21" s="5">
        <v>20</v>
      </c>
      <c r="B21" s="5">
        <v>2510312619</v>
      </c>
      <c r="C21" s="5" t="s">
        <v>2613</v>
      </c>
      <c r="D21" s="5" t="s">
        <v>1692</v>
      </c>
      <c r="E21" s="5" t="s">
        <v>2614</v>
      </c>
      <c r="F21" s="5" t="s">
        <v>457</v>
      </c>
      <c r="G21" s="5" t="s">
        <v>52</v>
      </c>
      <c r="H21" s="5" t="s">
        <v>2588</v>
      </c>
      <c r="I21" s="5">
        <v>202501800</v>
      </c>
      <c r="J21" s="5"/>
      <c r="K21" s="6">
        <v>45961</v>
      </c>
      <c r="L21" s="6">
        <v>45965</v>
      </c>
      <c r="M21" s="42" t="s">
        <v>53</v>
      </c>
      <c r="N21" s="42" t="s">
        <v>54</v>
      </c>
      <c r="O21" s="42" t="s">
        <v>41</v>
      </c>
      <c r="P21" s="30">
        <f t="shared" si="0"/>
        <v>4</v>
      </c>
      <c r="Q21" s="41">
        <v>3036.3636363636365</v>
      </c>
      <c r="R21" s="41">
        <v>5200</v>
      </c>
      <c r="S21" s="41">
        <f t="shared" si="1"/>
        <v>2163.6363636363635</v>
      </c>
    </row>
    <row r="22" spans="1:19">
      <c r="A22" s="5">
        <v>21</v>
      </c>
      <c r="B22" s="9">
        <v>2510312626</v>
      </c>
      <c r="C22" s="9" t="s">
        <v>2615</v>
      </c>
      <c r="D22" s="9" t="s">
        <v>89</v>
      </c>
      <c r="E22" s="9" t="s">
        <v>2025</v>
      </c>
      <c r="F22" s="9" t="s">
        <v>79</v>
      </c>
      <c r="G22" s="9" t="s">
        <v>52</v>
      </c>
      <c r="H22" s="9" t="s">
        <v>2588</v>
      </c>
      <c r="I22" s="9">
        <v>202501801</v>
      </c>
      <c r="J22" s="9"/>
      <c r="K22" s="10">
        <v>45961</v>
      </c>
      <c r="L22" s="10">
        <v>45965</v>
      </c>
      <c r="M22" s="54" t="s">
        <v>45</v>
      </c>
      <c r="N22" s="54" t="s">
        <v>94</v>
      </c>
      <c r="O22" s="9" t="s">
        <v>2604</v>
      </c>
      <c r="P22" s="32">
        <f t="shared" si="0"/>
        <v>4</v>
      </c>
      <c r="Q22" s="11">
        <v>3036.3636363636365</v>
      </c>
      <c r="R22" s="11">
        <v>5500</v>
      </c>
      <c r="S22" s="11">
        <f t="shared" si="1"/>
        <v>2463.6363636363635</v>
      </c>
    </row>
    <row r="23" spans="1:19">
      <c r="A23" s="5">
        <v>22</v>
      </c>
      <c r="B23" s="5">
        <v>2510312629</v>
      </c>
      <c r="C23" s="5" t="s">
        <v>2616</v>
      </c>
      <c r="D23" s="5" t="s">
        <v>564</v>
      </c>
      <c r="E23" s="5" t="s">
        <v>771</v>
      </c>
      <c r="F23" s="5" t="s">
        <v>71</v>
      </c>
      <c r="G23" s="5" t="s">
        <v>75</v>
      </c>
      <c r="H23" s="5" t="s">
        <v>2588</v>
      </c>
      <c r="I23" s="5">
        <v>202501802</v>
      </c>
      <c r="J23" s="5"/>
      <c r="K23" s="6">
        <v>45961</v>
      </c>
      <c r="L23" s="6">
        <v>45965</v>
      </c>
      <c r="M23" s="42" t="s">
        <v>53</v>
      </c>
      <c r="N23" s="42" t="s">
        <v>54</v>
      </c>
      <c r="O23" s="42" t="s">
        <v>41</v>
      </c>
      <c r="P23" s="30">
        <f t="shared" si="0"/>
        <v>4</v>
      </c>
      <c r="Q23" s="41">
        <v>3036.3636363636365</v>
      </c>
      <c r="R23" s="41">
        <v>6500</v>
      </c>
      <c r="S23" s="41">
        <f t="shared" si="1"/>
        <v>3463.6363636363635</v>
      </c>
    </row>
    <row r="24" spans="1:19">
      <c r="A24" s="5">
        <v>23</v>
      </c>
      <c r="B24" s="5">
        <v>2510311317</v>
      </c>
      <c r="C24" s="5" t="s">
        <v>2617</v>
      </c>
      <c r="D24" s="5" t="s">
        <v>40</v>
      </c>
      <c r="E24" s="5" t="s">
        <v>41</v>
      </c>
      <c r="F24" s="5" t="s">
        <v>42</v>
      </c>
      <c r="G24" s="5" t="s">
        <v>43</v>
      </c>
      <c r="H24" s="5" t="s">
        <v>2588</v>
      </c>
      <c r="I24" s="5">
        <v>202501803</v>
      </c>
      <c r="J24" s="5"/>
      <c r="K24" s="6">
        <v>45961</v>
      </c>
      <c r="L24" s="6">
        <v>45965</v>
      </c>
      <c r="M24" s="42" t="s">
        <v>53</v>
      </c>
      <c r="N24" s="42" t="s">
        <v>54</v>
      </c>
      <c r="O24" s="42" t="s">
        <v>41</v>
      </c>
      <c r="P24" s="30">
        <f t="shared" si="0"/>
        <v>4</v>
      </c>
      <c r="Q24" s="41">
        <v>3036.3636363636365</v>
      </c>
      <c r="R24" s="41">
        <v>14500</v>
      </c>
      <c r="S24" s="41">
        <f t="shared" si="1"/>
        <v>11463.636363636364</v>
      </c>
    </row>
    <row r="25" spans="1:19">
      <c r="A25" s="5">
        <v>24</v>
      </c>
      <c r="B25" s="5">
        <v>2510312632</v>
      </c>
      <c r="C25" s="5" t="s">
        <v>2618</v>
      </c>
      <c r="D25" s="5" t="s">
        <v>564</v>
      </c>
      <c r="E25" s="5" t="s">
        <v>771</v>
      </c>
      <c r="F25" s="5" t="s">
        <v>71</v>
      </c>
      <c r="G25" s="5" t="s">
        <v>75</v>
      </c>
      <c r="H25" s="5" t="s">
        <v>2588</v>
      </c>
      <c r="I25" s="5">
        <v>202501804</v>
      </c>
      <c r="J25" s="5"/>
      <c r="K25" s="6">
        <v>45961</v>
      </c>
      <c r="L25" s="6">
        <v>45965</v>
      </c>
      <c r="M25" s="42" t="s">
        <v>53</v>
      </c>
      <c r="N25" s="42" t="s">
        <v>54</v>
      </c>
      <c r="O25" s="42" t="s">
        <v>41</v>
      </c>
      <c r="P25" s="30">
        <f t="shared" si="0"/>
        <v>4</v>
      </c>
      <c r="Q25" s="41">
        <v>3036.3636363636365</v>
      </c>
      <c r="R25" s="41">
        <v>6500</v>
      </c>
      <c r="S25" s="41">
        <f t="shared" si="1"/>
        <v>3463.6363636363635</v>
      </c>
    </row>
    <row r="26" spans="1:19">
      <c r="A26" s="5">
        <v>25</v>
      </c>
      <c r="B26" s="9">
        <v>2510312635</v>
      </c>
      <c r="C26" s="9" t="s">
        <v>2619</v>
      </c>
      <c r="D26" s="9" t="s">
        <v>440</v>
      </c>
      <c r="E26" s="9" t="s">
        <v>441</v>
      </c>
      <c r="F26" s="9" t="s">
        <v>169</v>
      </c>
      <c r="G26" s="9" t="s">
        <v>52</v>
      </c>
      <c r="H26" s="9" t="s">
        <v>2588</v>
      </c>
      <c r="I26" s="9">
        <v>202501805</v>
      </c>
      <c r="J26" s="9"/>
      <c r="K26" s="10">
        <v>45961</v>
      </c>
      <c r="L26" s="10">
        <v>45965</v>
      </c>
      <c r="M26" s="54" t="s">
        <v>45</v>
      </c>
      <c r="N26" s="54" t="s">
        <v>94</v>
      </c>
      <c r="O26" s="54" t="s">
        <v>1698</v>
      </c>
      <c r="P26" s="32">
        <f t="shared" si="0"/>
        <v>4</v>
      </c>
      <c r="Q26" s="11">
        <v>3036.3636363636365</v>
      </c>
      <c r="R26" s="11">
        <v>5500</v>
      </c>
      <c r="S26" s="11">
        <f t="shared" si="1"/>
        <v>2463.6363636363635</v>
      </c>
    </row>
    <row r="27" spans="1:19">
      <c r="A27" s="5">
        <v>26</v>
      </c>
      <c r="B27" s="5">
        <v>2510312638</v>
      </c>
      <c r="C27" s="5" t="s">
        <v>2620</v>
      </c>
      <c r="D27" s="5" t="s">
        <v>440</v>
      </c>
      <c r="E27" s="5" t="s">
        <v>441</v>
      </c>
      <c r="F27" s="5" t="s">
        <v>169</v>
      </c>
      <c r="G27" s="5" t="s">
        <v>52</v>
      </c>
      <c r="H27" s="5" t="s">
        <v>2588</v>
      </c>
      <c r="I27" s="5">
        <v>202501806</v>
      </c>
      <c r="J27" s="5"/>
      <c r="K27" s="6">
        <v>45961</v>
      </c>
      <c r="L27" s="6">
        <v>45965</v>
      </c>
      <c r="M27" s="42" t="s">
        <v>53</v>
      </c>
      <c r="N27" s="42" t="s">
        <v>54</v>
      </c>
      <c r="O27" s="42" t="s">
        <v>41</v>
      </c>
      <c r="P27" s="30">
        <f t="shared" si="0"/>
        <v>4</v>
      </c>
      <c r="Q27" s="41">
        <v>3036.3636363636365</v>
      </c>
      <c r="R27" s="41">
        <v>5500</v>
      </c>
      <c r="S27" s="41">
        <f t="shared" si="1"/>
        <v>2463.6363636363635</v>
      </c>
    </row>
    <row r="28" spans="1:19">
      <c r="A28" s="5">
        <v>27</v>
      </c>
      <c r="B28" s="5">
        <v>2510312642</v>
      </c>
      <c r="C28" s="5" t="s">
        <v>2621</v>
      </c>
      <c r="D28" s="5" t="s">
        <v>97</v>
      </c>
      <c r="E28" s="5" t="s">
        <v>98</v>
      </c>
      <c r="F28" s="5" t="s">
        <v>71</v>
      </c>
      <c r="G28" s="5" t="s">
        <v>75</v>
      </c>
      <c r="H28" s="5" t="s">
        <v>2588</v>
      </c>
      <c r="I28" s="5">
        <v>202501807</v>
      </c>
      <c r="J28" s="5"/>
      <c r="K28" s="6">
        <v>45961</v>
      </c>
      <c r="L28" s="6">
        <v>45965</v>
      </c>
      <c r="M28" s="42" t="s">
        <v>53</v>
      </c>
      <c r="N28" s="42" t="s">
        <v>54</v>
      </c>
      <c r="O28" s="42" t="s">
        <v>41</v>
      </c>
      <c r="P28" s="30">
        <f t="shared" si="0"/>
        <v>4</v>
      </c>
      <c r="Q28" s="41">
        <v>3036.3636363636365</v>
      </c>
      <c r="R28" s="41">
        <v>4900</v>
      </c>
      <c r="S28" s="41">
        <f t="shared" si="1"/>
        <v>1863.6363636363635</v>
      </c>
    </row>
    <row r="29" spans="1:19">
      <c r="A29" s="5">
        <v>28</v>
      </c>
      <c r="B29" s="5">
        <v>2511011590</v>
      </c>
      <c r="C29" s="5" t="s">
        <v>2622</v>
      </c>
      <c r="D29" s="5" t="s">
        <v>64</v>
      </c>
      <c r="E29" s="5" t="s">
        <v>1498</v>
      </c>
      <c r="F29" s="5" t="s">
        <v>66</v>
      </c>
      <c r="G29" s="5" t="s">
        <v>52</v>
      </c>
      <c r="H29" s="5" t="s">
        <v>2588</v>
      </c>
      <c r="I29" s="5">
        <v>202501808</v>
      </c>
      <c r="J29" s="5"/>
      <c r="K29" s="6">
        <v>45962</v>
      </c>
      <c r="L29" s="6">
        <v>45965</v>
      </c>
      <c r="M29" s="42" t="s">
        <v>53</v>
      </c>
      <c r="N29" s="42" t="s">
        <v>54</v>
      </c>
      <c r="O29" s="42" t="s">
        <v>41</v>
      </c>
      <c r="P29" s="30">
        <f t="shared" si="0"/>
        <v>3</v>
      </c>
      <c r="Q29" s="41">
        <v>3036.3636363636365</v>
      </c>
      <c r="R29" s="41">
        <v>5500</v>
      </c>
      <c r="S29" s="41">
        <f t="shared" si="1"/>
        <v>2463.6363636363635</v>
      </c>
    </row>
    <row r="30" spans="1:19">
      <c r="A30" s="5">
        <v>29</v>
      </c>
      <c r="B30" s="5">
        <v>2511011596</v>
      </c>
      <c r="C30" s="5" t="s">
        <v>2623</v>
      </c>
      <c r="D30" s="5" t="s">
        <v>64</v>
      </c>
      <c r="E30" s="5" t="s">
        <v>1498</v>
      </c>
      <c r="F30" s="5" t="s">
        <v>66</v>
      </c>
      <c r="G30" s="5" t="s">
        <v>52</v>
      </c>
      <c r="H30" s="5" t="s">
        <v>2588</v>
      </c>
      <c r="I30" s="5">
        <v>202501809</v>
      </c>
      <c r="J30" s="5"/>
      <c r="K30" s="6">
        <v>45962</v>
      </c>
      <c r="L30" s="6">
        <v>45965</v>
      </c>
      <c r="M30" s="42" t="s">
        <v>53</v>
      </c>
      <c r="N30" s="42" t="s">
        <v>54</v>
      </c>
      <c r="O30" s="42" t="s">
        <v>41</v>
      </c>
      <c r="P30" s="30">
        <f t="shared" si="0"/>
        <v>3</v>
      </c>
      <c r="Q30" s="41">
        <v>3036.3636363636365</v>
      </c>
      <c r="R30" s="41">
        <v>5500</v>
      </c>
      <c r="S30" s="41">
        <f t="shared" si="1"/>
        <v>2463.6363636363635</v>
      </c>
    </row>
    <row r="31" spans="1:19">
      <c r="A31" s="5">
        <v>30</v>
      </c>
      <c r="B31" s="5">
        <v>2511011608</v>
      </c>
      <c r="C31" s="5" t="s">
        <v>2624</v>
      </c>
      <c r="D31" s="5" t="s">
        <v>733</v>
      </c>
      <c r="E31" s="5" t="s">
        <v>2610</v>
      </c>
      <c r="F31" s="5" t="s">
        <v>51</v>
      </c>
      <c r="G31" s="5" t="s">
        <v>52</v>
      </c>
      <c r="H31" s="5" t="s">
        <v>2588</v>
      </c>
      <c r="I31" s="5">
        <v>202501810</v>
      </c>
      <c r="J31" s="5"/>
      <c r="K31" s="6">
        <v>45962</v>
      </c>
      <c r="L31" s="6">
        <v>45965</v>
      </c>
      <c r="M31" s="42" t="s">
        <v>53</v>
      </c>
      <c r="N31" s="42" t="s">
        <v>54</v>
      </c>
      <c r="O31" s="42" t="s">
        <v>41</v>
      </c>
      <c r="P31" s="30">
        <f t="shared" si="0"/>
        <v>3</v>
      </c>
      <c r="Q31" s="41">
        <v>3036.3636363636365</v>
      </c>
      <c r="R31" s="41">
        <v>5300</v>
      </c>
      <c r="S31" s="41">
        <f t="shared" si="1"/>
        <v>2263.6363636363635</v>
      </c>
    </row>
    <row r="32" spans="1:19">
      <c r="A32" s="5">
        <v>31</v>
      </c>
      <c r="B32" s="5" t="s">
        <v>1239</v>
      </c>
      <c r="C32" s="5"/>
      <c r="D32" s="5"/>
      <c r="E32" s="5"/>
      <c r="F32" s="5"/>
      <c r="G32" s="5" t="s">
        <v>52</v>
      </c>
      <c r="H32" s="5"/>
      <c r="I32" s="5"/>
      <c r="J32" s="5"/>
      <c r="K32" s="5"/>
      <c r="L32" s="5"/>
      <c r="M32" s="5"/>
      <c r="N32" s="5"/>
      <c r="O32" s="5"/>
      <c r="P32" s="5"/>
      <c r="Q32" s="41">
        <v>3036.3636363636365</v>
      </c>
      <c r="R32" s="41">
        <v>0</v>
      </c>
      <c r="S32" s="41">
        <f t="shared" si="1"/>
        <v>-3036.3636363636365</v>
      </c>
    </row>
    <row r="33" spans="1:19">
      <c r="A33" s="5">
        <v>32</v>
      </c>
      <c r="B33" s="5" t="s">
        <v>1240</v>
      </c>
      <c r="C33" s="5"/>
      <c r="D33" s="5"/>
      <c r="E33" s="5"/>
      <c r="F33" s="5"/>
      <c r="G33" s="5" t="s">
        <v>52</v>
      </c>
      <c r="H33" s="5"/>
      <c r="I33" s="5"/>
      <c r="J33" s="5"/>
      <c r="K33" s="5"/>
      <c r="L33" s="5"/>
      <c r="M33" s="5"/>
      <c r="N33" s="5"/>
      <c r="O33" s="5"/>
      <c r="P33" s="5"/>
      <c r="Q33" s="41">
        <v>3036.3636363636365</v>
      </c>
      <c r="R33" s="41">
        <v>0</v>
      </c>
      <c r="S33" s="41">
        <f t="shared" si="1"/>
        <v>-3036.3636363636365</v>
      </c>
    </row>
    <row r="34" spans="1:19">
      <c r="A34" s="5">
        <v>33</v>
      </c>
      <c r="B34" s="22">
        <v>2510240420</v>
      </c>
      <c r="C34" s="22" t="s">
        <v>2537</v>
      </c>
      <c r="D34" s="22" t="s">
        <v>40</v>
      </c>
      <c r="E34" s="22" t="s">
        <v>41</v>
      </c>
      <c r="F34" s="22" t="s">
        <v>42</v>
      </c>
      <c r="G34" s="22" t="s">
        <v>43</v>
      </c>
      <c r="H34" s="22" t="s">
        <v>2625</v>
      </c>
      <c r="I34" s="22" t="s">
        <v>2626</v>
      </c>
      <c r="J34" s="22"/>
      <c r="K34" s="23">
        <v>45964</v>
      </c>
      <c r="L34" s="23">
        <v>45967</v>
      </c>
      <c r="M34" s="50" t="s">
        <v>53</v>
      </c>
      <c r="N34" s="50" t="s">
        <v>54</v>
      </c>
      <c r="O34" s="50" t="s">
        <v>41</v>
      </c>
      <c r="P34" s="34">
        <f t="shared" ref="P34:P64" si="2">L34-K34</f>
        <v>3</v>
      </c>
      <c r="Q34" s="24">
        <v>2956.7768595041325</v>
      </c>
      <c r="R34" s="24">
        <v>0</v>
      </c>
      <c r="S34" s="24">
        <f t="shared" si="1"/>
        <v>-2956.7768595041325</v>
      </c>
    </row>
    <row r="35" spans="1:19">
      <c r="A35" s="5">
        <v>34</v>
      </c>
      <c r="B35" s="22">
        <v>2510303117</v>
      </c>
      <c r="C35" s="22" t="s">
        <v>2602</v>
      </c>
      <c r="D35" s="22" t="s">
        <v>405</v>
      </c>
      <c r="E35" s="22" t="s">
        <v>2603</v>
      </c>
      <c r="F35" s="22" t="s">
        <v>202</v>
      </c>
      <c r="G35" s="22" t="s">
        <v>52</v>
      </c>
      <c r="H35" s="22" t="s">
        <v>2625</v>
      </c>
      <c r="I35" s="22" t="s">
        <v>2627</v>
      </c>
      <c r="J35" s="22"/>
      <c r="K35" s="23">
        <v>45960</v>
      </c>
      <c r="L35" s="23">
        <v>45967</v>
      </c>
      <c r="M35" s="50" t="s">
        <v>53</v>
      </c>
      <c r="N35" s="50" t="s">
        <v>54</v>
      </c>
      <c r="O35" s="50" t="s">
        <v>41</v>
      </c>
      <c r="P35" s="34">
        <f t="shared" si="2"/>
        <v>7</v>
      </c>
      <c r="Q35" s="24">
        <v>2956.7768595041325</v>
      </c>
      <c r="R35" s="24">
        <v>0</v>
      </c>
      <c r="S35" s="24">
        <f t="shared" si="1"/>
        <v>-2956.7768595041325</v>
      </c>
    </row>
    <row r="36" spans="1:19">
      <c r="A36" s="5">
        <v>35</v>
      </c>
      <c r="B36" s="22">
        <v>2510312603</v>
      </c>
      <c r="C36" s="22" t="s">
        <v>2608</v>
      </c>
      <c r="D36" s="22" t="s">
        <v>64</v>
      </c>
      <c r="E36" s="22" t="s">
        <v>1498</v>
      </c>
      <c r="F36" s="22" t="s">
        <v>66</v>
      </c>
      <c r="G36" s="22" t="s">
        <v>52</v>
      </c>
      <c r="H36" s="22" t="s">
        <v>2625</v>
      </c>
      <c r="I36" s="22" t="s">
        <v>2628</v>
      </c>
      <c r="J36" s="22"/>
      <c r="K36" s="23">
        <v>45961</v>
      </c>
      <c r="L36" s="23">
        <v>45967</v>
      </c>
      <c r="M36" s="50" t="s">
        <v>53</v>
      </c>
      <c r="N36" s="50" t="s">
        <v>54</v>
      </c>
      <c r="O36" s="50" t="s">
        <v>41</v>
      </c>
      <c r="P36" s="34">
        <f t="shared" si="2"/>
        <v>6</v>
      </c>
      <c r="Q36" s="24">
        <v>2956.7768595041325</v>
      </c>
      <c r="R36" s="24">
        <v>0</v>
      </c>
      <c r="S36" s="24">
        <f t="shared" si="1"/>
        <v>-2956.7768595041325</v>
      </c>
    </row>
    <row r="37" spans="1:19">
      <c r="A37" s="5">
        <v>36</v>
      </c>
      <c r="B37" s="22">
        <v>2510312626</v>
      </c>
      <c r="C37" s="22" t="s">
        <v>2615</v>
      </c>
      <c r="D37" s="22" t="s">
        <v>89</v>
      </c>
      <c r="E37" s="22" t="s">
        <v>2025</v>
      </c>
      <c r="F37" s="22" t="s">
        <v>79</v>
      </c>
      <c r="G37" s="22" t="s">
        <v>52</v>
      </c>
      <c r="H37" s="22" t="s">
        <v>2625</v>
      </c>
      <c r="I37" s="22" t="s">
        <v>2629</v>
      </c>
      <c r="J37" s="22"/>
      <c r="K37" s="23">
        <v>45961</v>
      </c>
      <c r="L37" s="23">
        <v>45967</v>
      </c>
      <c r="M37" s="50" t="s">
        <v>53</v>
      </c>
      <c r="N37" s="50" t="s">
        <v>54</v>
      </c>
      <c r="O37" s="50" t="s">
        <v>41</v>
      </c>
      <c r="P37" s="34">
        <f t="shared" si="2"/>
        <v>6</v>
      </c>
      <c r="Q37" s="24">
        <v>2956.7768595041325</v>
      </c>
      <c r="R37" s="24">
        <v>0</v>
      </c>
      <c r="S37" s="24">
        <f t="shared" si="1"/>
        <v>-2956.7768595041325</v>
      </c>
    </row>
    <row r="38" spans="1:19">
      <c r="A38" s="5">
        <v>37</v>
      </c>
      <c r="B38" s="22">
        <v>2510312635</v>
      </c>
      <c r="C38" s="22" t="s">
        <v>2619</v>
      </c>
      <c r="D38" s="22" t="s">
        <v>440</v>
      </c>
      <c r="E38" s="22" t="s">
        <v>441</v>
      </c>
      <c r="F38" s="22" t="s">
        <v>169</v>
      </c>
      <c r="G38" s="22" t="s">
        <v>52</v>
      </c>
      <c r="H38" s="22" t="s">
        <v>2625</v>
      </c>
      <c r="I38" s="22" t="s">
        <v>2630</v>
      </c>
      <c r="J38" s="22"/>
      <c r="K38" s="23">
        <v>45961</v>
      </c>
      <c r="L38" s="23">
        <v>45967</v>
      </c>
      <c r="M38" s="50" t="s">
        <v>53</v>
      </c>
      <c r="N38" s="50" t="s">
        <v>54</v>
      </c>
      <c r="O38" s="50" t="s">
        <v>41</v>
      </c>
      <c r="P38" s="34">
        <f t="shared" si="2"/>
        <v>6</v>
      </c>
      <c r="Q38" s="24">
        <v>2956.7768595041325</v>
      </c>
      <c r="R38" s="24">
        <v>0</v>
      </c>
      <c r="S38" s="24">
        <f t="shared" si="1"/>
        <v>-2956.7768595041325</v>
      </c>
    </row>
    <row r="39" spans="1:19">
      <c r="A39" s="5">
        <v>38</v>
      </c>
      <c r="B39" s="5">
        <v>2511011632</v>
      </c>
      <c r="C39" s="5" t="s">
        <v>2631</v>
      </c>
      <c r="D39" s="5" t="s">
        <v>1638</v>
      </c>
      <c r="E39" s="5" t="s">
        <v>2632</v>
      </c>
      <c r="F39" s="5" t="s">
        <v>202</v>
      </c>
      <c r="G39" s="5" t="s">
        <v>52</v>
      </c>
      <c r="H39" s="5" t="s">
        <v>2625</v>
      </c>
      <c r="I39" s="5">
        <v>202501811</v>
      </c>
      <c r="J39" s="5"/>
      <c r="K39" s="6">
        <v>45962</v>
      </c>
      <c r="L39" s="6">
        <v>45967</v>
      </c>
      <c r="M39" s="42" t="s">
        <v>53</v>
      </c>
      <c r="N39" s="42" t="s">
        <v>54</v>
      </c>
      <c r="O39" s="42" t="s">
        <v>41</v>
      </c>
      <c r="P39" s="30">
        <f t="shared" si="2"/>
        <v>5</v>
      </c>
      <c r="Q39" s="41">
        <v>2956.7768595041325</v>
      </c>
      <c r="R39" s="41">
        <v>8000</v>
      </c>
      <c r="S39" s="41">
        <f t="shared" si="1"/>
        <v>5043.2231404958675</v>
      </c>
    </row>
    <row r="40" spans="1:19">
      <c r="A40" s="5">
        <v>39</v>
      </c>
      <c r="B40" s="5">
        <v>2511012520</v>
      </c>
      <c r="C40" s="5" t="s">
        <v>2633</v>
      </c>
      <c r="D40" s="5" t="s">
        <v>440</v>
      </c>
      <c r="E40" s="5" t="s">
        <v>1850</v>
      </c>
      <c r="F40" s="5" t="s">
        <v>169</v>
      </c>
      <c r="G40" s="5" t="s">
        <v>52</v>
      </c>
      <c r="H40" s="5" t="s">
        <v>2625</v>
      </c>
      <c r="I40" s="5">
        <v>202501812</v>
      </c>
      <c r="J40" s="5"/>
      <c r="K40" s="6">
        <v>45962</v>
      </c>
      <c r="L40" s="6">
        <v>45967</v>
      </c>
      <c r="M40" s="42" t="s">
        <v>53</v>
      </c>
      <c r="N40" s="42" t="s">
        <v>54</v>
      </c>
      <c r="O40" s="42" t="s">
        <v>41</v>
      </c>
      <c r="P40" s="30">
        <f t="shared" si="2"/>
        <v>5</v>
      </c>
      <c r="Q40" s="41">
        <v>2956.7768595041325</v>
      </c>
      <c r="R40" s="41">
        <v>5500</v>
      </c>
      <c r="S40" s="41">
        <f t="shared" si="1"/>
        <v>2543.2231404958675</v>
      </c>
    </row>
    <row r="41" spans="1:19">
      <c r="A41" s="5">
        <v>40</v>
      </c>
      <c r="B41" s="5">
        <v>2511012528</v>
      </c>
      <c r="C41" s="5" t="s">
        <v>2634</v>
      </c>
      <c r="D41" s="5" t="s">
        <v>440</v>
      </c>
      <c r="E41" s="5" t="s">
        <v>1850</v>
      </c>
      <c r="F41" s="5" t="s">
        <v>169</v>
      </c>
      <c r="G41" s="5" t="s">
        <v>52</v>
      </c>
      <c r="H41" s="5" t="s">
        <v>2625</v>
      </c>
      <c r="I41" s="5">
        <v>202501813</v>
      </c>
      <c r="J41" s="5"/>
      <c r="K41" s="6">
        <v>45962</v>
      </c>
      <c r="L41" s="6">
        <v>45967</v>
      </c>
      <c r="M41" s="42" t="s">
        <v>53</v>
      </c>
      <c r="N41" s="42" t="s">
        <v>54</v>
      </c>
      <c r="O41" s="42" t="s">
        <v>41</v>
      </c>
      <c r="P41" s="30">
        <f t="shared" si="2"/>
        <v>5</v>
      </c>
      <c r="Q41" s="41">
        <v>2956.7768595041325</v>
      </c>
      <c r="R41" s="41">
        <v>5500</v>
      </c>
      <c r="S41" s="41">
        <f t="shared" si="1"/>
        <v>2543.2231404958675</v>
      </c>
    </row>
    <row r="42" spans="1:19">
      <c r="A42" s="5">
        <v>41</v>
      </c>
      <c r="B42" s="5">
        <v>2511012539</v>
      </c>
      <c r="C42" s="5" t="s">
        <v>2635</v>
      </c>
      <c r="D42" s="5" t="s">
        <v>440</v>
      </c>
      <c r="E42" s="5" t="s">
        <v>1850</v>
      </c>
      <c r="F42" s="5" t="s">
        <v>169</v>
      </c>
      <c r="G42" s="5" t="s">
        <v>52</v>
      </c>
      <c r="H42" s="5" t="s">
        <v>2625</v>
      </c>
      <c r="I42" s="5">
        <v>202501814</v>
      </c>
      <c r="J42" s="5"/>
      <c r="K42" s="6">
        <v>45962</v>
      </c>
      <c r="L42" s="6">
        <v>45967</v>
      </c>
      <c r="M42" s="42" t="s">
        <v>53</v>
      </c>
      <c r="N42" s="42" t="s">
        <v>54</v>
      </c>
      <c r="O42" s="42" t="s">
        <v>41</v>
      </c>
      <c r="P42" s="30">
        <f t="shared" si="2"/>
        <v>5</v>
      </c>
      <c r="Q42" s="41">
        <v>2956.7768595041325</v>
      </c>
      <c r="R42" s="41">
        <v>5500</v>
      </c>
      <c r="S42" s="41">
        <f t="shared" si="1"/>
        <v>2543.2231404958675</v>
      </c>
    </row>
    <row r="43" spans="1:19">
      <c r="A43" s="5">
        <v>42</v>
      </c>
      <c r="B43" s="5">
        <v>2511021180</v>
      </c>
      <c r="C43" s="5" t="s">
        <v>2636</v>
      </c>
      <c r="D43" s="5" t="s">
        <v>514</v>
      </c>
      <c r="E43" s="5" t="s">
        <v>2637</v>
      </c>
      <c r="F43" s="5" t="s">
        <v>516</v>
      </c>
      <c r="G43" s="5" t="s">
        <v>75</v>
      </c>
      <c r="H43" s="5" t="s">
        <v>2625</v>
      </c>
      <c r="I43" s="5">
        <v>202501815</v>
      </c>
      <c r="J43" s="5"/>
      <c r="K43" s="6">
        <v>45963</v>
      </c>
      <c r="L43" s="6">
        <v>45967</v>
      </c>
      <c r="M43" s="42" t="s">
        <v>53</v>
      </c>
      <c r="N43" s="42" t="s">
        <v>54</v>
      </c>
      <c r="O43" s="42" t="s">
        <v>41</v>
      </c>
      <c r="P43" s="30">
        <f t="shared" si="2"/>
        <v>4</v>
      </c>
      <c r="Q43" s="41">
        <v>2956.7768595041325</v>
      </c>
      <c r="R43" s="41">
        <v>4900</v>
      </c>
      <c r="S43" s="41">
        <f t="shared" si="1"/>
        <v>1943.2231404958675</v>
      </c>
    </row>
    <row r="44" spans="1:19">
      <c r="A44" s="5">
        <v>43</v>
      </c>
      <c r="B44" s="5">
        <v>2511021182</v>
      </c>
      <c r="C44" s="5" t="s">
        <v>2638</v>
      </c>
      <c r="D44" s="5" t="s">
        <v>64</v>
      </c>
      <c r="E44" s="5" t="s">
        <v>1498</v>
      </c>
      <c r="F44" s="5" t="s">
        <v>66</v>
      </c>
      <c r="G44" s="5" t="s">
        <v>52</v>
      </c>
      <c r="H44" s="5" t="s">
        <v>2625</v>
      </c>
      <c r="I44" s="5">
        <v>202501816</v>
      </c>
      <c r="J44" s="5"/>
      <c r="K44" s="6">
        <v>45963</v>
      </c>
      <c r="L44" s="6">
        <v>45967</v>
      </c>
      <c r="M44" s="42" t="s">
        <v>53</v>
      </c>
      <c r="N44" s="42" t="s">
        <v>54</v>
      </c>
      <c r="O44" s="42" t="s">
        <v>41</v>
      </c>
      <c r="P44" s="30">
        <f t="shared" si="2"/>
        <v>4</v>
      </c>
      <c r="Q44" s="41">
        <v>2956.7768595041325</v>
      </c>
      <c r="R44" s="41">
        <v>5500</v>
      </c>
      <c r="S44" s="41">
        <f t="shared" si="1"/>
        <v>2543.2231404958675</v>
      </c>
    </row>
    <row r="45" spans="1:19">
      <c r="A45" s="5">
        <v>44</v>
      </c>
      <c r="B45" s="5">
        <v>2511020071</v>
      </c>
      <c r="C45" s="5" t="s">
        <v>2639</v>
      </c>
      <c r="D45" s="5" t="s">
        <v>40</v>
      </c>
      <c r="E45" s="5" t="s">
        <v>41</v>
      </c>
      <c r="F45" s="5" t="s">
        <v>42</v>
      </c>
      <c r="G45" s="5" t="s">
        <v>43</v>
      </c>
      <c r="H45" s="5" t="s">
        <v>2625</v>
      </c>
      <c r="I45" s="5">
        <v>202501817</v>
      </c>
      <c r="J45" s="5"/>
      <c r="K45" s="6">
        <v>45963</v>
      </c>
      <c r="L45" s="6">
        <v>45967</v>
      </c>
      <c r="M45" s="42" t="s">
        <v>53</v>
      </c>
      <c r="N45" s="42" t="s">
        <v>54</v>
      </c>
      <c r="O45" s="42" t="s">
        <v>41</v>
      </c>
      <c r="P45" s="30">
        <f t="shared" si="2"/>
        <v>4</v>
      </c>
      <c r="Q45" s="41">
        <v>2956.7768595041325</v>
      </c>
      <c r="R45" s="41">
        <v>14500</v>
      </c>
      <c r="S45" s="41">
        <f t="shared" si="1"/>
        <v>11543.223140495867</v>
      </c>
    </row>
    <row r="46" spans="1:19">
      <c r="A46" s="5">
        <v>45</v>
      </c>
      <c r="B46" s="5">
        <v>2511021184</v>
      </c>
      <c r="C46" s="5" t="s">
        <v>2640</v>
      </c>
      <c r="D46" s="5" t="s">
        <v>2641</v>
      </c>
      <c r="E46" s="5" t="s">
        <v>2642</v>
      </c>
      <c r="F46" s="5" t="s">
        <v>58</v>
      </c>
      <c r="G46" s="5" t="s">
        <v>52</v>
      </c>
      <c r="H46" s="5" t="s">
        <v>2625</v>
      </c>
      <c r="I46" s="5">
        <v>202501818</v>
      </c>
      <c r="J46" s="5"/>
      <c r="K46" s="6">
        <v>45963</v>
      </c>
      <c r="L46" s="6">
        <v>45967</v>
      </c>
      <c r="M46" s="42" t="s">
        <v>53</v>
      </c>
      <c r="N46" s="42" t="s">
        <v>54</v>
      </c>
      <c r="O46" s="42" t="s">
        <v>41</v>
      </c>
      <c r="P46" s="30">
        <f t="shared" si="2"/>
        <v>4</v>
      </c>
      <c r="Q46" s="41">
        <v>2956.7768595041325</v>
      </c>
      <c r="R46" s="41">
        <v>5500</v>
      </c>
      <c r="S46" s="41">
        <f t="shared" si="1"/>
        <v>2543.2231404958675</v>
      </c>
    </row>
    <row r="47" spans="1:19">
      <c r="A47" s="5">
        <v>46</v>
      </c>
      <c r="B47" s="5">
        <v>2511021186</v>
      </c>
      <c r="C47" s="5" t="s">
        <v>2643</v>
      </c>
      <c r="D47" s="5" t="s">
        <v>77</v>
      </c>
      <c r="E47" s="5" t="s">
        <v>1874</v>
      </c>
      <c r="F47" s="5" t="s">
        <v>79</v>
      </c>
      <c r="G47" s="5" t="s">
        <v>52</v>
      </c>
      <c r="H47" s="5" t="s">
        <v>2625</v>
      </c>
      <c r="I47" s="5">
        <v>202501819</v>
      </c>
      <c r="J47" s="5"/>
      <c r="K47" s="6">
        <v>45963</v>
      </c>
      <c r="L47" s="6">
        <v>45967</v>
      </c>
      <c r="M47" s="42" t="s">
        <v>53</v>
      </c>
      <c r="N47" s="42" t="s">
        <v>54</v>
      </c>
      <c r="O47" s="42" t="s">
        <v>41</v>
      </c>
      <c r="P47" s="30">
        <f t="shared" si="2"/>
        <v>4</v>
      </c>
      <c r="Q47" s="41">
        <v>2956.7768595041325</v>
      </c>
      <c r="R47" s="41">
        <v>5500</v>
      </c>
      <c r="S47" s="41">
        <f t="shared" si="1"/>
        <v>2543.2231404958675</v>
      </c>
    </row>
    <row r="48" spans="1:19">
      <c r="A48" s="5">
        <v>47</v>
      </c>
      <c r="B48" s="13">
        <v>2511021196</v>
      </c>
      <c r="C48" s="13" t="s">
        <v>2644</v>
      </c>
      <c r="D48" s="13" t="s">
        <v>745</v>
      </c>
      <c r="E48" s="13" t="s">
        <v>1512</v>
      </c>
      <c r="F48" s="13" t="s">
        <v>202</v>
      </c>
      <c r="G48" s="13" t="s">
        <v>75</v>
      </c>
      <c r="H48" s="13" t="s">
        <v>2625</v>
      </c>
      <c r="I48" s="13">
        <v>202501820</v>
      </c>
      <c r="J48" s="13"/>
      <c r="K48" s="14">
        <v>45963</v>
      </c>
      <c r="L48" s="14">
        <v>45967</v>
      </c>
      <c r="M48" s="118" t="s">
        <v>45</v>
      </c>
      <c r="N48" s="118" t="s">
        <v>46</v>
      </c>
      <c r="O48" s="118" t="s">
        <v>1603</v>
      </c>
      <c r="P48" s="35">
        <f t="shared" si="2"/>
        <v>4</v>
      </c>
      <c r="Q48" s="15">
        <v>2956.7768595041325</v>
      </c>
      <c r="R48" s="15">
        <v>4900</v>
      </c>
      <c r="S48" s="15">
        <f t="shared" si="1"/>
        <v>1943.2231404958675</v>
      </c>
    </row>
    <row r="49" spans="1:19">
      <c r="A49" s="5">
        <v>48</v>
      </c>
      <c r="B49" s="5">
        <v>2511021199</v>
      </c>
      <c r="C49" s="5" t="s">
        <v>2645</v>
      </c>
      <c r="D49" s="5" t="s">
        <v>153</v>
      </c>
      <c r="E49" s="5" t="s">
        <v>1931</v>
      </c>
      <c r="F49" s="5" t="s">
        <v>141</v>
      </c>
      <c r="G49" s="5" t="s">
        <v>52</v>
      </c>
      <c r="H49" s="5" t="s">
        <v>2625</v>
      </c>
      <c r="I49" s="5">
        <v>202501821</v>
      </c>
      <c r="J49" s="5"/>
      <c r="K49" s="6">
        <v>45963</v>
      </c>
      <c r="L49" s="6">
        <v>45967</v>
      </c>
      <c r="M49" s="42" t="s">
        <v>53</v>
      </c>
      <c r="N49" s="42" t="s">
        <v>54</v>
      </c>
      <c r="O49" s="42" t="s">
        <v>41</v>
      </c>
      <c r="P49" s="30">
        <f t="shared" si="2"/>
        <v>4</v>
      </c>
      <c r="Q49" s="41">
        <v>2956.7768595041325</v>
      </c>
      <c r="R49" s="41">
        <v>5500</v>
      </c>
      <c r="S49" s="41">
        <f t="shared" si="1"/>
        <v>2543.2231404958675</v>
      </c>
    </row>
    <row r="50" spans="1:19">
      <c r="A50" s="5">
        <v>49</v>
      </c>
      <c r="B50" s="5">
        <v>2511030108</v>
      </c>
      <c r="C50" s="5" t="s">
        <v>2646</v>
      </c>
      <c r="D50" s="5" t="s">
        <v>40</v>
      </c>
      <c r="E50" s="5" t="s">
        <v>41</v>
      </c>
      <c r="F50" s="5" t="s">
        <v>42</v>
      </c>
      <c r="G50" s="5" t="s">
        <v>43</v>
      </c>
      <c r="H50" s="5" t="s">
        <v>2625</v>
      </c>
      <c r="I50" s="5">
        <v>202501822</v>
      </c>
      <c r="J50" s="5"/>
      <c r="K50" s="6">
        <v>45964</v>
      </c>
      <c r="L50" s="6">
        <v>45967</v>
      </c>
      <c r="M50" s="42" t="s">
        <v>53</v>
      </c>
      <c r="N50" s="42" t="s">
        <v>54</v>
      </c>
      <c r="O50" s="42" t="s">
        <v>41</v>
      </c>
      <c r="P50" s="30">
        <f t="shared" si="2"/>
        <v>3</v>
      </c>
      <c r="Q50" s="41">
        <v>2956.7768595041325</v>
      </c>
      <c r="R50" s="41">
        <v>14500</v>
      </c>
      <c r="S50" s="41">
        <f t="shared" si="1"/>
        <v>11543.223140495867</v>
      </c>
    </row>
    <row r="51" spans="1:19">
      <c r="A51" s="5">
        <v>50</v>
      </c>
      <c r="B51" s="5">
        <v>2511032150</v>
      </c>
      <c r="C51" s="5" t="s">
        <v>2647</v>
      </c>
      <c r="D51" s="5" t="s">
        <v>810</v>
      </c>
      <c r="E51" s="5" t="s">
        <v>2648</v>
      </c>
      <c r="F51" s="5" t="s">
        <v>457</v>
      </c>
      <c r="G51" s="5" t="s">
        <v>43</v>
      </c>
      <c r="H51" s="5" t="s">
        <v>2625</v>
      </c>
      <c r="I51" s="5">
        <v>202501823</v>
      </c>
      <c r="J51" s="5"/>
      <c r="K51" s="6">
        <v>45964</v>
      </c>
      <c r="L51" s="6">
        <v>45967</v>
      </c>
      <c r="M51" s="42" t="s">
        <v>53</v>
      </c>
      <c r="N51" s="42" t="s">
        <v>54</v>
      </c>
      <c r="O51" s="42" t="s">
        <v>41</v>
      </c>
      <c r="P51" s="30">
        <f t="shared" si="2"/>
        <v>3</v>
      </c>
      <c r="Q51" s="41">
        <v>2956.7768595041325</v>
      </c>
      <c r="R51" s="41">
        <v>12500</v>
      </c>
      <c r="S51" s="41">
        <f t="shared" si="1"/>
        <v>9543.2231404958675</v>
      </c>
    </row>
    <row r="52" spans="1:19">
      <c r="A52" s="5">
        <v>51</v>
      </c>
      <c r="B52" s="5">
        <v>2511032164</v>
      </c>
      <c r="C52" s="5" t="s">
        <v>2649</v>
      </c>
      <c r="D52" s="5" t="s">
        <v>64</v>
      </c>
      <c r="E52" s="5" t="s">
        <v>1498</v>
      </c>
      <c r="F52" s="5" t="s">
        <v>66</v>
      </c>
      <c r="G52" s="5" t="s">
        <v>52</v>
      </c>
      <c r="H52" s="5" t="s">
        <v>2625</v>
      </c>
      <c r="I52" s="5">
        <v>202501824</v>
      </c>
      <c r="J52" s="5"/>
      <c r="K52" s="6">
        <v>45964</v>
      </c>
      <c r="L52" s="6">
        <v>45967</v>
      </c>
      <c r="M52" s="42" t="s">
        <v>53</v>
      </c>
      <c r="N52" s="42" t="s">
        <v>54</v>
      </c>
      <c r="O52" s="42" t="s">
        <v>41</v>
      </c>
      <c r="P52" s="30">
        <f t="shared" si="2"/>
        <v>3</v>
      </c>
      <c r="Q52" s="41">
        <v>2956.7768595041325</v>
      </c>
      <c r="R52" s="41">
        <v>5500</v>
      </c>
      <c r="S52" s="41">
        <f t="shared" si="1"/>
        <v>2543.2231404958675</v>
      </c>
    </row>
    <row r="53" spans="1:19">
      <c r="A53" s="5">
        <v>52</v>
      </c>
      <c r="B53" s="9">
        <v>2511032174</v>
      </c>
      <c r="C53" s="9" t="s">
        <v>2650</v>
      </c>
      <c r="D53" s="9" t="s">
        <v>64</v>
      </c>
      <c r="E53" s="9" t="s">
        <v>1498</v>
      </c>
      <c r="F53" s="9" t="s">
        <v>66</v>
      </c>
      <c r="G53" s="9" t="s">
        <v>52</v>
      </c>
      <c r="H53" s="9" t="s">
        <v>2625</v>
      </c>
      <c r="I53" s="9">
        <v>202501825</v>
      </c>
      <c r="J53" s="9"/>
      <c r="K53" s="10">
        <v>45964</v>
      </c>
      <c r="L53" s="10">
        <v>45967</v>
      </c>
      <c r="M53" s="54" t="s">
        <v>45</v>
      </c>
      <c r="N53" s="54" t="s">
        <v>94</v>
      </c>
      <c r="O53" s="54" t="s">
        <v>2604</v>
      </c>
      <c r="P53" s="32">
        <f t="shared" si="2"/>
        <v>3</v>
      </c>
      <c r="Q53" s="11">
        <v>2956.7768595041325</v>
      </c>
      <c r="R53" s="11">
        <v>5500</v>
      </c>
      <c r="S53" s="11">
        <f t="shared" si="1"/>
        <v>2543.2231404958675</v>
      </c>
    </row>
    <row r="54" spans="1:19">
      <c r="A54" s="5">
        <v>53</v>
      </c>
      <c r="B54" s="5">
        <v>2511032184</v>
      </c>
      <c r="C54" s="5" t="s">
        <v>2651</v>
      </c>
      <c r="D54" s="5" t="s">
        <v>804</v>
      </c>
      <c r="E54" s="5" t="s">
        <v>805</v>
      </c>
      <c r="F54" s="5" t="s">
        <v>457</v>
      </c>
      <c r="G54" s="5" t="s">
        <v>75</v>
      </c>
      <c r="H54" s="5" t="s">
        <v>2625</v>
      </c>
      <c r="I54" s="5">
        <v>202501826</v>
      </c>
      <c r="J54" s="5"/>
      <c r="K54" s="6">
        <v>45964</v>
      </c>
      <c r="L54" s="6">
        <v>45967</v>
      </c>
      <c r="M54" s="42" t="s">
        <v>53</v>
      </c>
      <c r="N54" s="42" t="s">
        <v>54</v>
      </c>
      <c r="O54" s="42" t="s">
        <v>41</v>
      </c>
      <c r="P54" s="30">
        <f t="shared" si="2"/>
        <v>3</v>
      </c>
      <c r="Q54" s="41">
        <v>2956.7768595041325</v>
      </c>
      <c r="R54" s="41">
        <v>4000</v>
      </c>
      <c r="S54" s="41">
        <f t="shared" si="1"/>
        <v>1043.2231404958675</v>
      </c>
    </row>
    <row r="55" spans="1:19">
      <c r="A55" s="5">
        <v>54</v>
      </c>
      <c r="B55" s="5">
        <v>2511032192</v>
      </c>
      <c r="C55" s="5" t="s">
        <v>2652</v>
      </c>
      <c r="D55" s="5" t="s">
        <v>103</v>
      </c>
      <c r="E55" s="5" t="s">
        <v>1447</v>
      </c>
      <c r="F55" s="5" t="s">
        <v>51</v>
      </c>
      <c r="G55" s="5" t="s">
        <v>52</v>
      </c>
      <c r="H55" s="5" t="s">
        <v>2625</v>
      </c>
      <c r="I55" s="5">
        <v>202501827</v>
      </c>
      <c r="J55" s="5"/>
      <c r="K55" s="6">
        <v>45964</v>
      </c>
      <c r="L55" s="6">
        <v>45967</v>
      </c>
      <c r="M55" s="42" t="s">
        <v>53</v>
      </c>
      <c r="N55" s="42" t="s">
        <v>54</v>
      </c>
      <c r="O55" s="42" t="s">
        <v>41</v>
      </c>
      <c r="P55" s="30">
        <f t="shared" si="2"/>
        <v>3</v>
      </c>
      <c r="Q55" s="41">
        <v>2956.7768595041325</v>
      </c>
      <c r="R55" s="41">
        <v>8000</v>
      </c>
      <c r="S55" s="41">
        <f t="shared" si="1"/>
        <v>5043.2231404958675</v>
      </c>
    </row>
    <row r="56" spans="1:19">
      <c r="A56" s="5">
        <v>55</v>
      </c>
      <c r="B56" s="5">
        <v>2511032200</v>
      </c>
      <c r="C56" s="5" t="s">
        <v>2653</v>
      </c>
      <c r="D56" s="5" t="s">
        <v>804</v>
      </c>
      <c r="E56" s="5" t="s">
        <v>805</v>
      </c>
      <c r="F56" s="5" t="s">
        <v>457</v>
      </c>
      <c r="G56" s="5" t="s">
        <v>75</v>
      </c>
      <c r="H56" s="5" t="s">
        <v>2625</v>
      </c>
      <c r="I56" s="5">
        <v>202501828</v>
      </c>
      <c r="J56" s="5"/>
      <c r="K56" s="6">
        <v>45964</v>
      </c>
      <c r="L56" s="6">
        <v>45967</v>
      </c>
      <c r="M56" s="42" t="s">
        <v>53</v>
      </c>
      <c r="N56" s="42" t="s">
        <v>54</v>
      </c>
      <c r="O56" s="42" t="s">
        <v>41</v>
      </c>
      <c r="P56" s="30">
        <f t="shared" si="2"/>
        <v>3</v>
      </c>
      <c r="Q56" s="41">
        <v>2956.7768595041325</v>
      </c>
      <c r="R56" s="41">
        <v>4000</v>
      </c>
      <c r="S56" s="41">
        <f t="shared" si="1"/>
        <v>1043.2231404958675</v>
      </c>
    </row>
    <row r="57" spans="1:19">
      <c r="A57" s="5">
        <v>56</v>
      </c>
      <c r="B57" s="5">
        <v>2511032207</v>
      </c>
      <c r="C57" s="5" t="s">
        <v>2654</v>
      </c>
      <c r="D57" s="5" t="s">
        <v>64</v>
      </c>
      <c r="E57" s="5" t="s">
        <v>1498</v>
      </c>
      <c r="F57" s="5" t="s">
        <v>66</v>
      </c>
      <c r="G57" s="5" t="s">
        <v>52</v>
      </c>
      <c r="H57" s="5" t="s">
        <v>2625</v>
      </c>
      <c r="I57" s="5">
        <v>202501829</v>
      </c>
      <c r="J57" s="5"/>
      <c r="K57" s="6">
        <v>45964</v>
      </c>
      <c r="L57" s="6">
        <v>45967</v>
      </c>
      <c r="M57" s="42" t="s">
        <v>53</v>
      </c>
      <c r="N57" s="42" t="s">
        <v>54</v>
      </c>
      <c r="O57" s="42" t="s">
        <v>41</v>
      </c>
      <c r="P57" s="30">
        <f t="shared" si="2"/>
        <v>3</v>
      </c>
      <c r="Q57" s="41">
        <v>2956.7768595041325</v>
      </c>
      <c r="R57" s="41">
        <v>5500</v>
      </c>
      <c r="S57" s="41">
        <f t="shared" si="1"/>
        <v>2543.2231404958675</v>
      </c>
    </row>
    <row r="58" spans="1:19">
      <c r="A58" s="5">
        <v>57</v>
      </c>
      <c r="B58" s="17">
        <v>2511032213</v>
      </c>
      <c r="C58" s="17" t="s">
        <v>2655</v>
      </c>
      <c r="D58" s="17" t="s">
        <v>64</v>
      </c>
      <c r="E58" s="17" t="s">
        <v>1498</v>
      </c>
      <c r="F58" s="17" t="s">
        <v>66</v>
      </c>
      <c r="G58" s="17" t="s">
        <v>52</v>
      </c>
      <c r="H58" s="17" t="s">
        <v>2625</v>
      </c>
      <c r="I58" s="17">
        <v>202501830</v>
      </c>
      <c r="J58" s="17"/>
      <c r="K58" s="18">
        <v>45964</v>
      </c>
      <c r="L58" s="18">
        <v>45967</v>
      </c>
      <c r="M58" s="46" t="s">
        <v>53</v>
      </c>
      <c r="N58" s="46" t="s">
        <v>480</v>
      </c>
      <c r="O58" s="46" t="s">
        <v>2656</v>
      </c>
      <c r="P58" s="31">
        <f t="shared" si="2"/>
        <v>3</v>
      </c>
      <c r="Q58" s="19">
        <v>2956.7768595041325</v>
      </c>
      <c r="R58" s="19">
        <v>5500</v>
      </c>
      <c r="S58" s="19">
        <f t="shared" si="1"/>
        <v>2543.2231404958675</v>
      </c>
    </row>
    <row r="59" spans="1:19">
      <c r="A59" s="5">
        <v>58</v>
      </c>
      <c r="B59" s="5">
        <v>2511032217</v>
      </c>
      <c r="C59" s="5" t="s">
        <v>2657</v>
      </c>
      <c r="D59" s="5" t="s">
        <v>64</v>
      </c>
      <c r="E59" s="5" t="s">
        <v>1498</v>
      </c>
      <c r="F59" s="5" t="s">
        <v>66</v>
      </c>
      <c r="G59" s="5" t="s">
        <v>52</v>
      </c>
      <c r="H59" s="5" t="s">
        <v>2625</v>
      </c>
      <c r="I59" s="5">
        <v>202501831</v>
      </c>
      <c r="J59" s="5"/>
      <c r="K59" s="6">
        <v>45964</v>
      </c>
      <c r="L59" s="6">
        <v>45967</v>
      </c>
      <c r="M59" s="42" t="s">
        <v>53</v>
      </c>
      <c r="N59" s="42" t="s">
        <v>54</v>
      </c>
      <c r="O59" s="42" t="s">
        <v>41</v>
      </c>
      <c r="P59" s="30">
        <f t="shared" si="2"/>
        <v>3</v>
      </c>
      <c r="Q59" s="41">
        <v>2956.7768595041325</v>
      </c>
      <c r="R59" s="41">
        <v>5500</v>
      </c>
      <c r="S59" s="41">
        <f t="shared" si="1"/>
        <v>2543.2231404958675</v>
      </c>
    </row>
    <row r="60" spans="1:19">
      <c r="A60" s="5">
        <v>59</v>
      </c>
      <c r="B60" s="5">
        <v>2511030610</v>
      </c>
      <c r="C60" s="5" t="s">
        <v>2658</v>
      </c>
      <c r="D60" s="5" t="s">
        <v>40</v>
      </c>
      <c r="E60" s="5" t="s">
        <v>41</v>
      </c>
      <c r="F60" s="5" t="s">
        <v>42</v>
      </c>
      <c r="G60" s="5" t="s">
        <v>75</v>
      </c>
      <c r="H60" s="5" t="s">
        <v>2625</v>
      </c>
      <c r="I60" s="5">
        <v>202501832</v>
      </c>
      <c r="J60" s="5"/>
      <c r="K60" s="6">
        <v>45964</v>
      </c>
      <c r="L60" s="6">
        <v>45967</v>
      </c>
      <c r="M60" s="42" t="s">
        <v>53</v>
      </c>
      <c r="N60" s="42" t="s">
        <v>54</v>
      </c>
      <c r="O60" s="42" t="s">
        <v>41</v>
      </c>
      <c r="P60" s="30">
        <f t="shared" si="2"/>
        <v>3</v>
      </c>
      <c r="Q60" s="41">
        <v>2956.7768595041325</v>
      </c>
      <c r="R60" s="41">
        <v>6500</v>
      </c>
      <c r="S60" s="41">
        <f t="shared" si="1"/>
        <v>3543.2231404958675</v>
      </c>
    </row>
    <row r="61" spans="1:19">
      <c r="A61" s="5">
        <v>60</v>
      </c>
      <c r="B61" s="5">
        <v>2511030611</v>
      </c>
      <c r="C61" s="5" t="s">
        <v>2659</v>
      </c>
      <c r="D61" s="5" t="s">
        <v>40</v>
      </c>
      <c r="E61" s="5" t="s">
        <v>41</v>
      </c>
      <c r="F61" s="5" t="s">
        <v>42</v>
      </c>
      <c r="G61" s="5" t="s">
        <v>190</v>
      </c>
      <c r="H61" s="5" t="s">
        <v>2625</v>
      </c>
      <c r="I61" s="5">
        <v>202501833</v>
      </c>
      <c r="J61" s="5"/>
      <c r="K61" s="6">
        <v>45964</v>
      </c>
      <c r="L61" s="6">
        <v>45967</v>
      </c>
      <c r="M61" s="42" t="s">
        <v>53</v>
      </c>
      <c r="N61" s="42" t="s">
        <v>54</v>
      </c>
      <c r="O61" s="42" t="s">
        <v>41</v>
      </c>
      <c r="P61" s="30">
        <f t="shared" si="2"/>
        <v>3</v>
      </c>
      <c r="Q61" s="41">
        <v>2956.7768595041325</v>
      </c>
      <c r="R61" s="41">
        <v>13500</v>
      </c>
      <c r="S61" s="41">
        <f t="shared" si="1"/>
        <v>10543.223140495867</v>
      </c>
    </row>
    <row r="62" spans="1:19">
      <c r="A62" s="5">
        <v>61</v>
      </c>
      <c r="B62" s="5">
        <v>2511030617</v>
      </c>
      <c r="C62" s="5" t="s">
        <v>2660</v>
      </c>
      <c r="D62" s="5" t="s">
        <v>40</v>
      </c>
      <c r="E62" s="5" t="s">
        <v>41</v>
      </c>
      <c r="F62" s="5" t="s">
        <v>42</v>
      </c>
      <c r="G62" s="5" t="s">
        <v>52</v>
      </c>
      <c r="H62" s="5" t="s">
        <v>2625</v>
      </c>
      <c r="I62" s="5">
        <v>202501834</v>
      </c>
      <c r="J62" s="5"/>
      <c r="K62" s="6">
        <v>45964</v>
      </c>
      <c r="L62" s="6">
        <v>45967</v>
      </c>
      <c r="M62" s="42" t="s">
        <v>53</v>
      </c>
      <c r="N62" s="42" t="s">
        <v>54</v>
      </c>
      <c r="O62" s="42" t="s">
        <v>41</v>
      </c>
      <c r="P62" s="30">
        <f t="shared" si="2"/>
        <v>3</v>
      </c>
      <c r="Q62" s="41">
        <v>2956.7768595041325</v>
      </c>
      <c r="R62" s="41">
        <v>9500</v>
      </c>
      <c r="S62" s="41">
        <f t="shared" si="1"/>
        <v>6543.2231404958675</v>
      </c>
    </row>
    <row r="63" spans="1:19">
      <c r="A63" s="5">
        <v>62</v>
      </c>
      <c r="B63" s="5">
        <v>2511030727</v>
      </c>
      <c r="C63" s="5" t="s">
        <v>2661</v>
      </c>
      <c r="D63" s="5" t="s">
        <v>40</v>
      </c>
      <c r="E63" s="5" t="s">
        <v>41</v>
      </c>
      <c r="F63" s="5" t="s">
        <v>42</v>
      </c>
      <c r="G63" s="5" t="s">
        <v>52</v>
      </c>
      <c r="H63" s="5" t="s">
        <v>2625</v>
      </c>
      <c r="I63" s="5">
        <v>202501835</v>
      </c>
      <c r="J63" s="5"/>
      <c r="K63" s="6">
        <v>45964</v>
      </c>
      <c r="L63" s="6">
        <v>45967</v>
      </c>
      <c r="M63" s="42" t="s">
        <v>53</v>
      </c>
      <c r="N63" s="42" t="s">
        <v>54</v>
      </c>
      <c r="O63" s="42" t="s">
        <v>41</v>
      </c>
      <c r="P63" s="30">
        <f t="shared" si="2"/>
        <v>3</v>
      </c>
      <c r="Q63" s="41">
        <v>2956.7768595041325</v>
      </c>
      <c r="R63" s="41">
        <v>9500</v>
      </c>
      <c r="S63" s="41">
        <f t="shared" si="1"/>
        <v>6543.2231404958675</v>
      </c>
    </row>
    <row r="64" spans="1:19">
      <c r="A64" s="5">
        <v>63</v>
      </c>
      <c r="B64" s="5">
        <v>2511032232</v>
      </c>
      <c r="C64" s="5" t="s">
        <v>2662</v>
      </c>
      <c r="D64" s="5" t="s">
        <v>599</v>
      </c>
      <c r="E64" s="5" t="s">
        <v>837</v>
      </c>
      <c r="F64" s="5" t="s">
        <v>169</v>
      </c>
      <c r="G64" s="5" t="s">
        <v>75</v>
      </c>
      <c r="H64" s="5" t="s">
        <v>2625</v>
      </c>
      <c r="I64" s="5">
        <v>202501836</v>
      </c>
      <c r="J64" s="5"/>
      <c r="K64" s="6">
        <v>45964</v>
      </c>
      <c r="L64" s="6">
        <v>45967</v>
      </c>
      <c r="M64" s="42" t="s">
        <v>53</v>
      </c>
      <c r="N64" s="42" t="s">
        <v>54</v>
      </c>
      <c r="O64" s="42" t="s">
        <v>41</v>
      </c>
      <c r="P64" s="30">
        <f t="shared" si="2"/>
        <v>3</v>
      </c>
      <c r="Q64" s="41">
        <v>2956.7768595041325</v>
      </c>
      <c r="R64" s="41">
        <v>5000</v>
      </c>
      <c r="S64" s="41">
        <f t="shared" si="1"/>
        <v>2043.2231404958675</v>
      </c>
    </row>
    <row r="65" spans="1:19">
      <c r="A65" s="5">
        <v>64</v>
      </c>
      <c r="B65" s="5" t="s">
        <v>1239</v>
      </c>
      <c r="C65" s="5"/>
      <c r="D65" s="5"/>
      <c r="E65" s="5"/>
      <c r="F65" s="5"/>
      <c r="G65" s="5" t="s">
        <v>52</v>
      </c>
      <c r="H65" s="5"/>
      <c r="I65" s="5"/>
      <c r="J65" s="5"/>
      <c r="K65" s="5"/>
      <c r="L65" s="5"/>
      <c r="M65" s="5"/>
      <c r="N65" s="5"/>
      <c r="O65" s="5"/>
      <c r="P65" s="5"/>
      <c r="Q65" s="41">
        <v>2956.7768595041325</v>
      </c>
      <c r="R65" s="41">
        <v>0</v>
      </c>
      <c r="S65" s="41">
        <f t="shared" si="1"/>
        <v>-2956.7768595041325</v>
      </c>
    </row>
    <row r="66" spans="1:19">
      <c r="A66" s="5">
        <v>65</v>
      </c>
      <c r="B66" s="5" t="s">
        <v>1240</v>
      </c>
      <c r="C66" s="5"/>
      <c r="D66" s="5"/>
      <c r="E66" s="5"/>
      <c r="F66" s="5"/>
      <c r="G66" s="5" t="s">
        <v>52</v>
      </c>
      <c r="H66" s="5"/>
      <c r="I66" s="5"/>
      <c r="J66" s="5"/>
      <c r="K66" s="5"/>
      <c r="L66" s="5"/>
      <c r="M66" s="5"/>
      <c r="N66" s="5"/>
      <c r="O66" s="5"/>
      <c r="P66" s="5"/>
      <c r="Q66" s="41">
        <v>2956.7768595041325</v>
      </c>
      <c r="R66" s="41">
        <v>0</v>
      </c>
      <c r="S66" s="41">
        <f t="shared" ref="S66:S129" si="3">R66-Q66</f>
        <v>-2956.7768595041325</v>
      </c>
    </row>
    <row r="67" spans="1:19">
      <c r="A67" s="5">
        <v>66</v>
      </c>
      <c r="B67" s="13">
        <v>2511032174</v>
      </c>
      <c r="C67" s="13" t="s">
        <v>2650</v>
      </c>
      <c r="D67" s="13" t="s">
        <v>64</v>
      </c>
      <c r="E67" s="13" t="s">
        <v>1498</v>
      </c>
      <c r="F67" s="13" t="s">
        <v>66</v>
      </c>
      <c r="G67" s="13" t="s">
        <v>52</v>
      </c>
      <c r="H67" s="13" t="s">
        <v>2663</v>
      </c>
      <c r="I67" s="13" t="s">
        <v>2664</v>
      </c>
      <c r="J67" s="13"/>
      <c r="K67" s="14">
        <v>45964</v>
      </c>
      <c r="L67" s="14">
        <v>45968</v>
      </c>
      <c r="M67" s="118" t="s">
        <v>45</v>
      </c>
      <c r="N67" s="118" t="s">
        <v>46</v>
      </c>
      <c r="O67" s="118" t="s">
        <v>2604</v>
      </c>
      <c r="P67" s="35">
        <f t="shared" ref="P67:P97" si="4">L67-K67</f>
        <v>4</v>
      </c>
      <c r="Q67" s="15">
        <v>2956.7768595041325</v>
      </c>
      <c r="R67" s="15">
        <v>0</v>
      </c>
      <c r="S67" s="15">
        <f t="shared" si="3"/>
        <v>-2956.7768595041325</v>
      </c>
    </row>
    <row r="68" spans="1:19">
      <c r="A68" s="5">
        <v>67</v>
      </c>
      <c r="B68" s="5">
        <v>2511032226</v>
      </c>
      <c r="C68" s="5" t="s">
        <v>2665</v>
      </c>
      <c r="D68" s="5" t="s">
        <v>964</v>
      </c>
      <c r="E68" s="5" t="s">
        <v>965</v>
      </c>
      <c r="F68" s="5" t="s">
        <v>109</v>
      </c>
      <c r="G68" s="5" t="s">
        <v>43</v>
      </c>
      <c r="H68" s="5" t="s">
        <v>2663</v>
      </c>
      <c r="I68" s="5">
        <v>202501837</v>
      </c>
      <c r="J68" s="5"/>
      <c r="K68" s="6">
        <v>45964</v>
      </c>
      <c r="L68" s="6">
        <v>45968</v>
      </c>
      <c r="M68" s="42" t="s">
        <v>53</v>
      </c>
      <c r="N68" s="42" t="s">
        <v>54</v>
      </c>
      <c r="O68" s="42" t="s">
        <v>41</v>
      </c>
      <c r="P68" s="30">
        <f t="shared" si="4"/>
        <v>4</v>
      </c>
      <c r="Q68" s="41">
        <v>2956.7768595041325</v>
      </c>
      <c r="R68" s="41">
        <v>11000</v>
      </c>
      <c r="S68" s="41">
        <f t="shared" si="3"/>
        <v>8043.2231404958675</v>
      </c>
    </row>
    <row r="69" spans="1:19">
      <c r="A69" s="5">
        <v>68</v>
      </c>
      <c r="B69" s="5">
        <v>2511032235</v>
      </c>
      <c r="C69" s="5" t="s">
        <v>2666</v>
      </c>
      <c r="D69" s="5" t="s">
        <v>599</v>
      </c>
      <c r="E69" s="5" t="s">
        <v>837</v>
      </c>
      <c r="F69" s="5" t="s">
        <v>169</v>
      </c>
      <c r="G69" s="5" t="s">
        <v>52</v>
      </c>
      <c r="H69" s="5" t="s">
        <v>2663</v>
      </c>
      <c r="I69" s="5">
        <v>202501838</v>
      </c>
      <c r="J69" s="5"/>
      <c r="K69" s="6">
        <v>45964</v>
      </c>
      <c r="L69" s="6">
        <v>45968</v>
      </c>
      <c r="M69" s="42" t="s">
        <v>53</v>
      </c>
      <c r="N69" s="42" t="s">
        <v>54</v>
      </c>
      <c r="O69" s="42" t="s">
        <v>41</v>
      </c>
      <c r="P69" s="30">
        <f t="shared" si="4"/>
        <v>4</v>
      </c>
      <c r="Q69" s="41">
        <v>2956.7768595041325</v>
      </c>
      <c r="R69" s="41">
        <v>7500</v>
      </c>
      <c r="S69" s="41">
        <f t="shared" si="3"/>
        <v>4543.2231404958675</v>
      </c>
    </row>
    <row r="70" spans="1:19">
      <c r="A70" s="5">
        <v>69</v>
      </c>
      <c r="B70" s="5">
        <v>2511032239</v>
      </c>
      <c r="C70" s="5" t="s">
        <v>2667</v>
      </c>
      <c r="D70" s="5" t="s">
        <v>405</v>
      </c>
      <c r="E70" s="5" t="s">
        <v>1519</v>
      </c>
      <c r="F70" s="5" t="s">
        <v>202</v>
      </c>
      <c r="G70" s="5" t="s">
        <v>52</v>
      </c>
      <c r="H70" s="5" t="s">
        <v>2663</v>
      </c>
      <c r="I70" s="5">
        <v>202501839</v>
      </c>
      <c r="J70" s="5"/>
      <c r="K70" s="6">
        <v>45964</v>
      </c>
      <c r="L70" s="6">
        <v>45968</v>
      </c>
      <c r="M70" s="42" t="s">
        <v>53</v>
      </c>
      <c r="N70" s="42" t="s">
        <v>54</v>
      </c>
      <c r="O70" s="42" t="s">
        <v>41</v>
      </c>
      <c r="P70" s="30">
        <f t="shared" si="4"/>
        <v>4</v>
      </c>
      <c r="Q70" s="41">
        <v>2956.7768595041325</v>
      </c>
      <c r="R70" s="41">
        <v>6450</v>
      </c>
      <c r="S70" s="41">
        <f t="shared" si="3"/>
        <v>3493.2231404958675</v>
      </c>
    </row>
    <row r="71" spans="1:19">
      <c r="A71" s="5">
        <v>70</v>
      </c>
      <c r="B71" s="5">
        <v>2511032242</v>
      </c>
      <c r="C71" s="5" t="s">
        <v>2668</v>
      </c>
      <c r="D71" s="5" t="s">
        <v>804</v>
      </c>
      <c r="E71" s="5" t="s">
        <v>805</v>
      </c>
      <c r="F71" s="5" t="s">
        <v>457</v>
      </c>
      <c r="G71" s="5" t="s">
        <v>75</v>
      </c>
      <c r="H71" s="5" t="s">
        <v>2663</v>
      </c>
      <c r="I71" s="5">
        <v>202501840</v>
      </c>
      <c r="J71" s="5"/>
      <c r="K71" s="6">
        <v>45964</v>
      </c>
      <c r="L71" s="6">
        <v>45968</v>
      </c>
      <c r="M71" s="42" t="s">
        <v>53</v>
      </c>
      <c r="N71" s="42" t="s">
        <v>54</v>
      </c>
      <c r="O71" s="42" t="s">
        <v>41</v>
      </c>
      <c r="P71" s="30">
        <f t="shared" si="4"/>
        <v>4</v>
      </c>
      <c r="Q71" s="41">
        <v>2956.7768595041325</v>
      </c>
      <c r="R71" s="41">
        <v>4000</v>
      </c>
      <c r="S71" s="41">
        <f t="shared" si="3"/>
        <v>1043.2231404958675</v>
      </c>
    </row>
    <row r="72" spans="1:19">
      <c r="A72" s="5">
        <v>71</v>
      </c>
      <c r="B72" s="9">
        <v>2511032244</v>
      </c>
      <c r="C72" s="9" t="s">
        <v>2669</v>
      </c>
      <c r="D72" s="9" t="s">
        <v>440</v>
      </c>
      <c r="E72" s="9" t="s">
        <v>441</v>
      </c>
      <c r="F72" s="9" t="s">
        <v>169</v>
      </c>
      <c r="G72" s="9" t="s">
        <v>52</v>
      </c>
      <c r="H72" s="9" t="s">
        <v>2663</v>
      </c>
      <c r="I72" s="9">
        <v>202501841</v>
      </c>
      <c r="J72" s="9"/>
      <c r="K72" s="10">
        <v>45964</v>
      </c>
      <c r="L72" s="10">
        <v>45968</v>
      </c>
      <c r="M72" s="54" t="s">
        <v>45</v>
      </c>
      <c r="N72" s="54" t="s">
        <v>94</v>
      </c>
      <c r="O72" s="54" t="s">
        <v>2604</v>
      </c>
      <c r="P72" s="32">
        <f t="shared" si="4"/>
        <v>4</v>
      </c>
      <c r="Q72" s="11">
        <v>2956.7768595041325</v>
      </c>
      <c r="R72" s="11">
        <v>5500</v>
      </c>
      <c r="S72" s="11">
        <f t="shared" si="3"/>
        <v>2543.2231404958675</v>
      </c>
    </row>
    <row r="73" spans="1:19">
      <c r="A73" s="5">
        <v>72</v>
      </c>
      <c r="B73" s="5">
        <v>2511043016</v>
      </c>
      <c r="C73" s="5" t="s">
        <v>2670</v>
      </c>
      <c r="D73" s="5" t="s">
        <v>550</v>
      </c>
      <c r="E73" s="5" t="s">
        <v>2156</v>
      </c>
      <c r="F73" s="5" t="s">
        <v>51</v>
      </c>
      <c r="G73" s="5" t="s">
        <v>52</v>
      </c>
      <c r="H73" s="5" t="s">
        <v>2663</v>
      </c>
      <c r="I73" s="5">
        <v>202501842</v>
      </c>
      <c r="J73" s="5"/>
      <c r="K73" s="6">
        <v>45965</v>
      </c>
      <c r="L73" s="6">
        <v>45968</v>
      </c>
      <c r="M73" s="42" t="s">
        <v>53</v>
      </c>
      <c r="N73" s="42" t="s">
        <v>54</v>
      </c>
      <c r="O73" s="42" t="s">
        <v>41</v>
      </c>
      <c r="P73" s="30">
        <f t="shared" si="4"/>
        <v>3</v>
      </c>
      <c r="Q73" s="41">
        <v>2956.7768595041325</v>
      </c>
      <c r="R73" s="41">
        <v>7000</v>
      </c>
      <c r="S73" s="41">
        <f t="shared" si="3"/>
        <v>4043.2231404958675</v>
      </c>
    </row>
    <row r="74" spans="1:19">
      <c r="A74" s="5">
        <v>73</v>
      </c>
      <c r="B74" s="5">
        <v>2511043037</v>
      </c>
      <c r="C74" s="5" t="s">
        <v>2671</v>
      </c>
      <c r="D74" s="5" t="s">
        <v>1765</v>
      </c>
      <c r="E74" s="5" t="s">
        <v>1766</v>
      </c>
      <c r="F74" s="5" t="s">
        <v>51</v>
      </c>
      <c r="G74" s="5" t="s">
        <v>190</v>
      </c>
      <c r="H74" s="5" t="s">
        <v>2663</v>
      </c>
      <c r="I74" s="5">
        <v>202501843</v>
      </c>
      <c r="J74" s="5"/>
      <c r="K74" s="6">
        <v>45965</v>
      </c>
      <c r="L74" s="6">
        <v>45968</v>
      </c>
      <c r="M74" s="42" t="s">
        <v>53</v>
      </c>
      <c r="N74" s="42" t="s">
        <v>54</v>
      </c>
      <c r="O74" s="42" t="s">
        <v>41</v>
      </c>
      <c r="P74" s="30">
        <f t="shared" si="4"/>
        <v>3</v>
      </c>
      <c r="Q74" s="41">
        <v>2956.7768595041325</v>
      </c>
      <c r="R74" s="41">
        <v>11000</v>
      </c>
      <c r="S74" s="41">
        <f t="shared" si="3"/>
        <v>8043.2231404958675</v>
      </c>
    </row>
    <row r="75" spans="1:19">
      <c r="A75" s="5">
        <v>74</v>
      </c>
      <c r="B75" s="5">
        <v>2511043044</v>
      </c>
      <c r="C75" s="5" t="s">
        <v>2672</v>
      </c>
      <c r="D75" s="5" t="s">
        <v>309</v>
      </c>
      <c r="E75" s="5" t="s">
        <v>1597</v>
      </c>
      <c r="F75" s="5" t="s">
        <v>51</v>
      </c>
      <c r="G75" s="5" t="s">
        <v>52</v>
      </c>
      <c r="H75" s="5" t="s">
        <v>2663</v>
      </c>
      <c r="I75" s="5">
        <v>202501844</v>
      </c>
      <c r="J75" s="5"/>
      <c r="K75" s="6">
        <v>45965</v>
      </c>
      <c r="L75" s="6">
        <v>45968</v>
      </c>
      <c r="M75" s="42" t="s">
        <v>53</v>
      </c>
      <c r="N75" s="42" t="s">
        <v>54</v>
      </c>
      <c r="O75" s="42" t="s">
        <v>41</v>
      </c>
      <c r="P75" s="30">
        <f t="shared" si="4"/>
        <v>3</v>
      </c>
      <c r="Q75" s="41">
        <v>2956.7768595041325</v>
      </c>
      <c r="R75" s="41">
        <v>5500</v>
      </c>
      <c r="S75" s="41">
        <f t="shared" si="3"/>
        <v>2543.2231404958675</v>
      </c>
    </row>
    <row r="76" spans="1:19">
      <c r="A76" s="5">
        <v>75</v>
      </c>
      <c r="B76" s="5">
        <v>2511043055</v>
      </c>
      <c r="C76" s="5" t="s">
        <v>2673</v>
      </c>
      <c r="D76" s="5" t="s">
        <v>309</v>
      </c>
      <c r="E76" s="5" t="s">
        <v>1597</v>
      </c>
      <c r="F76" s="5" t="s">
        <v>51</v>
      </c>
      <c r="G76" s="5" t="s">
        <v>52</v>
      </c>
      <c r="H76" s="5" t="s">
        <v>2663</v>
      </c>
      <c r="I76" s="5">
        <v>202501845</v>
      </c>
      <c r="J76" s="5"/>
      <c r="K76" s="6">
        <v>45965</v>
      </c>
      <c r="L76" s="6">
        <v>45968</v>
      </c>
      <c r="M76" s="42" t="s">
        <v>53</v>
      </c>
      <c r="N76" s="42" t="s">
        <v>54</v>
      </c>
      <c r="O76" s="42" t="s">
        <v>41</v>
      </c>
      <c r="P76" s="30">
        <f t="shared" si="4"/>
        <v>3</v>
      </c>
      <c r="Q76" s="41">
        <v>2956.7768595041325</v>
      </c>
      <c r="R76" s="41">
        <v>5500</v>
      </c>
      <c r="S76" s="41">
        <f t="shared" si="3"/>
        <v>2543.2231404958675</v>
      </c>
    </row>
    <row r="77" spans="1:19">
      <c r="A77" s="5">
        <v>76</v>
      </c>
      <c r="B77" s="5">
        <v>2511043068</v>
      </c>
      <c r="C77" s="5" t="s">
        <v>2674</v>
      </c>
      <c r="D77" s="5" t="s">
        <v>437</v>
      </c>
      <c r="E77" s="5" t="s">
        <v>1445</v>
      </c>
      <c r="F77" s="5" t="s">
        <v>71</v>
      </c>
      <c r="G77" s="5" t="s">
        <v>43</v>
      </c>
      <c r="H77" s="5" t="s">
        <v>2663</v>
      </c>
      <c r="I77" s="5">
        <v>202501846</v>
      </c>
      <c r="J77" s="5"/>
      <c r="K77" s="6">
        <v>45965</v>
      </c>
      <c r="L77" s="6">
        <v>45968</v>
      </c>
      <c r="M77" s="42" t="s">
        <v>53</v>
      </c>
      <c r="N77" s="42" t="s">
        <v>54</v>
      </c>
      <c r="O77" s="42" t="s">
        <v>41</v>
      </c>
      <c r="P77" s="30">
        <f t="shared" si="4"/>
        <v>3</v>
      </c>
      <c r="Q77" s="41">
        <v>2956.7768595041325</v>
      </c>
      <c r="R77" s="41">
        <v>13500</v>
      </c>
      <c r="S77" s="41">
        <f t="shared" si="3"/>
        <v>10543.223140495867</v>
      </c>
    </row>
    <row r="78" spans="1:19">
      <c r="A78" s="5">
        <v>77</v>
      </c>
      <c r="B78" s="5">
        <v>2511043089</v>
      </c>
      <c r="C78" s="5" t="s">
        <v>2675</v>
      </c>
      <c r="D78" s="5" t="s">
        <v>89</v>
      </c>
      <c r="E78" s="5" t="s">
        <v>2025</v>
      </c>
      <c r="F78" s="5" t="s">
        <v>79</v>
      </c>
      <c r="G78" s="5" t="s">
        <v>52</v>
      </c>
      <c r="H78" s="5" t="s">
        <v>2663</v>
      </c>
      <c r="I78" s="5">
        <v>202501847</v>
      </c>
      <c r="J78" s="5"/>
      <c r="K78" s="6">
        <v>45965</v>
      </c>
      <c r="L78" s="6">
        <v>45968</v>
      </c>
      <c r="M78" s="42" t="s">
        <v>53</v>
      </c>
      <c r="N78" s="42" t="s">
        <v>54</v>
      </c>
      <c r="O78" s="42" t="s">
        <v>41</v>
      </c>
      <c r="P78" s="30">
        <f t="shared" si="4"/>
        <v>3</v>
      </c>
      <c r="Q78" s="41">
        <v>2956.7768595041325</v>
      </c>
      <c r="R78" s="41">
        <v>5500</v>
      </c>
      <c r="S78" s="41">
        <f t="shared" si="3"/>
        <v>2543.2231404958675</v>
      </c>
    </row>
    <row r="79" spans="1:19">
      <c r="A79" s="5">
        <v>78</v>
      </c>
      <c r="B79" s="5">
        <v>2511040849</v>
      </c>
      <c r="C79" s="5" t="s">
        <v>2676</v>
      </c>
      <c r="D79" s="5" t="s">
        <v>40</v>
      </c>
      <c r="E79" s="5" t="s">
        <v>41</v>
      </c>
      <c r="F79" s="5" t="s">
        <v>42</v>
      </c>
      <c r="G79" s="5" t="s">
        <v>43</v>
      </c>
      <c r="H79" s="5" t="s">
        <v>2663</v>
      </c>
      <c r="I79" s="5">
        <v>202501848</v>
      </c>
      <c r="J79" s="5"/>
      <c r="K79" s="6">
        <v>45965</v>
      </c>
      <c r="L79" s="6">
        <v>45968</v>
      </c>
      <c r="M79" s="42" t="s">
        <v>53</v>
      </c>
      <c r="N79" s="42" t="s">
        <v>54</v>
      </c>
      <c r="O79" s="42" t="s">
        <v>41</v>
      </c>
      <c r="P79" s="30">
        <f t="shared" si="4"/>
        <v>3</v>
      </c>
      <c r="Q79" s="41">
        <v>2956.7768595041325</v>
      </c>
      <c r="R79" s="41">
        <v>14500</v>
      </c>
      <c r="S79" s="41">
        <f t="shared" si="3"/>
        <v>11543.223140495867</v>
      </c>
    </row>
    <row r="80" spans="1:19">
      <c r="A80" s="5">
        <v>79</v>
      </c>
      <c r="B80" s="13">
        <v>2511041246</v>
      </c>
      <c r="C80" s="13" t="s">
        <v>383</v>
      </c>
      <c r="D80" s="13" t="s">
        <v>40</v>
      </c>
      <c r="E80" s="13" t="s">
        <v>41</v>
      </c>
      <c r="F80" s="13" t="s">
        <v>42</v>
      </c>
      <c r="G80" s="13" t="s">
        <v>52</v>
      </c>
      <c r="H80" s="13" t="s">
        <v>2663</v>
      </c>
      <c r="I80" s="13">
        <v>202501849</v>
      </c>
      <c r="J80" s="13"/>
      <c r="K80" s="14">
        <v>45965</v>
      </c>
      <c r="L80" s="14">
        <v>45968</v>
      </c>
      <c r="M80" s="118" t="s">
        <v>45</v>
      </c>
      <c r="N80" s="118" t="s">
        <v>46</v>
      </c>
      <c r="O80" s="118" t="s">
        <v>1523</v>
      </c>
      <c r="P80" s="35">
        <f t="shared" si="4"/>
        <v>3</v>
      </c>
      <c r="Q80" s="15">
        <v>2956.7768595041325</v>
      </c>
      <c r="R80" s="15">
        <v>9500</v>
      </c>
      <c r="S80" s="15">
        <f t="shared" si="3"/>
        <v>6543.2231404958675</v>
      </c>
    </row>
    <row r="81" spans="1:19">
      <c r="A81" s="5">
        <v>80</v>
      </c>
      <c r="B81" s="5">
        <v>2511043098</v>
      </c>
      <c r="C81" s="5" t="s">
        <v>2677</v>
      </c>
      <c r="D81" s="5" t="s">
        <v>218</v>
      </c>
      <c r="E81" s="5" t="s">
        <v>219</v>
      </c>
      <c r="F81" s="5" t="s">
        <v>51</v>
      </c>
      <c r="G81" s="5" t="s">
        <v>52</v>
      </c>
      <c r="H81" s="5" t="s">
        <v>2663</v>
      </c>
      <c r="I81" s="5">
        <v>202501850</v>
      </c>
      <c r="J81" s="5"/>
      <c r="K81" s="6">
        <v>45965</v>
      </c>
      <c r="L81" s="6">
        <v>45968</v>
      </c>
      <c r="M81" s="42" t="s">
        <v>53</v>
      </c>
      <c r="N81" s="42" t="s">
        <v>54</v>
      </c>
      <c r="O81" s="42" t="s">
        <v>41</v>
      </c>
      <c r="P81" s="30">
        <f t="shared" si="4"/>
        <v>3</v>
      </c>
      <c r="Q81" s="41">
        <v>2956.7768595041325</v>
      </c>
      <c r="R81" s="41">
        <v>5500</v>
      </c>
      <c r="S81" s="41">
        <f t="shared" si="3"/>
        <v>2543.2231404958675</v>
      </c>
    </row>
    <row r="82" spans="1:19">
      <c r="A82" s="5">
        <v>81</v>
      </c>
      <c r="B82" s="5">
        <v>2511043109</v>
      </c>
      <c r="C82" s="5" t="s">
        <v>2678</v>
      </c>
      <c r="D82" s="5" t="s">
        <v>77</v>
      </c>
      <c r="E82" s="5" t="s">
        <v>1874</v>
      </c>
      <c r="F82" s="5" t="s">
        <v>79</v>
      </c>
      <c r="G82" s="5" t="s">
        <v>52</v>
      </c>
      <c r="H82" s="5" t="s">
        <v>2663</v>
      </c>
      <c r="I82" s="5">
        <v>202501851</v>
      </c>
      <c r="J82" s="5"/>
      <c r="K82" s="6">
        <v>45965</v>
      </c>
      <c r="L82" s="6">
        <v>45968</v>
      </c>
      <c r="M82" s="42" t="s">
        <v>53</v>
      </c>
      <c r="N82" s="42" t="s">
        <v>54</v>
      </c>
      <c r="O82" s="42" t="s">
        <v>41</v>
      </c>
      <c r="P82" s="30">
        <f t="shared" si="4"/>
        <v>3</v>
      </c>
      <c r="Q82" s="41">
        <v>2956.7768595041325</v>
      </c>
      <c r="R82" s="41">
        <v>5500</v>
      </c>
      <c r="S82" s="41">
        <f t="shared" si="3"/>
        <v>2543.2231404958675</v>
      </c>
    </row>
    <row r="83" spans="1:19">
      <c r="A83" s="5">
        <v>82</v>
      </c>
      <c r="B83" s="5">
        <v>2511043128</v>
      </c>
      <c r="C83" s="5" t="s">
        <v>2679</v>
      </c>
      <c r="D83" s="5" t="s">
        <v>1788</v>
      </c>
      <c r="E83" s="5" t="s">
        <v>2115</v>
      </c>
      <c r="F83" s="5" t="s">
        <v>51</v>
      </c>
      <c r="G83" s="5" t="s">
        <v>52</v>
      </c>
      <c r="H83" s="5" t="s">
        <v>2663</v>
      </c>
      <c r="I83" s="5">
        <v>202501852</v>
      </c>
      <c r="J83" s="5"/>
      <c r="K83" s="6">
        <v>45965</v>
      </c>
      <c r="L83" s="6">
        <v>45968</v>
      </c>
      <c r="M83" s="42" t="s">
        <v>53</v>
      </c>
      <c r="N83" s="42" t="s">
        <v>54</v>
      </c>
      <c r="O83" s="42" t="s">
        <v>41</v>
      </c>
      <c r="P83" s="30">
        <f t="shared" si="4"/>
        <v>3</v>
      </c>
      <c r="Q83" s="41">
        <v>2956.7768595041325</v>
      </c>
      <c r="R83" s="41">
        <v>8000</v>
      </c>
      <c r="S83" s="41">
        <f t="shared" si="3"/>
        <v>5043.2231404958675</v>
      </c>
    </row>
    <row r="84" spans="1:19">
      <c r="A84" s="5">
        <v>83</v>
      </c>
      <c r="B84" s="5">
        <v>2511043141</v>
      </c>
      <c r="C84" s="5" t="s">
        <v>2680</v>
      </c>
      <c r="D84" s="5" t="s">
        <v>2350</v>
      </c>
      <c r="E84" s="5" t="s">
        <v>2681</v>
      </c>
      <c r="F84" s="5" t="s">
        <v>66</v>
      </c>
      <c r="G84" s="5" t="s">
        <v>52</v>
      </c>
      <c r="H84" s="5" t="s">
        <v>2663</v>
      </c>
      <c r="I84" s="5">
        <v>202501853</v>
      </c>
      <c r="J84" s="5"/>
      <c r="K84" s="6">
        <v>45965</v>
      </c>
      <c r="L84" s="6">
        <v>45968</v>
      </c>
      <c r="M84" s="42" t="s">
        <v>53</v>
      </c>
      <c r="N84" s="42" t="s">
        <v>54</v>
      </c>
      <c r="O84" s="42" t="s">
        <v>41</v>
      </c>
      <c r="P84" s="30">
        <f t="shared" si="4"/>
        <v>3</v>
      </c>
      <c r="Q84" s="41">
        <v>2956.7768595041325</v>
      </c>
      <c r="R84" s="41">
        <v>5000</v>
      </c>
      <c r="S84" s="41">
        <f t="shared" si="3"/>
        <v>2043.2231404958675</v>
      </c>
    </row>
    <row r="85" spans="1:19">
      <c r="A85" s="5">
        <v>84</v>
      </c>
      <c r="B85" s="5">
        <v>2511043151</v>
      </c>
      <c r="C85" s="5" t="s">
        <v>2682</v>
      </c>
      <c r="D85" s="5" t="s">
        <v>393</v>
      </c>
      <c r="E85" s="5" t="s">
        <v>394</v>
      </c>
      <c r="F85" s="5" t="s">
        <v>202</v>
      </c>
      <c r="G85" s="5" t="s">
        <v>43</v>
      </c>
      <c r="H85" s="5" t="s">
        <v>2663</v>
      </c>
      <c r="I85" s="5">
        <v>202501854</v>
      </c>
      <c r="J85" s="5"/>
      <c r="K85" s="6">
        <v>45965</v>
      </c>
      <c r="L85" s="6">
        <v>45968</v>
      </c>
      <c r="M85" s="42" t="s">
        <v>53</v>
      </c>
      <c r="N85" s="42" t="s">
        <v>54</v>
      </c>
      <c r="O85" s="42" t="s">
        <v>41</v>
      </c>
      <c r="P85" s="30">
        <f t="shared" si="4"/>
        <v>3</v>
      </c>
      <c r="Q85" s="41">
        <v>2956.7768595041325</v>
      </c>
      <c r="R85" s="41">
        <v>13500</v>
      </c>
      <c r="S85" s="41">
        <f t="shared" si="3"/>
        <v>10543.223140495867</v>
      </c>
    </row>
    <row r="86" spans="1:19">
      <c r="A86" s="5">
        <v>85</v>
      </c>
      <c r="B86" s="5">
        <v>2511043160</v>
      </c>
      <c r="C86" s="5" t="s">
        <v>2683</v>
      </c>
      <c r="D86" s="5" t="s">
        <v>1168</v>
      </c>
      <c r="E86" s="5" t="s">
        <v>1169</v>
      </c>
      <c r="F86" s="5" t="s">
        <v>109</v>
      </c>
      <c r="G86" s="5" t="s">
        <v>52</v>
      </c>
      <c r="H86" s="5" t="s">
        <v>2663</v>
      </c>
      <c r="I86" s="5">
        <v>202501855</v>
      </c>
      <c r="J86" s="5"/>
      <c r="K86" s="6">
        <v>45965</v>
      </c>
      <c r="L86" s="6">
        <v>45968</v>
      </c>
      <c r="M86" s="42" t="s">
        <v>53</v>
      </c>
      <c r="N86" s="42" t="s">
        <v>54</v>
      </c>
      <c r="O86" s="42" t="s">
        <v>41</v>
      </c>
      <c r="P86" s="30">
        <f t="shared" si="4"/>
        <v>3</v>
      </c>
      <c r="Q86" s="41">
        <v>2956.7768595041325</v>
      </c>
      <c r="R86" s="41">
        <v>6000</v>
      </c>
      <c r="S86" s="41">
        <f t="shared" si="3"/>
        <v>3043.2231404958675</v>
      </c>
    </row>
    <row r="87" spans="1:19">
      <c r="A87" s="5">
        <v>86</v>
      </c>
      <c r="B87" s="5">
        <v>2511043167</v>
      </c>
      <c r="C87" s="5" t="s">
        <v>2684</v>
      </c>
      <c r="D87" s="5" t="s">
        <v>564</v>
      </c>
      <c r="E87" s="5" t="s">
        <v>2685</v>
      </c>
      <c r="F87" s="5" t="s">
        <v>71</v>
      </c>
      <c r="G87" s="5" t="s">
        <v>75</v>
      </c>
      <c r="H87" s="5" t="s">
        <v>2663</v>
      </c>
      <c r="I87" s="5">
        <v>202501856</v>
      </c>
      <c r="J87" s="5"/>
      <c r="K87" s="6">
        <v>45965</v>
      </c>
      <c r="L87" s="6">
        <v>45968</v>
      </c>
      <c r="M87" s="42" t="s">
        <v>53</v>
      </c>
      <c r="N87" s="42" t="s">
        <v>54</v>
      </c>
      <c r="O87" s="42" t="s">
        <v>41</v>
      </c>
      <c r="P87" s="30">
        <f t="shared" si="4"/>
        <v>3</v>
      </c>
      <c r="Q87" s="41">
        <v>2956.7768595041325</v>
      </c>
      <c r="R87" s="41">
        <v>6500</v>
      </c>
      <c r="S87" s="41">
        <f t="shared" si="3"/>
        <v>3543.2231404958675</v>
      </c>
    </row>
    <row r="88" spans="1:19">
      <c r="A88" s="5">
        <v>87</v>
      </c>
      <c r="B88" s="5">
        <v>2511043176</v>
      </c>
      <c r="C88" s="5" t="s">
        <v>2686</v>
      </c>
      <c r="D88" s="5" t="s">
        <v>2194</v>
      </c>
      <c r="E88" s="5" t="s">
        <v>2279</v>
      </c>
      <c r="F88" s="5" t="s">
        <v>66</v>
      </c>
      <c r="G88" s="5" t="s">
        <v>75</v>
      </c>
      <c r="H88" s="5" t="s">
        <v>2663</v>
      </c>
      <c r="I88" s="5">
        <v>202501857</v>
      </c>
      <c r="J88" s="5"/>
      <c r="K88" s="6">
        <v>45965</v>
      </c>
      <c r="L88" s="6">
        <v>45968</v>
      </c>
      <c r="M88" s="42" t="s">
        <v>53</v>
      </c>
      <c r="N88" s="42" t="s">
        <v>54</v>
      </c>
      <c r="O88" s="42" t="s">
        <v>41</v>
      </c>
      <c r="P88" s="30">
        <f t="shared" si="4"/>
        <v>3</v>
      </c>
      <c r="Q88" s="41">
        <v>2956.7768595041325</v>
      </c>
      <c r="R88" s="41">
        <v>2500</v>
      </c>
      <c r="S88" s="41">
        <f t="shared" si="3"/>
        <v>-456.77685950413252</v>
      </c>
    </row>
    <row r="89" spans="1:19">
      <c r="A89" s="5">
        <v>88</v>
      </c>
      <c r="B89" s="5">
        <v>2511043184</v>
      </c>
      <c r="C89" s="5" t="s">
        <v>2687</v>
      </c>
      <c r="D89" s="5" t="s">
        <v>2194</v>
      </c>
      <c r="E89" s="5" t="s">
        <v>2279</v>
      </c>
      <c r="F89" s="5" t="s">
        <v>66</v>
      </c>
      <c r="G89" s="5" t="s">
        <v>75</v>
      </c>
      <c r="H89" s="5" t="s">
        <v>2663</v>
      </c>
      <c r="I89" s="5">
        <v>202501858</v>
      </c>
      <c r="J89" s="5"/>
      <c r="K89" s="6">
        <v>45965</v>
      </c>
      <c r="L89" s="6">
        <v>45968</v>
      </c>
      <c r="M89" s="42" t="s">
        <v>53</v>
      </c>
      <c r="N89" s="42" t="s">
        <v>54</v>
      </c>
      <c r="O89" s="42" t="s">
        <v>41</v>
      </c>
      <c r="P89" s="30">
        <f t="shared" si="4"/>
        <v>3</v>
      </c>
      <c r="Q89" s="41">
        <v>2956.7768595041325</v>
      </c>
      <c r="R89" s="41">
        <v>2500</v>
      </c>
      <c r="S89" s="41">
        <f t="shared" si="3"/>
        <v>-456.77685950413252</v>
      </c>
    </row>
    <row r="90" spans="1:19">
      <c r="A90" s="5">
        <v>89</v>
      </c>
      <c r="B90" s="9">
        <v>2511043189</v>
      </c>
      <c r="C90" s="9" t="s">
        <v>2688</v>
      </c>
      <c r="D90" s="9" t="s">
        <v>2194</v>
      </c>
      <c r="E90" s="9" t="s">
        <v>2279</v>
      </c>
      <c r="F90" s="9" t="s">
        <v>66</v>
      </c>
      <c r="G90" s="9" t="s">
        <v>75</v>
      </c>
      <c r="H90" s="9" t="s">
        <v>2663</v>
      </c>
      <c r="I90" s="9">
        <v>202501859</v>
      </c>
      <c r="J90" s="9"/>
      <c r="K90" s="10">
        <v>45965</v>
      </c>
      <c r="L90" s="10">
        <v>45968</v>
      </c>
      <c r="M90" s="54" t="s">
        <v>45</v>
      </c>
      <c r="N90" s="54" t="s">
        <v>94</v>
      </c>
      <c r="O90" s="54" t="s">
        <v>2689</v>
      </c>
      <c r="P90" s="32">
        <f t="shared" si="4"/>
        <v>3</v>
      </c>
      <c r="Q90" s="11">
        <v>2956.7768595041325</v>
      </c>
      <c r="R90" s="11">
        <v>2500</v>
      </c>
      <c r="S90" s="11">
        <f t="shared" si="3"/>
        <v>-456.77685950413252</v>
      </c>
    </row>
    <row r="91" spans="1:19">
      <c r="A91" s="5">
        <v>90</v>
      </c>
      <c r="B91" s="9">
        <v>2511043196</v>
      </c>
      <c r="C91" s="9" t="s">
        <v>2690</v>
      </c>
      <c r="D91" s="9" t="s">
        <v>2194</v>
      </c>
      <c r="E91" s="9" t="s">
        <v>2279</v>
      </c>
      <c r="F91" s="9" t="s">
        <v>66</v>
      </c>
      <c r="G91" s="9" t="s">
        <v>75</v>
      </c>
      <c r="H91" s="9" t="s">
        <v>2663</v>
      </c>
      <c r="I91" s="9">
        <v>202501860</v>
      </c>
      <c r="J91" s="9"/>
      <c r="K91" s="10">
        <v>45965</v>
      </c>
      <c r="L91" s="10">
        <v>45968</v>
      </c>
      <c r="M91" s="54" t="s">
        <v>45</v>
      </c>
      <c r="N91" s="54" t="s">
        <v>94</v>
      </c>
      <c r="O91" s="54" t="s">
        <v>2689</v>
      </c>
      <c r="P91" s="32">
        <f t="shared" si="4"/>
        <v>3</v>
      </c>
      <c r="Q91" s="11">
        <v>2956.7768595041325</v>
      </c>
      <c r="R91" s="11">
        <v>2500</v>
      </c>
      <c r="S91" s="11">
        <f t="shared" si="3"/>
        <v>-456.77685950413252</v>
      </c>
    </row>
    <row r="92" spans="1:19">
      <c r="A92" s="5">
        <v>91</v>
      </c>
      <c r="B92" s="5">
        <v>2511043202</v>
      </c>
      <c r="C92" s="5" t="s">
        <v>2691</v>
      </c>
      <c r="D92" s="5" t="s">
        <v>2194</v>
      </c>
      <c r="E92" s="5" t="s">
        <v>2279</v>
      </c>
      <c r="F92" s="5" t="s">
        <v>66</v>
      </c>
      <c r="G92" s="5" t="s">
        <v>75</v>
      </c>
      <c r="H92" s="5" t="s">
        <v>2663</v>
      </c>
      <c r="I92" s="5">
        <v>202501861</v>
      </c>
      <c r="J92" s="5"/>
      <c r="K92" s="6">
        <v>45965</v>
      </c>
      <c r="L92" s="6">
        <v>45968</v>
      </c>
      <c r="M92" s="42" t="s">
        <v>53</v>
      </c>
      <c r="N92" s="42" t="s">
        <v>54</v>
      </c>
      <c r="O92" s="42" t="s">
        <v>41</v>
      </c>
      <c r="P92" s="30">
        <f t="shared" si="4"/>
        <v>3</v>
      </c>
      <c r="Q92" s="41">
        <v>2956.7768595041325</v>
      </c>
      <c r="R92" s="41">
        <v>2500</v>
      </c>
      <c r="S92" s="41">
        <f t="shared" si="3"/>
        <v>-456.77685950413252</v>
      </c>
    </row>
    <row r="93" spans="1:19">
      <c r="A93" s="5">
        <v>92</v>
      </c>
      <c r="B93" s="9">
        <v>2511043205</v>
      </c>
      <c r="C93" s="9" t="s">
        <v>2692</v>
      </c>
      <c r="D93" s="9" t="s">
        <v>354</v>
      </c>
      <c r="E93" s="9" t="s">
        <v>2693</v>
      </c>
      <c r="F93" s="9" t="s">
        <v>141</v>
      </c>
      <c r="G93" s="9" t="s">
        <v>75</v>
      </c>
      <c r="H93" s="9" t="s">
        <v>2663</v>
      </c>
      <c r="I93" s="9">
        <v>202501862</v>
      </c>
      <c r="J93" s="9"/>
      <c r="K93" s="10">
        <v>45965</v>
      </c>
      <c r="L93" s="10">
        <v>45968</v>
      </c>
      <c r="M93" s="54" t="s">
        <v>45</v>
      </c>
      <c r="N93" s="54" t="s">
        <v>94</v>
      </c>
      <c r="O93" s="54" t="s">
        <v>1844</v>
      </c>
      <c r="P93" s="32">
        <f t="shared" si="4"/>
        <v>3</v>
      </c>
      <c r="Q93" s="11">
        <v>2956.7768595041325</v>
      </c>
      <c r="R93" s="11">
        <v>4900</v>
      </c>
      <c r="S93" s="11">
        <f t="shared" si="3"/>
        <v>1943.2231404958675</v>
      </c>
    </row>
    <row r="94" spans="1:19">
      <c r="A94" s="5">
        <v>93</v>
      </c>
      <c r="B94" s="5">
        <v>2511043209</v>
      </c>
      <c r="C94" s="5" t="s">
        <v>2694</v>
      </c>
      <c r="D94" s="5" t="s">
        <v>599</v>
      </c>
      <c r="E94" s="5" t="s">
        <v>837</v>
      </c>
      <c r="F94" s="5" t="s">
        <v>169</v>
      </c>
      <c r="G94" s="5" t="s">
        <v>52</v>
      </c>
      <c r="H94" s="5" t="s">
        <v>2663</v>
      </c>
      <c r="I94" s="5">
        <v>202501863</v>
      </c>
      <c r="J94" s="5"/>
      <c r="K94" s="6">
        <v>45965</v>
      </c>
      <c r="L94" s="6">
        <v>45968</v>
      </c>
      <c r="M94" s="42" t="s">
        <v>53</v>
      </c>
      <c r="N94" s="42" t="s">
        <v>54</v>
      </c>
      <c r="O94" s="42" t="s">
        <v>41</v>
      </c>
      <c r="P94" s="30">
        <f t="shared" si="4"/>
        <v>3</v>
      </c>
      <c r="Q94" s="41">
        <v>2956.7768595041325</v>
      </c>
      <c r="R94" s="41">
        <v>7500</v>
      </c>
      <c r="S94" s="41">
        <f t="shared" si="3"/>
        <v>4543.2231404958675</v>
      </c>
    </row>
    <row r="95" spans="1:19">
      <c r="A95" s="5">
        <v>94</v>
      </c>
      <c r="B95" s="17" t="s">
        <v>2695</v>
      </c>
      <c r="C95" s="17" t="s">
        <v>2696</v>
      </c>
      <c r="D95" s="17" t="s">
        <v>2697</v>
      </c>
      <c r="E95" s="17" t="s">
        <v>41</v>
      </c>
      <c r="F95" s="17" t="s">
        <v>41</v>
      </c>
      <c r="G95" s="17" t="s">
        <v>52</v>
      </c>
      <c r="H95" s="17" t="s">
        <v>2663</v>
      </c>
      <c r="I95" s="17">
        <v>202501864</v>
      </c>
      <c r="J95" s="17"/>
      <c r="K95" s="18">
        <v>45962</v>
      </c>
      <c r="L95" s="18">
        <v>45968</v>
      </c>
      <c r="M95" s="46" t="s">
        <v>53</v>
      </c>
      <c r="N95" s="46" t="s">
        <v>480</v>
      </c>
      <c r="O95" s="46" t="s">
        <v>627</v>
      </c>
      <c r="P95" s="31">
        <f t="shared" si="4"/>
        <v>6</v>
      </c>
      <c r="Q95" s="19">
        <v>2956.7768595041325</v>
      </c>
      <c r="R95" s="19">
        <v>0</v>
      </c>
      <c r="S95" s="19">
        <f t="shared" si="3"/>
        <v>-2956.7768595041325</v>
      </c>
    </row>
    <row r="96" spans="1:19">
      <c r="A96" s="5">
        <v>95</v>
      </c>
      <c r="B96" s="17" t="s">
        <v>2698</v>
      </c>
      <c r="C96" s="17" t="s">
        <v>2699</v>
      </c>
      <c r="D96" s="17" t="s">
        <v>2697</v>
      </c>
      <c r="E96" s="17" t="s">
        <v>41</v>
      </c>
      <c r="F96" s="17" t="s">
        <v>41</v>
      </c>
      <c r="G96" s="17" t="s">
        <v>52</v>
      </c>
      <c r="H96" s="17" t="s">
        <v>2663</v>
      </c>
      <c r="I96" s="17">
        <v>202501865</v>
      </c>
      <c r="J96" s="17"/>
      <c r="K96" s="18">
        <v>45962</v>
      </c>
      <c r="L96" s="18">
        <v>45968</v>
      </c>
      <c r="M96" s="46" t="s">
        <v>53</v>
      </c>
      <c r="N96" s="46" t="s">
        <v>480</v>
      </c>
      <c r="O96" s="46" t="s">
        <v>1332</v>
      </c>
      <c r="P96" s="31">
        <f t="shared" si="4"/>
        <v>6</v>
      </c>
      <c r="Q96" s="19">
        <v>2956.7768595041325</v>
      </c>
      <c r="R96" s="19">
        <v>0</v>
      </c>
      <c r="S96" s="19">
        <f t="shared" si="3"/>
        <v>-2956.7768595041325</v>
      </c>
    </row>
    <row r="97" spans="1:19">
      <c r="A97" s="5">
        <v>96</v>
      </c>
      <c r="B97" s="5" t="s">
        <v>2700</v>
      </c>
      <c r="C97" s="5" t="s">
        <v>2701</v>
      </c>
      <c r="D97" s="5" t="s">
        <v>2697</v>
      </c>
      <c r="E97" s="5" t="s">
        <v>41</v>
      </c>
      <c r="F97" s="5" t="s">
        <v>41</v>
      </c>
      <c r="G97" s="5" t="s">
        <v>52</v>
      </c>
      <c r="H97" s="5" t="s">
        <v>2663</v>
      </c>
      <c r="I97" s="5">
        <v>202501866</v>
      </c>
      <c r="J97" s="5"/>
      <c r="K97" s="6">
        <v>45962</v>
      </c>
      <c r="L97" s="6">
        <v>45968</v>
      </c>
      <c r="M97" s="42" t="s">
        <v>53</v>
      </c>
      <c r="N97" s="42" t="s">
        <v>54</v>
      </c>
      <c r="O97" s="42" t="s">
        <v>41</v>
      </c>
      <c r="P97" s="30">
        <f t="shared" si="4"/>
        <v>6</v>
      </c>
      <c r="Q97" s="41">
        <v>2956.7768595041325</v>
      </c>
      <c r="R97" s="41">
        <v>0</v>
      </c>
      <c r="S97" s="41">
        <f t="shared" si="3"/>
        <v>-2956.7768595041325</v>
      </c>
    </row>
    <row r="98" spans="1:19">
      <c r="A98" s="5">
        <v>97</v>
      </c>
      <c r="B98" s="5" t="s">
        <v>1239</v>
      </c>
      <c r="C98" s="5"/>
      <c r="D98" s="5"/>
      <c r="E98" s="5"/>
      <c r="F98" s="5"/>
      <c r="G98" s="5" t="s">
        <v>52</v>
      </c>
      <c r="H98" s="5"/>
      <c r="I98" s="5"/>
      <c r="J98" s="5"/>
      <c r="K98" s="5"/>
      <c r="L98" s="5"/>
      <c r="M98" s="5"/>
      <c r="N98" s="5"/>
      <c r="O98" s="5"/>
      <c r="P98" s="5"/>
      <c r="Q98" s="8">
        <v>2956.7768595041325</v>
      </c>
      <c r="R98" s="7">
        <v>0</v>
      </c>
      <c r="S98" s="41">
        <f t="shared" si="3"/>
        <v>-2956.7768595041325</v>
      </c>
    </row>
    <row r="99" spans="1:19">
      <c r="A99" s="5">
        <v>98</v>
      </c>
      <c r="B99" s="5" t="s">
        <v>1240</v>
      </c>
      <c r="C99" s="5"/>
      <c r="D99" s="5"/>
      <c r="E99" s="5"/>
      <c r="F99" s="5"/>
      <c r="G99" s="5" t="s">
        <v>52</v>
      </c>
      <c r="H99" s="5"/>
      <c r="I99" s="5"/>
      <c r="J99" s="5"/>
      <c r="K99" s="5"/>
      <c r="L99" s="5"/>
      <c r="M99" s="5"/>
      <c r="N99" s="5"/>
      <c r="O99" s="5"/>
      <c r="P99" s="5"/>
      <c r="Q99" s="8">
        <v>2956.7768595041325</v>
      </c>
      <c r="R99" s="41">
        <v>0</v>
      </c>
      <c r="S99" s="41">
        <f t="shared" si="3"/>
        <v>-2956.7768595041325</v>
      </c>
    </row>
    <row r="100" spans="1:19">
      <c r="A100" s="5">
        <v>99</v>
      </c>
      <c r="B100" s="22">
        <v>2510241991</v>
      </c>
      <c r="C100" s="22" t="s">
        <v>2534</v>
      </c>
      <c r="D100" s="22" t="s">
        <v>2535</v>
      </c>
      <c r="E100" s="22" t="s">
        <v>2536</v>
      </c>
      <c r="F100" s="22" t="s">
        <v>87</v>
      </c>
      <c r="G100" s="22" t="s">
        <v>52</v>
      </c>
      <c r="H100" s="22" t="s">
        <v>2702</v>
      </c>
      <c r="I100" s="22" t="s">
        <v>2703</v>
      </c>
      <c r="J100" s="22"/>
      <c r="K100" s="23">
        <v>45967</v>
      </c>
      <c r="L100" s="23">
        <v>45972</v>
      </c>
      <c r="M100" s="50" t="s">
        <v>53</v>
      </c>
      <c r="N100" s="50" t="s">
        <v>54</v>
      </c>
      <c r="O100" s="50" t="s">
        <v>41</v>
      </c>
      <c r="P100" s="34">
        <f t="shared" ref="P100:P127" si="5">L100-K100</f>
        <v>5</v>
      </c>
      <c r="Q100" s="24">
        <v>3211.4545454545455</v>
      </c>
      <c r="R100" s="24">
        <v>0</v>
      </c>
      <c r="S100" s="24">
        <f t="shared" si="3"/>
        <v>-3211.4545454545455</v>
      </c>
    </row>
    <row r="101" spans="1:19">
      <c r="A101" s="5">
        <v>100</v>
      </c>
      <c r="B101" s="22">
        <v>2511032244</v>
      </c>
      <c r="C101" s="22" t="s">
        <v>2669</v>
      </c>
      <c r="D101" s="22" t="s">
        <v>440</v>
      </c>
      <c r="E101" s="22" t="s">
        <v>441</v>
      </c>
      <c r="F101" s="22" t="s">
        <v>169</v>
      </c>
      <c r="G101" s="22" t="s">
        <v>52</v>
      </c>
      <c r="H101" s="22" t="s">
        <v>2702</v>
      </c>
      <c r="I101" s="22" t="s">
        <v>2704</v>
      </c>
      <c r="J101" s="22"/>
      <c r="K101" s="23">
        <v>45964</v>
      </c>
      <c r="L101" s="23">
        <v>45972</v>
      </c>
      <c r="M101" s="50" t="s">
        <v>53</v>
      </c>
      <c r="N101" s="50" t="s">
        <v>54</v>
      </c>
      <c r="O101" s="50" t="s">
        <v>41</v>
      </c>
      <c r="P101" s="34">
        <f t="shared" si="5"/>
        <v>8</v>
      </c>
      <c r="Q101" s="24">
        <v>3211.4545454545455</v>
      </c>
      <c r="R101" s="24">
        <v>0</v>
      </c>
      <c r="S101" s="24">
        <f t="shared" si="3"/>
        <v>-3211.4545454545455</v>
      </c>
    </row>
    <row r="102" spans="1:19">
      <c r="A102" s="5">
        <v>101</v>
      </c>
      <c r="B102" s="22">
        <v>2511043189</v>
      </c>
      <c r="C102" s="22" t="s">
        <v>2688</v>
      </c>
      <c r="D102" s="22" t="s">
        <v>2194</v>
      </c>
      <c r="E102" s="22" t="s">
        <v>2279</v>
      </c>
      <c r="F102" s="22" t="s">
        <v>66</v>
      </c>
      <c r="G102" s="22" t="s">
        <v>75</v>
      </c>
      <c r="H102" s="22" t="s">
        <v>2702</v>
      </c>
      <c r="I102" s="22" t="s">
        <v>2705</v>
      </c>
      <c r="J102" s="22"/>
      <c r="K102" s="23">
        <v>45965</v>
      </c>
      <c r="L102" s="23">
        <v>45972</v>
      </c>
      <c r="M102" s="50" t="s">
        <v>53</v>
      </c>
      <c r="N102" s="50" t="s">
        <v>54</v>
      </c>
      <c r="O102" s="50" t="s">
        <v>41</v>
      </c>
      <c r="P102" s="34">
        <f t="shared" si="5"/>
        <v>7</v>
      </c>
      <c r="Q102" s="24">
        <v>3211.4545454545455</v>
      </c>
      <c r="R102" s="24">
        <v>0</v>
      </c>
      <c r="S102" s="24">
        <f t="shared" si="3"/>
        <v>-3211.4545454545455</v>
      </c>
    </row>
    <row r="103" spans="1:19">
      <c r="A103" s="5">
        <v>102</v>
      </c>
      <c r="B103" s="22">
        <v>2511043196</v>
      </c>
      <c r="C103" s="22" t="s">
        <v>2690</v>
      </c>
      <c r="D103" s="22" t="s">
        <v>2194</v>
      </c>
      <c r="E103" s="22" t="s">
        <v>2279</v>
      </c>
      <c r="F103" s="22" t="s">
        <v>66</v>
      </c>
      <c r="G103" s="22" t="s">
        <v>75</v>
      </c>
      <c r="H103" s="22" t="s">
        <v>2702</v>
      </c>
      <c r="I103" s="22" t="s">
        <v>2706</v>
      </c>
      <c r="J103" s="22"/>
      <c r="K103" s="23">
        <v>45965</v>
      </c>
      <c r="L103" s="23">
        <v>45972</v>
      </c>
      <c r="M103" s="50" t="s">
        <v>53</v>
      </c>
      <c r="N103" s="50" t="s">
        <v>54</v>
      </c>
      <c r="O103" s="50" t="s">
        <v>41</v>
      </c>
      <c r="P103" s="34">
        <f t="shared" si="5"/>
        <v>7</v>
      </c>
      <c r="Q103" s="24">
        <v>3211.4545454545455</v>
      </c>
      <c r="R103" s="24">
        <v>0</v>
      </c>
      <c r="S103" s="24">
        <f t="shared" si="3"/>
        <v>-3211.4545454545455</v>
      </c>
    </row>
    <row r="104" spans="1:19">
      <c r="A104" s="5">
        <v>103</v>
      </c>
      <c r="B104" s="13">
        <v>2511043205</v>
      </c>
      <c r="C104" s="13" t="s">
        <v>2692</v>
      </c>
      <c r="D104" s="13" t="s">
        <v>354</v>
      </c>
      <c r="E104" s="13" t="s">
        <v>2693</v>
      </c>
      <c r="F104" s="13" t="s">
        <v>141</v>
      </c>
      <c r="G104" s="13" t="s">
        <v>75</v>
      </c>
      <c r="H104" s="13" t="s">
        <v>2702</v>
      </c>
      <c r="I104" s="13" t="s">
        <v>2707</v>
      </c>
      <c r="J104" s="13"/>
      <c r="K104" s="14">
        <v>45965</v>
      </c>
      <c r="L104" s="14">
        <v>45972</v>
      </c>
      <c r="M104" s="118" t="s">
        <v>45</v>
      </c>
      <c r="N104" s="118" t="s">
        <v>46</v>
      </c>
      <c r="O104" s="118" t="s">
        <v>1844</v>
      </c>
      <c r="P104" s="35">
        <f t="shared" si="5"/>
        <v>7</v>
      </c>
      <c r="Q104" s="15">
        <v>3211.4545454545455</v>
      </c>
      <c r="R104" s="15">
        <v>0</v>
      </c>
      <c r="S104" s="15">
        <f t="shared" si="3"/>
        <v>-3211.4545454545455</v>
      </c>
    </row>
    <row r="105" spans="1:19">
      <c r="A105" s="5">
        <v>104</v>
      </c>
      <c r="B105" s="5">
        <v>2511050774</v>
      </c>
      <c r="C105" s="5" t="s">
        <v>2708</v>
      </c>
      <c r="D105" s="5" t="s">
        <v>804</v>
      </c>
      <c r="E105" s="5" t="s">
        <v>2186</v>
      </c>
      <c r="F105" s="5" t="s">
        <v>457</v>
      </c>
      <c r="G105" s="5" t="s">
        <v>75</v>
      </c>
      <c r="H105" s="5" t="s">
        <v>2702</v>
      </c>
      <c r="I105" s="5">
        <v>202501867</v>
      </c>
      <c r="J105" s="5"/>
      <c r="K105" s="6">
        <v>45966</v>
      </c>
      <c r="L105" s="6">
        <v>45972</v>
      </c>
      <c r="M105" s="42" t="s">
        <v>53</v>
      </c>
      <c r="N105" s="42" t="s">
        <v>54</v>
      </c>
      <c r="O105" s="42" t="s">
        <v>41</v>
      </c>
      <c r="P105" s="30">
        <f t="shared" si="5"/>
        <v>6</v>
      </c>
      <c r="Q105" s="41">
        <v>3211.4545454545455</v>
      </c>
      <c r="R105" s="41">
        <v>4000</v>
      </c>
      <c r="S105" s="41">
        <f t="shared" si="3"/>
        <v>788.5454545454545</v>
      </c>
    </row>
    <row r="106" spans="1:19">
      <c r="A106" s="5">
        <v>105</v>
      </c>
      <c r="B106" s="5">
        <v>2511050789</v>
      </c>
      <c r="C106" s="5" t="s">
        <v>2709</v>
      </c>
      <c r="D106" s="5" t="s">
        <v>810</v>
      </c>
      <c r="E106" s="5" t="s">
        <v>851</v>
      </c>
      <c r="F106" s="5" t="s">
        <v>457</v>
      </c>
      <c r="G106" s="5" t="s">
        <v>43</v>
      </c>
      <c r="H106" s="5" t="s">
        <v>2702</v>
      </c>
      <c r="I106" s="5">
        <v>202501868</v>
      </c>
      <c r="J106" s="5"/>
      <c r="K106" s="6">
        <v>45966</v>
      </c>
      <c r="L106" s="6">
        <v>45972</v>
      </c>
      <c r="M106" s="42" t="s">
        <v>53</v>
      </c>
      <c r="N106" s="42" t="s">
        <v>54</v>
      </c>
      <c r="O106" s="42" t="s">
        <v>41</v>
      </c>
      <c r="P106" s="30">
        <f t="shared" si="5"/>
        <v>6</v>
      </c>
      <c r="Q106" s="41">
        <v>3211.4545454545455</v>
      </c>
      <c r="R106" s="41">
        <v>12500</v>
      </c>
      <c r="S106" s="41">
        <f t="shared" si="3"/>
        <v>9288.545454545454</v>
      </c>
    </row>
    <row r="107" spans="1:19">
      <c r="A107" s="5">
        <v>106</v>
      </c>
      <c r="B107" s="9">
        <v>2511050799</v>
      </c>
      <c r="C107" s="9" t="s">
        <v>2710</v>
      </c>
      <c r="D107" s="9" t="s">
        <v>64</v>
      </c>
      <c r="E107" s="9" t="s">
        <v>65</v>
      </c>
      <c r="F107" s="9" t="s">
        <v>66</v>
      </c>
      <c r="G107" s="9" t="s">
        <v>52</v>
      </c>
      <c r="H107" s="9" t="s">
        <v>2702</v>
      </c>
      <c r="I107" s="9">
        <v>202501869</v>
      </c>
      <c r="J107" s="9"/>
      <c r="K107" s="10">
        <v>45966</v>
      </c>
      <c r="L107" s="10">
        <v>45972</v>
      </c>
      <c r="M107" s="54" t="s">
        <v>45</v>
      </c>
      <c r="N107" s="54" t="s">
        <v>94</v>
      </c>
      <c r="O107" s="54" t="s">
        <v>2711</v>
      </c>
      <c r="P107" s="32">
        <f t="shared" si="5"/>
        <v>6</v>
      </c>
      <c r="Q107" s="11">
        <v>3211.4545454545455</v>
      </c>
      <c r="R107" s="11">
        <v>5500</v>
      </c>
      <c r="S107" s="11">
        <f t="shared" si="3"/>
        <v>2288.5454545454545</v>
      </c>
    </row>
    <row r="108" spans="1:19">
      <c r="A108" s="5">
        <v>107</v>
      </c>
      <c r="B108" s="5">
        <v>2511050806</v>
      </c>
      <c r="C108" s="5" t="s">
        <v>2712</v>
      </c>
      <c r="D108" s="5" t="s">
        <v>64</v>
      </c>
      <c r="E108" s="5" t="s">
        <v>65</v>
      </c>
      <c r="F108" s="5" t="s">
        <v>66</v>
      </c>
      <c r="G108" s="5" t="s">
        <v>52</v>
      </c>
      <c r="H108" s="5" t="s">
        <v>2702</v>
      </c>
      <c r="I108" s="5">
        <v>202501870</v>
      </c>
      <c r="J108" s="5"/>
      <c r="K108" s="6">
        <v>45966</v>
      </c>
      <c r="L108" s="6">
        <v>45972</v>
      </c>
      <c r="M108" s="42" t="s">
        <v>53</v>
      </c>
      <c r="N108" s="42" t="s">
        <v>54</v>
      </c>
      <c r="O108" s="42" t="s">
        <v>41</v>
      </c>
      <c r="P108" s="30">
        <f t="shared" si="5"/>
        <v>6</v>
      </c>
      <c r="Q108" s="41">
        <v>3211.4545454545455</v>
      </c>
      <c r="R108" s="41">
        <v>5500</v>
      </c>
      <c r="S108" s="41">
        <f t="shared" si="3"/>
        <v>2288.5454545454545</v>
      </c>
    </row>
    <row r="109" spans="1:19">
      <c r="A109" s="5">
        <v>108</v>
      </c>
      <c r="B109" s="5">
        <v>2511050826</v>
      </c>
      <c r="C109" s="5" t="s">
        <v>2713</v>
      </c>
      <c r="D109" s="5" t="s">
        <v>1209</v>
      </c>
      <c r="E109" s="5" t="s">
        <v>1210</v>
      </c>
      <c r="F109" s="5" t="s">
        <v>51</v>
      </c>
      <c r="G109" s="5" t="s">
        <v>52</v>
      </c>
      <c r="H109" s="5" t="s">
        <v>2702</v>
      </c>
      <c r="I109" s="5">
        <v>202501871</v>
      </c>
      <c r="J109" s="5"/>
      <c r="K109" s="6">
        <v>45966</v>
      </c>
      <c r="L109" s="6">
        <v>45972</v>
      </c>
      <c r="M109" s="42" t="s">
        <v>53</v>
      </c>
      <c r="N109" s="42" t="s">
        <v>54</v>
      </c>
      <c r="O109" s="42" t="s">
        <v>41</v>
      </c>
      <c r="P109" s="30">
        <f t="shared" si="5"/>
        <v>6</v>
      </c>
      <c r="Q109" s="41">
        <v>3211.4545454545455</v>
      </c>
      <c r="R109" s="41">
        <v>5500</v>
      </c>
      <c r="S109" s="41">
        <f t="shared" si="3"/>
        <v>2288.5454545454545</v>
      </c>
    </row>
    <row r="110" spans="1:19">
      <c r="A110" s="5">
        <v>109</v>
      </c>
      <c r="B110" s="5">
        <v>2511050388</v>
      </c>
      <c r="C110" s="5" t="s">
        <v>2714</v>
      </c>
      <c r="D110" s="5" t="s">
        <v>40</v>
      </c>
      <c r="E110" s="5" t="s">
        <v>41</v>
      </c>
      <c r="F110" s="5" t="s">
        <v>42</v>
      </c>
      <c r="G110" s="5" t="s">
        <v>43</v>
      </c>
      <c r="H110" s="5" t="s">
        <v>2702</v>
      </c>
      <c r="I110" s="5">
        <v>202501872</v>
      </c>
      <c r="J110" s="5"/>
      <c r="K110" s="6">
        <v>45966</v>
      </c>
      <c r="L110" s="6">
        <v>45972</v>
      </c>
      <c r="M110" s="42" t="s">
        <v>53</v>
      </c>
      <c r="N110" s="42" t="s">
        <v>54</v>
      </c>
      <c r="O110" s="42" t="s">
        <v>41</v>
      </c>
      <c r="P110" s="30">
        <f t="shared" si="5"/>
        <v>6</v>
      </c>
      <c r="Q110" s="41">
        <v>3211.4545454545455</v>
      </c>
      <c r="R110" s="41">
        <v>14500</v>
      </c>
      <c r="S110" s="41">
        <f t="shared" si="3"/>
        <v>11288.545454545454</v>
      </c>
    </row>
    <row r="111" spans="1:19">
      <c r="A111" s="5">
        <v>110</v>
      </c>
      <c r="B111" s="5">
        <v>2511050757</v>
      </c>
      <c r="C111" s="5" t="s">
        <v>2715</v>
      </c>
      <c r="D111" s="5" t="s">
        <v>40</v>
      </c>
      <c r="E111" s="5" t="s">
        <v>41</v>
      </c>
      <c r="F111" s="5" t="s">
        <v>42</v>
      </c>
      <c r="G111" s="5" t="s">
        <v>43</v>
      </c>
      <c r="H111" s="5" t="s">
        <v>2702</v>
      </c>
      <c r="I111" s="5">
        <v>202501873</v>
      </c>
      <c r="J111" s="5"/>
      <c r="K111" s="6">
        <v>45966</v>
      </c>
      <c r="L111" s="6">
        <v>45972</v>
      </c>
      <c r="M111" s="42" t="s">
        <v>53</v>
      </c>
      <c r="N111" s="42" t="s">
        <v>54</v>
      </c>
      <c r="O111" s="42" t="s">
        <v>41</v>
      </c>
      <c r="P111" s="30">
        <f t="shared" si="5"/>
        <v>6</v>
      </c>
      <c r="Q111" s="41">
        <v>3211.4545454545455</v>
      </c>
      <c r="R111" s="41">
        <v>14500</v>
      </c>
      <c r="S111" s="41">
        <f t="shared" si="3"/>
        <v>11288.545454545454</v>
      </c>
    </row>
    <row r="112" spans="1:19">
      <c r="A112" s="5">
        <v>111</v>
      </c>
      <c r="B112" s="5">
        <v>2511053002</v>
      </c>
      <c r="C112" s="5" t="s">
        <v>2716</v>
      </c>
      <c r="D112" s="5" t="s">
        <v>528</v>
      </c>
      <c r="E112" s="5" t="s">
        <v>2545</v>
      </c>
      <c r="F112" s="5" t="s">
        <v>202</v>
      </c>
      <c r="G112" s="5" t="s">
        <v>52</v>
      </c>
      <c r="H112" s="5" t="s">
        <v>2702</v>
      </c>
      <c r="I112" s="5">
        <v>202501874</v>
      </c>
      <c r="J112" s="5"/>
      <c r="K112" s="6">
        <v>45966</v>
      </c>
      <c r="L112" s="6">
        <v>45972</v>
      </c>
      <c r="M112" s="42" t="s">
        <v>53</v>
      </c>
      <c r="N112" s="42" t="s">
        <v>54</v>
      </c>
      <c r="O112" s="42" t="s">
        <v>41</v>
      </c>
      <c r="P112" s="30">
        <f t="shared" si="5"/>
        <v>6</v>
      </c>
      <c r="Q112" s="41">
        <v>3211.4545454545455</v>
      </c>
      <c r="R112" s="41">
        <v>7500</v>
      </c>
      <c r="S112" s="41">
        <f t="shared" si="3"/>
        <v>4288.545454545454</v>
      </c>
    </row>
    <row r="113" spans="1:19">
      <c r="A113" s="5">
        <v>112</v>
      </c>
      <c r="B113" s="5">
        <v>2511053013</v>
      </c>
      <c r="C113" s="5" t="s">
        <v>2717</v>
      </c>
      <c r="D113" s="5" t="s">
        <v>77</v>
      </c>
      <c r="E113" s="5" t="s">
        <v>78</v>
      </c>
      <c r="F113" s="5" t="s">
        <v>79</v>
      </c>
      <c r="G113" s="5" t="s">
        <v>52</v>
      </c>
      <c r="H113" s="5" t="s">
        <v>2702</v>
      </c>
      <c r="I113" s="5">
        <v>202501875</v>
      </c>
      <c r="J113" s="5"/>
      <c r="K113" s="6">
        <v>45966</v>
      </c>
      <c r="L113" s="6">
        <v>45972</v>
      </c>
      <c r="M113" s="42" t="s">
        <v>53</v>
      </c>
      <c r="N113" s="42" t="s">
        <v>54</v>
      </c>
      <c r="O113" s="42" t="s">
        <v>41</v>
      </c>
      <c r="P113" s="30">
        <f t="shared" si="5"/>
        <v>6</v>
      </c>
      <c r="Q113" s="41">
        <v>3211.4545454545455</v>
      </c>
      <c r="R113" s="41">
        <v>5500</v>
      </c>
      <c r="S113" s="41">
        <f t="shared" si="3"/>
        <v>2288.5454545454545</v>
      </c>
    </row>
    <row r="114" spans="1:19">
      <c r="A114" s="5">
        <v>113</v>
      </c>
      <c r="B114" s="5">
        <v>2511053025</v>
      </c>
      <c r="C114" s="5" t="s">
        <v>2718</v>
      </c>
      <c r="D114" s="5" t="s">
        <v>564</v>
      </c>
      <c r="E114" s="5" t="s">
        <v>2294</v>
      </c>
      <c r="F114" s="5" t="s">
        <v>71</v>
      </c>
      <c r="G114" s="5" t="s">
        <v>75</v>
      </c>
      <c r="H114" s="5" t="s">
        <v>2702</v>
      </c>
      <c r="I114" s="5">
        <v>202501876</v>
      </c>
      <c r="J114" s="5"/>
      <c r="K114" s="6">
        <v>45966</v>
      </c>
      <c r="L114" s="6">
        <v>45972</v>
      </c>
      <c r="M114" s="42" t="s">
        <v>53</v>
      </c>
      <c r="N114" s="42" t="s">
        <v>54</v>
      </c>
      <c r="O114" s="42" t="s">
        <v>41</v>
      </c>
      <c r="P114" s="30">
        <f t="shared" si="5"/>
        <v>6</v>
      </c>
      <c r="Q114" s="41">
        <v>3211.4545454545455</v>
      </c>
      <c r="R114" s="41">
        <v>6500</v>
      </c>
      <c r="S114" s="41">
        <f t="shared" si="3"/>
        <v>3288.5454545454545</v>
      </c>
    </row>
    <row r="115" spans="1:19">
      <c r="A115" s="5">
        <v>114</v>
      </c>
      <c r="B115" s="5">
        <v>2511053032</v>
      </c>
      <c r="C115" s="5" t="s">
        <v>2719</v>
      </c>
      <c r="D115" s="5" t="s">
        <v>564</v>
      </c>
      <c r="E115" s="5" t="s">
        <v>890</v>
      </c>
      <c r="F115" s="5" t="s">
        <v>71</v>
      </c>
      <c r="G115" s="5" t="s">
        <v>52</v>
      </c>
      <c r="H115" s="5" t="s">
        <v>2702</v>
      </c>
      <c r="I115" s="5">
        <v>202501877</v>
      </c>
      <c r="J115" s="5"/>
      <c r="K115" s="6">
        <v>45966</v>
      </c>
      <c r="L115" s="6">
        <v>45972</v>
      </c>
      <c r="M115" s="42" t="s">
        <v>53</v>
      </c>
      <c r="N115" s="42" t="s">
        <v>54</v>
      </c>
      <c r="O115" s="42" t="s">
        <v>41</v>
      </c>
      <c r="P115" s="30">
        <f t="shared" si="5"/>
        <v>6</v>
      </c>
      <c r="Q115" s="41">
        <v>3211.4545454545455</v>
      </c>
      <c r="R115" s="41">
        <v>8500</v>
      </c>
      <c r="S115" s="41">
        <f t="shared" si="3"/>
        <v>5288.545454545454</v>
      </c>
    </row>
    <row r="116" spans="1:19">
      <c r="A116" s="5">
        <v>115</v>
      </c>
      <c r="B116" s="5">
        <v>2511053036</v>
      </c>
      <c r="C116" s="5" t="s">
        <v>2720</v>
      </c>
      <c r="D116" s="5" t="s">
        <v>1514</v>
      </c>
      <c r="E116" s="5" t="s">
        <v>2721</v>
      </c>
      <c r="F116" s="5" t="s">
        <v>71</v>
      </c>
      <c r="G116" s="5" t="s">
        <v>52</v>
      </c>
      <c r="H116" s="5" t="s">
        <v>2702</v>
      </c>
      <c r="I116" s="5">
        <v>202501878</v>
      </c>
      <c r="J116" s="5"/>
      <c r="K116" s="6">
        <v>45966</v>
      </c>
      <c r="L116" s="6">
        <v>45972</v>
      </c>
      <c r="M116" s="42" t="s">
        <v>53</v>
      </c>
      <c r="N116" s="42" t="s">
        <v>54</v>
      </c>
      <c r="O116" s="42" t="s">
        <v>41</v>
      </c>
      <c r="P116" s="30">
        <f t="shared" si="5"/>
        <v>6</v>
      </c>
      <c r="Q116" s="41">
        <v>3211.4545454545455</v>
      </c>
      <c r="R116" s="41">
        <v>8500</v>
      </c>
      <c r="S116" s="41">
        <f t="shared" si="3"/>
        <v>5288.545454545454</v>
      </c>
    </row>
    <row r="117" spans="1:19">
      <c r="A117" s="5">
        <v>116</v>
      </c>
      <c r="B117" s="5">
        <v>2511053041</v>
      </c>
      <c r="C117" s="5" t="s">
        <v>2722</v>
      </c>
      <c r="D117" s="5" t="s">
        <v>706</v>
      </c>
      <c r="E117" s="5" t="s">
        <v>707</v>
      </c>
      <c r="F117" s="5" t="s">
        <v>141</v>
      </c>
      <c r="G117" s="5" t="s">
        <v>52</v>
      </c>
      <c r="H117" s="5" t="s">
        <v>2702</v>
      </c>
      <c r="I117" s="5">
        <v>202501879</v>
      </c>
      <c r="J117" s="5"/>
      <c r="K117" s="6">
        <v>45966</v>
      </c>
      <c r="L117" s="6">
        <v>45972</v>
      </c>
      <c r="M117" s="42" t="s">
        <v>53</v>
      </c>
      <c r="N117" s="42" t="s">
        <v>54</v>
      </c>
      <c r="O117" s="42" t="s">
        <v>41</v>
      </c>
      <c r="P117" s="30">
        <f t="shared" si="5"/>
        <v>6</v>
      </c>
      <c r="Q117" s="41">
        <v>3211.4545454545455</v>
      </c>
      <c r="R117" s="41">
        <v>6000</v>
      </c>
      <c r="S117" s="41">
        <f t="shared" si="3"/>
        <v>2788.5454545454545</v>
      </c>
    </row>
    <row r="118" spans="1:19">
      <c r="A118" s="5">
        <v>117</v>
      </c>
      <c r="B118" s="5">
        <v>2511053048</v>
      </c>
      <c r="C118" s="5" t="s">
        <v>2723</v>
      </c>
      <c r="D118" s="5" t="s">
        <v>86</v>
      </c>
      <c r="E118" s="5" t="s">
        <v>699</v>
      </c>
      <c r="F118" s="5" t="s">
        <v>87</v>
      </c>
      <c r="G118" s="5" t="s">
        <v>43</v>
      </c>
      <c r="H118" s="5" t="s">
        <v>2702</v>
      </c>
      <c r="I118" s="5">
        <v>202501880</v>
      </c>
      <c r="J118" s="5"/>
      <c r="K118" s="6">
        <v>45966</v>
      </c>
      <c r="L118" s="6">
        <v>45972</v>
      </c>
      <c r="M118" s="42" t="s">
        <v>53</v>
      </c>
      <c r="N118" s="42" t="s">
        <v>54</v>
      </c>
      <c r="O118" s="42" t="s">
        <v>41</v>
      </c>
      <c r="P118" s="30">
        <f t="shared" si="5"/>
        <v>6</v>
      </c>
      <c r="Q118" s="41">
        <v>3211.4545454545455</v>
      </c>
      <c r="R118" s="41">
        <v>11000</v>
      </c>
      <c r="S118" s="41">
        <f t="shared" si="3"/>
        <v>7788.545454545454</v>
      </c>
    </row>
    <row r="119" spans="1:19">
      <c r="A119" s="5">
        <v>118</v>
      </c>
      <c r="B119" s="9">
        <v>2511062999</v>
      </c>
      <c r="C119" s="9" t="s">
        <v>2724</v>
      </c>
      <c r="D119" s="9" t="s">
        <v>64</v>
      </c>
      <c r="E119" s="9" t="s">
        <v>1498</v>
      </c>
      <c r="F119" s="9" t="s">
        <v>66</v>
      </c>
      <c r="G119" s="9" t="s">
        <v>52</v>
      </c>
      <c r="H119" s="9" t="s">
        <v>2702</v>
      </c>
      <c r="I119" s="9">
        <v>202501881</v>
      </c>
      <c r="J119" s="9"/>
      <c r="K119" s="10">
        <v>45967</v>
      </c>
      <c r="L119" s="10">
        <v>45972</v>
      </c>
      <c r="M119" s="54" t="s">
        <v>45</v>
      </c>
      <c r="N119" s="54" t="s">
        <v>94</v>
      </c>
      <c r="O119" s="54" t="s">
        <v>2604</v>
      </c>
      <c r="P119" s="32">
        <f t="shared" si="5"/>
        <v>5</v>
      </c>
      <c r="Q119" s="11">
        <v>3211.4545454545455</v>
      </c>
      <c r="R119" s="11">
        <v>5500</v>
      </c>
      <c r="S119" s="11">
        <f t="shared" si="3"/>
        <v>2288.5454545454545</v>
      </c>
    </row>
    <row r="120" spans="1:19">
      <c r="A120" s="5">
        <v>119</v>
      </c>
      <c r="B120" s="13">
        <v>2511063008</v>
      </c>
      <c r="C120" s="13" t="s">
        <v>2725</v>
      </c>
      <c r="D120" s="13" t="s">
        <v>64</v>
      </c>
      <c r="E120" s="13" t="s">
        <v>1498</v>
      </c>
      <c r="F120" s="13" t="s">
        <v>66</v>
      </c>
      <c r="G120" s="13" t="s">
        <v>52</v>
      </c>
      <c r="H120" s="13" t="s">
        <v>2702</v>
      </c>
      <c r="I120" s="13">
        <v>202501882</v>
      </c>
      <c r="J120" s="13"/>
      <c r="K120" s="14">
        <v>45967</v>
      </c>
      <c r="L120" s="14">
        <v>45972</v>
      </c>
      <c r="M120" s="118" t="s">
        <v>45</v>
      </c>
      <c r="N120" s="118" t="s">
        <v>46</v>
      </c>
      <c r="O120" s="118" t="s">
        <v>2726</v>
      </c>
      <c r="P120" s="35">
        <f t="shared" si="5"/>
        <v>5</v>
      </c>
      <c r="Q120" s="15">
        <v>3211.4545454545455</v>
      </c>
      <c r="R120" s="15">
        <v>5500</v>
      </c>
      <c r="S120" s="15">
        <f t="shared" si="3"/>
        <v>2288.5454545454545</v>
      </c>
    </row>
    <row r="121" spans="1:19">
      <c r="A121" s="5">
        <v>120</v>
      </c>
      <c r="B121" s="5">
        <v>2511063016</v>
      </c>
      <c r="C121" s="5" t="s">
        <v>2727</v>
      </c>
      <c r="D121" s="5" t="s">
        <v>1692</v>
      </c>
      <c r="E121" s="5" t="s">
        <v>1743</v>
      </c>
      <c r="F121" s="5" t="s">
        <v>457</v>
      </c>
      <c r="G121" s="5" t="s">
        <v>52</v>
      </c>
      <c r="H121" s="5" t="s">
        <v>2702</v>
      </c>
      <c r="I121" s="5">
        <v>202501883</v>
      </c>
      <c r="J121" s="5"/>
      <c r="K121" s="6">
        <v>45967</v>
      </c>
      <c r="L121" s="6">
        <v>45972</v>
      </c>
      <c r="M121" s="42" t="s">
        <v>53</v>
      </c>
      <c r="N121" s="42" t="s">
        <v>54</v>
      </c>
      <c r="O121" s="42" t="s">
        <v>41</v>
      </c>
      <c r="P121" s="30">
        <f t="shared" si="5"/>
        <v>5</v>
      </c>
      <c r="Q121" s="41">
        <v>3211.4545454545455</v>
      </c>
      <c r="R121" s="41">
        <v>5200</v>
      </c>
      <c r="S121" s="41">
        <f t="shared" si="3"/>
        <v>1988.5454545454545</v>
      </c>
    </row>
    <row r="122" spans="1:19">
      <c r="A122" s="5">
        <v>121</v>
      </c>
      <c r="B122" s="5">
        <v>2511063028</v>
      </c>
      <c r="C122" s="5" t="s">
        <v>2728</v>
      </c>
      <c r="D122" s="5" t="s">
        <v>733</v>
      </c>
      <c r="E122" s="5" t="s">
        <v>997</v>
      </c>
      <c r="F122" s="5" t="s">
        <v>51</v>
      </c>
      <c r="G122" s="5" t="s">
        <v>75</v>
      </c>
      <c r="H122" s="5" t="s">
        <v>2702</v>
      </c>
      <c r="I122" s="5">
        <v>202501884</v>
      </c>
      <c r="J122" s="5"/>
      <c r="K122" s="6">
        <v>45967</v>
      </c>
      <c r="L122" s="6">
        <v>45972</v>
      </c>
      <c r="M122" s="42" t="s">
        <v>53</v>
      </c>
      <c r="N122" s="42" t="s">
        <v>54</v>
      </c>
      <c r="O122" s="42" t="s">
        <v>41</v>
      </c>
      <c r="P122" s="30">
        <f t="shared" si="5"/>
        <v>5</v>
      </c>
      <c r="Q122" s="41">
        <v>3211.4545454545455</v>
      </c>
      <c r="R122" s="41">
        <v>2600</v>
      </c>
      <c r="S122" s="41">
        <f t="shared" si="3"/>
        <v>-611.4545454545455</v>
      </c>
    </row>
    <row r="123" spans="1:19">
      <c r="A123" s="5">
        <v>122</v>
      </c>
      <c r="B123" s="5">
        <v>2511063038</v>
      </c>
      <c r="C123" s="5" t="s">
        <v>2729</v>
      </c>
      <c r="D123" s="5" t="s">
        <v>804</v>
      </c>
      <c r="E123" s="5" t="s">
        <v>2186</v>
      </c>
      <c r="F123" s="5" t="s">
        <v>457</v>
      </c>
      <c r="G123" s="5" t="s">
        <v>75</v>
      </c>
      <c r="H123" s="5" t="s">
        <v>2702</v>
      </c>
      <c r="I123" s="5">
        <v>202501885</v>
      </c>
      <c r="J123" s="5"/>
      <c r="K123" s="6">
        <v>45967</v>
      </c>
      <c r="L123" s="6">
        <v>45972</v>
      </c>
      <c r="M123" s="42" t="s">
        <v>53</v>
      </c>
      <c r="N123" s="42" t="s">
        <v>54</v>
      </c>
      <c r="O123" s="42" t="s">
        <v>41</v>
      </c>
      <c r="P123" s="30">
        <f t="shared" si="5"/>
        <v>5</v>
      </c>
      <c r="Q123" s="41">
        <v>3211.4545454545455</v>
      </c>
      <c r="R123" s="41">
        <v>4000</v>
      </c>
      <c r="S123" s="41">
        <f t="shared" si="3"/>
        <v>788.5454545454545</v>
      </c>
    </row>
    <row r="124" spans="1:19">
      <c r="A124" s="5">
        <v>123</v>
      </c>
      <c r="B124" s="5">
        <v>2511063044</v>
      </c>
      <c r="C124" s="5" t="s">
        <v>2730</v>
      </c>
      <c r="D124" s="5" t="s">
        <v>804</v>
      </c>
      <c r="E124" s="5" t="s">
        <v>2186</v>
      </c>
      <c r="F124" s="5" t="s">
        <v>457</v>
      </c>
      <c r="G124" s="5" t="s">
        <v>75</v>
      </c>
      <c r="H124" s="5" t="s">
        <v>2702</v>
      </c>
      <c r="I124" s="5">
        <v>202501886</v>
      </c>
      <c r="J124" s="5"/>
      <c r="K124" s="6">
        <v>45967</v>
      </c>
      <c r="L124" s="6">
        <v>45972</v>
      </c>
      <c r="M124" s="42" t="s">
        <v>53</v>
      </c>
      <c r="N124" s="42" t="s">
        <v>54</v>
      </c>
      <c r="O124" s="42" t="s">
        <v>41</v>
      </c>
      <c r="P124" s="30">
        <f t="shared" si="5"/>
        <v>5</v>
      </c>
      <c r="Q124" s="41">
        <v>3211.4545454545455</v>
      </c>
      <c r="R124" s="41">
        <v>4000</v>
      </c>
      <c r="S124" s="41">
        <f t="shared" si="3"/>
        <v>788.5454545454545</v>
      </c>
    </row>
    <row r="125" spans="1:19">
      <c r="A125" s="5">
        <v>124</v>
      </c>
      <c r="B125" s="5">
        <v>2511060751</v>
      </c>
      <c r="C125" s="5" t="s">
        <v>2731</v>
      </c>
      <c r="D125" s="5" t="s">
        <v>40</v>
      </c>
      <c r="E125" s="5" t="s">
        <v>41</v>
      </c>
      <c r="F125" s="5" t="s">
        <v>42</v>
      </c>
      <c r="G125" s="5" t="s">
        <v>43</v>
      </c>
      <c r="H125" s="5" t="s">
        <v>2702</v>
      </c>
      <c r="I125" s="5">
        <v>202501887</v>
      </c>
      <c r="J125" s="5"/>
      <c r="K125" s="6">
        <v>45967</v>
      </c>
      <c r="L125" s="6">
        <v>45972</v>
      </c>
      <c r="M125" s="42" t="s">
        <v>53</v>
      </c>
      <c r="N125" s="42" t="s">
        <v>54</v>
      </c>
      <c r="O125" s="42" t="s">
        <v>41</v>
      </c>
      <c r="P125" s="30">
        <f t="shared" si="5"/>
        <v>5</v>
      </c>
      <c r="Q125" s="41">
        <v>3211.4545454545455</v>
      </c>
      <c r="R125" s="41">
        <v>14500</v>
      </c>
      <c r="S125" s="41">
        <f t="shared" si="3"/>
        <v>11288.545454545454</v>
      </c>
    </row>
    <row r="126" spans="1:19">
      <c r="A126" s="5">
        <v>125</v>
      </c>
      <c r="B126" s="5">
        <v>2511063055</v>
      </c>
      <c r="C126" s="5" t="s">
        <v>2732</v>
      </c>
      <c r="D126" s="5" t="s">
        <v>334</v>
      </c>
      <c r="E126" s="5" t="s">
        <v>335</v>
      </c>
      <c r="F126" s="5" t="s">
        <v>71</v>
      </c>
      <c r="G126" s="5" t="s">
        <v>52</v>
      </c>
      <c r="H126" s="5" t="s">
        <v>2702</v>
      </c>
      <c r="I126" s="5">
        <v>202501888</v>
      </c>
      <c r="J126" s="5"/>
      <c r="K126" s="6">
        <v>45967</v>
      </c>
      <c r="L126" s="6">
        <v>45972</v>
      </c>
      <c r="M126" s="42" t="s">
        <v>53</v>
      </c>
      <c r="N126" s="42" t="s">
        <v>54</v>
      </c>
      <c r="O126" s="42" t="s">
        <v>41</v>
      </c>
      <c r="P126" s="30">
        <f t="shared" si="5"/>
        <v>5</v>
      </c>
      <c r="Q126" s="41">
        <v>3211.4545454545455</v>
      </c>
      <c r="R126" s="41">
        <v>5950</v>
      </c>
      <c r="S126" s="41">
        <f t="shared" si="3"/>
        <v>2738.5454545454545</v>
      </c>
    </row>
    <row r="127" spans="1:19">
      <c r="A127" s="5">
        <v>126</v>
      </c>
      <c r="B127" s="13">
        <v>2511063062</v>
      </c>
      <c r="C127" s="13" t="s">
        <v>2733</v>
      </c>
      <c r="D127" s="13" t="s">
        <v>1662</v>
      </c>
      <c r="E127" s="13" t="s">
        <v>1318</v>
      </c>
      <c r="F127" s="13" t="s">
        <v>58</v>
      </c>
      <c r="G127" s="13" t="s">
        <v>52</v>
      </c>
      <c r="H127" s="13" t="s">
        <v>2702</v>
      </c>
      <c r="I127" s="13">
        <v>202501889</v>
      </c>
      <c r="J127" s="13"/>
      <c r="K127" s="14">
        <v>45967</v>
      </c>
      <c r="L127" s="14">
        <v>45972</v>
      </c>
      <c r="M127" s="118" t="s">
        <v>45</v>
      </c>
      <c r="N127" s="118" t="s">
        <v>46</v>
      </c>
      <c r="O127" s="118" t="s">
        <v>1603</v>
      </c>
      <c r="P127" s="35">
        <f t="shared" si="5"/>
        <v>5</v>
      </c>
      <c r="Q127" s="15">
        <v>3211.4545454545455</v>
      </c>
      <c r="R127" s="15">
        <v>5500</v>
      </c>
      <c r="S127" s="15">
        <f t="shared" si="3"/>
        <v>2288.5454545454545</v>
      </c>
    </row>
    <row r="128" spans="1:19">
      <c r="A128" s="5">
        <v>127</v>
      </c>
      <c r="B128" s="5" t="s">
        <v>1239</v>
      </c>
      <c r="C128" s="5"/>
      <c r="D128" s="5"/>
      <c r="E128" s="5"/>
      <c r="F128" s="5"/>
      <c r="G128" s="5" t="s">
        <v>52</v>
      </c>
      <c r="H128" s="5"/>
      <c r="I128" s="5"/>
      <c r="J128" s="5"/>
      <c r="K128" s="5"/>
      <c r="L128" s="5"/>
      <c r="M128" s="5"/>
      <c r="N128" s="5"/>
      <c r="O128" s="5"/>
      <c r="P128" s="5"/>
      <c r="Q128" s="8">
        <v>3211.4545454545455</v>
      </c>
      <c r="R128" s="41">
        <v>0</v>
      </c>
      <c r="S128" s="41">
        <f t="shared" si="3"/>
        <v>-3211.4545454545455</v>
      </c>
    </row>
    <row r="129" spans="1:19">
      <c r="A129" s="5">
        <v>128</v>
      </c>
      <c r="B129" s="5" t="s">
        <v>1240</v>
      </c>
      <c r="C129" s="5"/>
      <c r="D129" s="5"/>
      <c r="E129" s="5"/>
      <c r="F129" s="5"/>
      <c r="G129" s="5" t="s">
        <v>52</v>
      </c>
      <c r="H129" s="5"/>
      <c r="I129" s="5"/>
      <c r="J129" s="5"/>
      <c r="K129" s="5"/>
      <c r="L129" s="5"/>
      <c r="M129" s="5"/>
      <c r="N129" s="5"/>
      <c r="O129" s="5"/>
      <c r="P129" s="5"/>
      <c r="Q129" s="8">
        <v>3211.4545454545455</v>
      </c>
      <c r="R129" s="41">
        <v>0</v>
      </c>
      <c r="S129" s="41">
        <f t="shared" si="3"/>
        <v>-3211.4545454545455</v>
      </c>
    </row>
    <row r="130" spans="1:19">
      <c r="A130" s="5">
        <v>129</v>
      </c>
      <c r="B130" s="9">
        <v>2510292911</v>
      </c>
      <c r="C130" s="9" t="s">
        <v>2596</v>
      </c>
      <c r="D130" s="9" t="s">
        <v>810</v>
      </c>
      <c r="E130" s="9" t="s">
        <v>853</v>
      </c>
      <c r="F130" s="9" t="s">
        <v>457</v>
      </c>
      <c r="G130" s="9" t="s">
        <v>43</v>
      </c>
      <c r="H130" s="9" t="s">
        <v>2734</v>
      </c>
      <c r="I130" s="9" t="s">
        <v>2735</v>
      </c>
      <c r="J130" s="9"/>
      <c r="K130" s="10">
        <v>45968</v>
      </c>
      <c r="L130" s="10">
        <v>45973</v>
      </c>
      <c r="M130" s="54" t="s">
        <v>45</v>
      </c>
      <c r="N130" s="54" t="s">
        <v>94</v>
      </c>
      <c r="O130" s="54" t="s">
        <v>2736</v>
      </c>
      <c r="P130" s="32">
        <f t="shared" ref="P130:P159" si="6">L130-K130</f>
        <v>5</v>
      </c>
      <c r="Q130" s="11">
        <v>3036.3636363636365</v>
      </c>
      <c r="R130" s="11">
        <v>0</v>
      </c>
      <c r="S130" s="11">
        <f t="shared" ref="S130:S193" si="7">R130-Q130</f>
        <v>-3036.3636363636365</v>
      </c>
    </row>
    <row r="131" spans="1:19">
      <c r="A131" s="5">
        <v>130</v>
      </c>
      <c r="B131" s="13">
        <v>2511050799</v>
      </c>
      <c r="C131" s="13" t="s">
        <v>2710</v>
      </c>
      <c r="D131" s="13" t="s">
        <v>64</v>
      </c>
      <c r="E131" s="13" t="s">
        <v>65</v>
      </c>
      <c r="F131" s="13" t="s">
        <v>66</v>
      </c>
      <c r="G131" s="13" t="s">
        <v>52</v>
      </c>
      <c r="H131" s="13" t="s">
        <v>2734</v>
      </c>
      <c r="I131" s="13" t="s">
        <v>2737</v>
      </c>
      <c r="J131" s="13"/>
      <c r="K131" s="14">
        <v>45966</v>
      </c>
      <c r="L131" s="14">
        <v>45973</v>
      </c>
      <c r="M131" s="118" t="s">
        <v>45</v>
      </c>
      <c r="N131" s="118" t="s">
        <v>46</v>
      </c>
      <c r="O131" s="118" t="s">
        <v>2726</v>
      </c>
      <c r="P131" s="35">
        <f t="shared" si="6"/>
        <v>7</v>
      </c>
      <c r="Q131" s="15">
        <v>3036.3636363636365</v>
      </c>
      <c r="R131" s="15">
        <v>0</v>
      </c>
      <c r="S131" s="15">
        <f t="shared" si="7"/>
        <v>-3036.3636363636365</v>
      </c>
    </row>
    <row r="132" spans="1:19">
      <c r="A132" s="5">
        <v>131</v>
      </c>
      <c r="B132" s="22">
        <v>2511062999</v>
      </c>
      <c r="C132" s="22" t="s">
        <v>2724</v>
      </c>
      <c r="D132" s="22" t="s">
        <v>64</v>
      </c>
      <c r="E132" s="22" t="s">
        <v>1498</v>
      </c>
      <c r="F132" s="22" t="s">
        <v>66</v>
      </c>
      <c r="G132" s="22" t="s">
        <v>52</v>
      </c>
      <c r="H132" s="22" t="s">
        <v>2734</v>
      </c>
      <c r="I132" s="22" t="s">
        <v>2738</v>
      </c>
      <c r="J132" s="22"/>
      <c r="K132" s="23">
        <v>45967</v>
      </c>
      <c r="L132" s="23">
        <v>45973</v>
      </c>
      <c r="M132" s="50" t="s">
        <v>53</v>
      </c>
      <c r="N132" s="50" t="s">
        <v>54</v>
      </c>
      <c r="O132" s="50" t="s">
        <v>41</v>
      </c>
      <c r="P132" s="34">
        <f t="shared" si="6"/>
        <v>6</v>
      </c>
      <c r="Q132" s="24">
        <v>3036.3636363636365</v>
      </c>
      <c r="R132" s="24">
        <v>0</v>
      </c>
      <c r="S132" s="24">
        <f t="shared" si="7"/>
        <v>-3036.3636363636365</v>
      </c>
    </row>
    <row r="133" spans="1:19">
      <c r="A133" s="5">
        <v>132</v>
      </c>
      <c r="B133" s="13">
        <v>2511063068</v>
      </c>
      <c r="C133" s="13" t="s">
        <v>2739</v>
      </c>
      <c r="D133" s="13" t="s">
        <v>49</v>
      </c>
      <c r="E133" s="13" t="s">
        <v>2125</v>
      </c>
      <c r="F133" s="13" t="s">
        <v>51</v>
      </c>
      <c r="G133" s="13" t="s">
        <v>75</v>
      </c>
      <c r="H133" s="13" t="s">
        <v>2734</v>
      </c>
      <c r="I133" s="13">
        <v>202501890</v>
      </c>
      <c r="J133" s="13"/>
      <c r="K133" s="14">
        <v>45967</v>
      </c>
      <c r="L133" s="14">
        <v>45973</v>
      </c>
      <c r="M133" s="118" t="s">
        <v>45</v>
      </c>
      <c r="N133" s="118" t="s">
        <v>46</v>
      </c>
      <c r="O133" s="118" t="s">
        <v>2726</v>
      </c>
      <c r="P133" s="35">
        <f t="shared" si="6"/>
        <v>6</v>
      </c>
      <c r="Q133" s="15">
        <v>3036.3636363636365</v>
      </c>
      <c r="R133" s="15">
        <v>4500</v>
      </c>
      <c r="S133" s="15">
        <f t="shared" si="7"/>
        <v>1463.6363636363635</v>
      </c>
    </row>
    <row r="134" spans="1:19">
      <c r="A134" s="5">
        <v>133</v>
      </c>
      <c r="B134" s="5">
        <v>2511063080</v>
      </c>
      <c r="C134" s="5" t="s">
        <v>2740</v>
      </c>
      <c r="D134" s="5" t="s">
        <v>49</v>
      </c>
      <c r="E134" s="5" t="s">
        <v>2125</v>
      </c>
      <c r="F134" s="5" t="s">
        <v>51</v>
      </c>
      <c r="G134" s="5" t="s">
        <v>75</v>
      </c>
      <c r="H134" s="5" t="s">
        <v>2734</v>
      </c>
      <c r="I134" s="5">
        <v>202501891</v>
      </c>
      <c r="J134" s="5"/>
      <c r="K134" s="6">
        <v>45967</v>
      </c>
      <c r="L134" s="6">
        <v>45973</v>
      </c>
      <c r="M134" s="42" t="s">
        <v>53</v>
      </c>
      <c r="N134" s="42" t="s">
        <v>54</v>
      </c>
      <c r="O134" s="42" t="s">
        <v>41</v>
      </c>
      <c r="P134" s="30">
        <f t="shared" si="6"/>
        <v>6</v>
      </c>
      <c r="Q134" s="41">
        <v>3036.3636363636365</v>
      </c>
      <c r="R134" s="41">
        <v>4500</v>
      </c>
      <c r="S134" s="41">
        <f t="shared" si="7"/>
        <v>1463.6363636363635</v>
      </c>
    </row>
    <row r="135" spans="1:19">
      <c r="A135" s="5">
        <v>134</v>
      </c>
      <c r="B135" s="5">
        <v>2511063091</v>
      </c>
      <c r="C135" s="5" t="s">
        <v>2741</v>
      </c>
      <c r="D135" s="5" t="s">
        <v>2405</v>
      </c>
      <c r="E135" s="5" t="s">
        <v>2742</v>
      </c>
      <c r="F135" s="5" t="s">
        <v>202</v>
      </c>
      <c r="G135" s="5" t="s">
        <v>52</v>
      </c>
      <c r="H135" s="5" t="s">
        <v>2734</v>
      </c>
      <c r="I135" s="5">
        <v>202501892</v>
      </c>
      <c r="J135" s="5"/>
      <c r="K135" s="6">
        <v>45967</v>
      </c>
      <c r="L135" s="6">
        <v>45973</v>
      </c>
      <c r="M135" s="42" t="s">
        <v>53</v>
      </c>
      <c r="N135" s="42" t="s">
        <v>54</v>
      </c>
      <c r="O135" s="42" t="s">
        <v>41</v>
      </c>
      <c r="P135" s="30">
        <f t="shared" si="6"/>
        <v>6</v>
      </c>
      <c r="Q135" s="41">
        <v>3036.3636363636365</v>
      </c>
      <c r="R135" s="41">
        <v>8000</v>
      </c>
      <c r="S135" s="41">
        <f t="shared" si="7"/>
        <v>4963.636363636364</v>
      </c>
    </row>
    <row r="136" spans="1:19">
      <c r="A136" s="5">
        <v>135</v>
      </c>
      <c r="B136" s="5">
        <v>2511063109</v>
      </c>
      <c r="C136" s="5" t="s">
        <v>2743</v>
      </c>
      <c r="D136" s="5" t="s">
        <v>564</v>
      </c>
      <c r="E136" s="5" t="s">
        <v>771</v>
      </c>
      <c r="F136" s="5" t="s">
        <v>71</v>
      </c>
      <c r="G136" s="5" t="s">
        <v>75</v>
      </c>
      <c r="H136" s="5" t="s">
        <v>2734</v>
      </c>
      <c r="I136" s="5">
        <v>202501893</v>
      </c>
      <c r="J136" s="5"/>
      <c r="K136" s="6">
        <v>45967</v>
      </c>
      <c r="L136" s="6">
        <v>45973</v>
      </c>
      <c r="M136" s="42" t="s">
        <v>53</v>
      </c>
      <c r="N136" s="42" t="s">
        <v>54</v>
      </c>
      <c r="O136" s="42" t="s">
        <v>41</v>
      </c>
      <c r="P136" s="30">
        <f t="shared" si="6"/>
        <v>6</v>
      </c>
      <c r="Q136" s="41">
        <v>3036.3636363636365</v>
      </c>
      <c r="R136" s="41">
        <v>6500</v>
      </c>
      <c r="S136" s="41">
        <f t="shared" si="7"/>
        <v>3463.6363636363635</v>
      </c>
    </row>
    <row r="137" spans="1:19">
      <c r="A137" s="5">
        <v>136</v>
      </c>
      <c r="B137" s="5">
        <v>2511063118</v>
      </c>
      <c r="C137" s="5" t="s">
        <v>2744</v>
      </c>
      <c r="D137" s="5" t="s">
        <v>440</v>
      </c>
      <c r="E137" s="5" t="s">
        <v>1850</v>
      </c>
      <c r="F137" s="5" t="s">
        <v>169</v>
      </c>
      <c r="G137" s="5" t="s">
        <v>52</v>
      </c>
      <c r="H137" s="5" t="s">
        <v>2734</v>
      </c>
      <c r="I137" s="5">
        <v>202501894</v>
      </c>
      <c r="J137" s="5"/>
      <c r="K137" s="6">
        <v>45967</v>
      </c>
      <c r="L137" s="6">
        <v>45973</v>
      </c>
      <c r="M137" s="42" t="s">
        <v>53</v>
      </c>
      <c r="N137" s="42" t="s">
        <v>54</v>
      </c>
      <c r="O137" s="42" t="s">
        <v>41</v>
      </c>
      <c r="P137" s="30">
        <f t="shared" si="6"/>
        <v>6</v>
      </c>
      <c r="Q137" s="41">
        <v>3036.3636363636365</v>
      </c>
      <c r="R137" s="41">
        <v>5500</v>
      </c>
      <c r="S137" s="41">
        <f t="shared" si="7"/>
        <v>2463.6363636363635</v>
      </c>
    </row>
    <row r="138" spans="1:19">
      <c r="A138" s="5">
        <v>137</v>
      </c>
      <c r="B138" s="5">
        <v>2511063133</v>
      </c>
      <c r="C138" s="5" t="s">
        <v>2745</v>
      </c>
      <c r="D138" s="5" t="s">
        <v>2194</v>
      </c>
      <c r="E138" s="5" t="s">
        <v>2279</v>
      </c>
      <c r="F138" s="5" t="s">
        <v>66</v>
      </c>
      <c r="G138" s="5" t="s">
        <v>75</v>
      </c>
      <c r="H138" s="5" t="s">
        <v>2734</v>
      </c>
      <c r="I138" s="5">
        <v>202501895</v>
      </c>
      <c r="J138" s="5"/>
      <c r="K138" s="6">
        <v>45967</v>
      </c>
      <c r="L138" s="6">
        <v>45973</v>
      </c>
      <c r="M138" s="42" t="s">
        <v>53</v>
      </c>
      <c r="N138" s="42" t="s">
        <v>54</v>
      </c>
      <c r="O138" s="42" t="s">
        <v>41</v>
      </c>
      <c r="P138" s="30">
        <f t="shared" si="6"/>
        <v>6</v>
      </c>
      <c r="Q138" s="41">
        <v>3036.3636363636365</v>
      </c>
      <c r="R138" s="61">
        <v>2500</v>
      </c>
      <c r="S138" s="41">
        <f t="shared" si="7"/>
        <v>-536.36363636363649</v>
      </c>
    </row>
    <row r="139" spans="1:19">
      <c r="A139" s="5">
        <v>138</v>
      </c>
      <c r="B139" s="5">
        <v>2511063135</v>
      </c>
      <c r="C139" s="5" t="s">
        <v>2746</v>
      </c>
      <c r="D139" s="5" t="s">
        <v>153</v>
      </c>
      <c r="E139" s="5" t="s">
        <v>1931</v>
      </c>
      <c r="F139" s="5" t="s">
        <v>141</v>
      </c>
      <c r="G139" s="5" t="s">
        <v>52</v>
      </c>
      <c r="H139" s="5" t="s">
        <v>2734</v>
      </c>
      <c r="I139" s="5">
        <v>202501896</v>
      </c>
      <c r="J139" s="5"/>
      <c r="K139" s="6">
        <v>45967</v>
      </c>
      <c r="L139" s="6">
        <v>45973</v>
      </c>
      <c r="M139" s="42" t="s">
        <v>53</v>
      </c>
      <c r="N139" s="42" t="s">
        <v>54</v>
      </c>
      <c r="O139" s="42" t="s">
        <v>41</v>
      </c>
      <c r="P139" s="30">
        <f t="shared" si="6"/>
        <v>6</v>
      </c>
      <c r="Q139" s="41">
        <v>3036.3636363636365</v>
      </c>
      <c r="R139" s="41">
        <v>5500</v>
      </c>
      <c r="S139" s="41">
        <f t="shared" si="7"/>
        <v>2463.6363636363635</v>
      </c>
    </row>
    <row r="140" spans="1:19">
      <c r="A140" s="5">
        <v>139</v>
      </c>
      <c r="B140" s="5">
        <v>2511063139</v>
      </c>
      <c r="C140" s="5" t="s">
        <v>2747</v>
      </c>
      <c r="D140" s="5" t="s">
        <v>1629</v>
      </c>
      <c r="E140" s="5" t="s">
        <v>1812</v>
      </c>
      <c r="F140" s="5" t="s">
        <v>141</v>
      </c>
      <c r="G140" s="5" t="s">
        <v>52</v>
      </c>
      <c r="H140" s="5" t="s">
        <v>2734</v>
      </c>
      <c r="I140" s="5">
        <v>202501897</v>
      </c>
      <c r="J140" s="5"/>
      <c r="K140" s="6">
        <v>45967</v>
      </c>
      <c r="L140" s="6">
        <v>45973</v>
      </c>
      <c r="M140" s="42" t="s">
        <v>53</v>
      </c>
      <c r="N140" s="42" t="s">
        <v>54</v>
      </c>
      <c r="O140" s="42" t="s">
        <v>41</v>
      </c>
      <c r="P140" s="30">
        <f t="shared" si="6"/>
        <v>6</v>
      </c>
      <c r="Q140" s="41">
        <v>3036.3636363636365</v>
      </c>
      <c r="R140" s="41">
        <v>5500</v>
      </c>
      <c r="S140" s="41">
        <f t="shared" si="7"/>
        <v>2463.6363636363635</v>
      </c>
    </row>
    <row r="141" spans="1:19">
      <c r="A141" s="5">
        <v>140</v>
      </c>
      <c r="B141" s="5">
        <v>2511073130</v>
      </c>
      <c r="C141" s="5" t="s">
        <v>2748</v>
      </c>
      <c r="D141" s="5" t="s">
        <v>293</v>
      </c>
      <c r="E141" s="5" t="s">
        <v>2131</v>
      </c>
      <c r="F141" s="5" t="s">
        <v>51</v>
      </c>
      <c r="G141" s="5" t="s">
        <v>43</v>
      </c>
      <c r="H141" s="5" t="s">
        <v>2734</v>
      </c>
      <c r="I141" s="5">
        <v>202501898</v>
      </c>
      <c r="J141" s="5"/>
      <c r="K141" s="6">
        <v>45968</v>
      </c>
      <c r="L141" s="6">
        <v>45973</v>
      </c>
      <c r="M141" s="42" t="s">
        <v>53</v>
      </c>
      <c r="N141" s="42" t="s">
        <v>54</v>
      </c>
      <c r="O141" s="42" t="s">
        <v>41</v>
      </c>
      <c r="P141" s="30">
        <f t="shared" si="6"/>
        <v>5</v>
      </c>
      <c r="Q141" s="41">
        <v>3036.3636363636365</v>
      </c>
      <c r="R141" s="41">
        <v>11000</v>
      </c>
      <c r="S141" s="41">
        <f t="shared" si="7"/>
        <v>7963.636363636364</v>
      </c>
    </row>
    <row r="142" spans="1:19">
      <c r="A142" s="5">
        <v>141</v>
      </c>
      <c r="B142" s="13">
        <v>2511073137</v>
      </c>
      <c r="C142" s="13" t="s">
        <v>2749</v>
      </c>
      <c r="D142" s="13" t="s">
        <v>309</v>
      </c>
      <c r="E142" s="13" t="s">
        <v>310</v>
      </c>
      <c r="F142" s="13" t="s">
        <v>51</v>
      </c>
      <c r="G142" s="13" t="s">
        <v>52</v>
      </c>
      <c r="H142" s="13" t="s">
        <v>2734</v>
      </c>
      <c r="I142" s="13">
        <v>202501899</v>
      </c>
      <c r="J142" s="13"/>
      <c r="K142" s="14">
        <v>45968</v>
      </c>
      <c r="L142" s="14">
        <v>45973</v>
      </c>
      <c r="M142" s="118" t="s">
        <v>45</v>
      </c>
      <c r="N142" s="118" t="s">
        <v>46</v>
      </c>
      <c r="O142" s="118" t="s">
        <v>1523</v>
      </c>
      <c r="P142" s="35">
        <f t="shared" si="6"/>
        <v>5</v>
      </c>
      <c r="Q142" s="15">
        <v>3036.3636363636365</v>
      </c>
      <c r="R142" s="15">
        <v>5500</v>
      </c>
      <c r="S142" s="15">
        <f t="shared" si="7"/>
        <v>2463.6363636363635</v>
      </c>
    </row>
    <row r="143" spans="1:19">
      <c r="A143" s="5">
        <v>142</v>
      </c>
      <c r="B143" s="13">
        <v>2511070459</v>
      </c>
      <c r="C143" s="13" t="s">
        <v>2750</v>
      </c>
      <c r="D143" s="13" t="s">
        <v>40</v>
      </c>
      <c r="E143" s="13" t="s">
        <v>41</v>
      </c>
      <c r="F143" s="13" t="s">
        <v>42</v>
      </c>
      <c r="G143" s="13" t="s">
        <v>75</v>
      </c>
      <c r="H143" s="13" t="s">
        <v>2734</v>
      </c>
      <c r="I143" s="13">
        <v>202501900</v>
      </c>
      <c r="J143" s="13"/>
      <c r="K143" s="14">
        <v>45968</v>
      </c>
      <c r="L143" s="14">
        <v>45973</v>
      </c>
      <c r="M143" s="118" t="s">
        <v>45</v>
      </c>
      <c r="N143" s="118" t="s">
        <v>46</v>
      </c>
      <c r="O143" s="118" t="s">
        <v>1523</v>
      </c>
      <c r="P143" s="35">
        <f t="shared" si="6"/>
        <v>5</v>
      </c>
      <c r="Q143" s="15">
        <v>3036.3636363636365</v>
      </c>
      <c r="R143" s="15">
        <v>6500</v>
      </c>
      <c r="S143" s="15">
        <f t="shared" si="7"/>
        <v>3463.6363636363635</v>
      </c>
    </row>
    <row r="144" spans="1:19">
      <c r="A144" s="5">
        <v>143</v>
      </c>
      <c r="B144" s="5">
        <v>2511073143</v>
      </c>
      <c r="C144" s="5" t="s">
        <v>2751</v>
      </c>
      <c r="D144" s="5" t="s">
        <v>345</v>
      </c>
      <c r="E144" s="5" t="s">
        <v>2232</v>
      </c>
      <c r="F144" s="5" t="s">
        <v>66</v>
      </c>
      <c r="G144" s="5" t="s">
        <v>52</v>
      </c>
      <c r="H144" s="5" t="s">
        <v>2734</v>
      </c>
      <c r="I144" s="5">
        <v>202501901</v>
      </c>
      <c r="J144" s="5"/>
      <c r="K144" s="6">
        <v>45968</v>
      </c>
      <c r="L144" s="6">
        <v>45973</v>
      </c>
      <c r="M144" s="42" t="s">
        <v>53</v>
      </c>
      <c r="N144" s="42" t="s">
        <v>54</v>
      </c>
      <c r="O144" s="42" t="s">
        <v>41</v>
      </c>
      <c r="P144" s="30">
        <f t="shared" si="6"/>
        <v>5</v>
      </c>
      <c r="Q144" s="41">
        <v>3036.3636363636365</v>
      </c>
      <c r="R144" s="41">
        <v>6000</v>
      </c>
      <c r="S144" s="41">
        <f t="shared" si="7"/>
        <v>2963.6363636363635</v>
      </c>
    </row>
    <row r="145" spans="1:19">
      <c r="A145" s="5">
        <v>144</v>
      </c>
      <c r="B145" s="5">
        <v>2511073148</v>
      </c>
      <c r="C145" s="5" t="s">
        <v>2752</v>
      </c>
      <c r="D145" s="5" t="s">
        <v>528</v>
      </c>
      <c r="E145" s="5" t="s">
        <v>1917</v>
      </c>
      <c r="F145" s="5" t="s">
        <v>202</v>
      </c>
      <c r="G145" s="5" t="s">
        <v>52</v>
      </c>
      <c r="H145" s="5" t="s">
        <v>2734</v>
      </c>
      <c r="I145" s="5">
        <v>202501902</v>
      </c>
      <c r="J145" s="5"/>
      <c r="K145" s="6">
        <v>45968</v>
      </c>
      <c r="L145" s="6">
        <v>45973</v>
      </c>
      <c r="M145" s="42" t="s">
        <v>53</v>
      </c>
      <c r="N145" s="42" t="s">
        <v>54</v>
      </c>
      <c r="O145" s="42" t="s">
        <v>41</v>
      </c>
      <c r="P145" s="30">
        <f t="shared" si="6"/>
        <v>5</v>
      </c>
      <c r="Q145" s="41">
        <v>3036.3636363636365</v>
      </c>
      <c r="R145" s="41">
        <v>7500</v>
      </c>
      <c r="S145" s="41">
        <f t="shared" si="7"/>
        <v>4463.636363636364</v>
      </c>
    </row>
    <row r="146" spans="1:19">
      <c r="A146" s="5">
        <v>145</v>
      </c>
      <c r="B146" s="5">
        <v>2511073155</v>
      </c>
      <c r="C146" s="5" t="s">
        <v>2753</v>
      </c>
      <c r="D146" s="5" t="s">
        <v>153</v>
      </c>
      <c r="E146" s="5" t="s">
        <v>154</v>
      </c>
      <c r="F146" s="5" t="s">
        <v>141</v>
      </c>
      <c r="G146" s="5" t="s">
        <v>52</v>
      </c>
      <c r="H146" s="5" t="s">
        <v>2734</v>
      </c>
      <c r="I146" s="5">
        <v>202501903</v>
      </c>
      <c r="J146" s="5"/>
      <c r="K146" s="6">
        <v>45968</v>
      </c>
      <c r="L146" s="6">
        <v>45973</v>
      </c>
      <c r="M146" s="42" t="s">
        <v>53</v>
      </c>
      <c r="N146" s="42" t="s">
        <v>54</v>
      </c>
      <c r="O146" s="42" t="s">
        <v>41</v>
      </c>
      <c r="P146" s="30">
        <f t="shared" si="6"/>
        <v>5</v>
      </c>
      <c r="Q146" s="41">
        <v>3036.3636363636365</v>
      </c>
      <c r="R146" s="41">
        <v>5500</v>
      </c>
      <c r="S146" s="41">
        <f t="shared" si="7"/>
        <v>2463.6363636363635</v>
      </c>
    </row>
    <row r="147" spans="1:19">
      <c r="A147" s="5">
        <v>146</v>
      </c>
      <c r="B147" s="5">
        <v>2511073166</v>
      </c>
      <c r="C147" s="5" t="s">
        <v>2754</v>
      </c>
      <c r="D147" s="5" t="s">
        <v>83</v>
      </c>
      <c r="E147" s="5" t="s">
        <v>2755</v>
      </c>
      <c r="F147" s="5" t="s">
        <v>62</v>
      </c>
      <c r="G147" s="5" t="s">
        <v>52</v>
      </c>
      <c r="H147" s="5" t="s">
        <v>2734</v>
      </c>
      <c r="I147" s="5">
        <v>202501904</v>
      </c>
      <c r="J147" s="5"/>
      <c r="K147" s="6">
        <v>45968</v>
      </c>
      <c r="L147" s="6">
        <v>45973</v>
      </c>
      <c r="M147" s="42" t="s">
        <v>53</v>
      </c>
      <c r="N147" s="42" t="s">
        <v>54</v>
      </c>
      <c r="O147" s="42" t="s">
        <v>41</v>
      </c>
      <c r="P147" s="30">
        <f t="shared" si="6"/>
        <v>5</v>
      </c>
      <c r="Q147" s="41">
        <v>3036.3636363636365</v>
      </c>
      <c r="R147" s="41">
        <v>6000</v>
      </c>
      <c r="S147" s="41">
        <f t="shared" si="7"/>
        <v>2963.6363636363635</v>
      </c>
    </row>
    <row r="148" spans="1:19">
      <c r="A148" s="5">
        <v>147</v>
      </c>
      <c r="B148" s="5">
        <v>2511073172</v>
      </c>
      <c r="C148" s="5" t="s">
        <v>2756</v>
      </c>
      <c r="D148" s="5" t="s">
        <v>706</v>
      </c>
      <c r="E148" s="5" t="s">
        <v>1944</v>
      </c>
      <c r="F148" s="5" t="s">
        <v>141</v>
      </c>
      <c r="G148" s="5" t="s">
        <v>52</v>
      </c>
      <c r="H148" s="5" t="s">
        <v>2734</v>
      </c>
      <c r="I148" s="5">
        <v>202501905</v>
      </c>
      <c r="J148" s="5"/>
      <c r="K148" s="6">
        <v>45968</v>
      </c>
      <c r="L148" s="6">
        <v>45973</v>
      </c>
      <c r="M148" s="42" t="s">
        <v>53</v>
      </c>
      <c r="N148" s="42" t="s">
        <v>54</v>
      </c>
      <c r="O148" s="42" t="s">
        <v>41</v>
      </c>
      <c r="P148" s="30">
        <f t="shared" si="6"/>
        <v>5</v>
      </c>
      <c r="Q148" s="41">
        <v>3036.3636363636365</v>
      </c>
      <c r="R148" s="41">
        <v>6000</v>
      </c>
      <c r="S148" s="41">
        <f t="shared" si="7"/>
        <v>2963.6363636363635</v>
      </c>
    </row>
    <row r="149" spans="1:19">
      <c r="A149" s="5">
        <v>148</v>
      </c>
      <c r="B149" s="9">
        <v>2511073176</v>
      </c>
      <c r="C149" s="9" t="s">
        <v>2757</v>
      </c>
      <c r="D149" s="9" t="s">
        <v>405</v>
      </c>
      <c r="E149" s="9" t="s">
        <v>2238</v>
      </c>
      <c r="F149" s="9" t="s">
        <v>202</v>
      </c>
      <c r="G149" s="9" t="s">
        <v>52</v>
      </c>
      <c r="H149" s="9" t="s">
        <v>2734</v>
      </c>
      <c r="I149" s="9">
        <v>202501906</v>
      </c>
      <c r="J149" s="9"/>
      <c r="K149" s="10">
        <v>45968</v>
      </c>
      <c r="L149" s="10">
        <v>45973</v>
      </c>
      <c r="M149" s="54" t="s">
        <v>45</v>
      </c>
      <c r="N149" s="54" t="s">
        <v>94</v>
      </c>
      <c r="O149" s="54" t="s">
        <v>1698</v>
      </c>
      <c r="P149" s="32">
        <f t="shared" si="6"/>
        <v>5</v>
      </c>
      <c r="Q149" s="11">
        <v>3036.3636363636365</v>
      </c>
      <c r="R149" s="11">
        <v>6450</v>
      </c>
      <c r="S149" s="11">
        <f t="shared" si="7"/>
        <v>3413.6363636363635</v>
      </c>
    </row>
    <row r="150" spans="1:19">
      <c r="A150" s="5">
        <v>149</v>
      </c>
      <c r="B150" s="9">
        <v>2511073189</v>
      </c>
      <c r="C150" s="9" t="s">
        <v>2758</v>
      </c>
      <c r="D150" s="9" t="s">
        <v>393</v>
      </c>
      <c r="E150" s="9" t="s">
        <v>394</v>
      </c>
      <c r="F150" s="9" t="s">
        <v>202</v>
      </c>
      <c r="G150" s="9" t="s">
        <v>43</v>
      </c>
      <c r="H150" s="9" t="s">
        <v>2734</v>
      </c>
      <c r="I150" s="9">
        <v>202501907</v>
      </c>
      <c r="J150" s="9"/>
      <c r="K150" s="10">
        <v>45968</v>
      </c>
      <c r="L150" s="10">
        <v>45973</v>
      </c>
      <c r="M150" s="54" t="s">
        <v>45</v>
      </c>
      <c r="N150" s="54" t="s">
        <v>94</v>
      </c>
      <c r="O150" s="54" t="s">
        <v>2736</v>
      </c>
      <c r="P150" s="32">
        <f t="shared" si="6"/>
        <v>5</v>
      </c>
      <c r="Q150" s="11">
        <v>3036.3636363636365</v>
      </c>
      <c r="R150" s="11">
        <v>13500</v>
      </c>
      <c r="S150" s="11">
        <f t="shared" si="7"/>
        <v>10463.636363636364</v>
      </c>
    </row>
    <row r="151" spans="1:19">
      <c r="A151" s="5">
        <v>150</v>
      </c>
      <c r="B151" s="5">
        <v>2511073193</v>
      </c>
      <c r="C151" s="5" t="s">
        <v>2759</v>
      </c>
      <c r="D151" s="5" t="s">
        <v>405</v>
      </c>
      <c r="E151" s="5" t="s">
        <v>1519</v>
      </c>
      <c r="F151" s="5" t="s">
        <v>202</v>
      </c>
      <c r="G151" s="5" t="s">
        <v>52</v>
      </c>
      <c r="H151" s="5" t="s">
        <v>2734</v>
      </c>
      <c r="I151" s="5">
        <v>202501908</v>
      </c>
      <c r="J151" s="5"/>
      <c r="K151" s="6">
        <v>45968</v>
      </c>
      <c r="L151" s="6">
        <v>45973</v>
      </c>
      <c r="M151" s="42" t="s">
        <v>53</v>
      </c>
      <c r="N151" s="42" t="s">
        <v>54</v>
      </c>
      <c r="O151" s="42" t="s">
        <v>41</v>
      </c>
      <c r="P151" s="30">
        <f t="shared" si="6"/>
        <v>5</v>
      </c>
      <c r="Q151" s="41">
        <v>3036.3636363636365</v>
      </c>
      <c r="R151" s="41">
        <v>6450</v>
      </c>
      <c r="S151" s="41">
        <f t="shared" si="7"/>
        <v>3413.6363636363635</v>
      </c>
    </row>
    <row r="152" spans="1:19">
      <c r="A152" s="5">
        <v>151</v>
      </c>
      <c r="B152" s="5">
        <v>2511082383</v>
      </c>
      <c r="C152" s="5" t="s">
        <v>2760</v>
      </c>
      <c r="D152" s="5" t="s">
        <v>908</v>
      </c>
      <c r="E152" s="5" t="s">
        <v>1478</v>
      </c>
      <c r="F152" s="5" t="s">
        <v>362</v>
      </c>
      <c r="G152" s="5" t="s">
        <v>52</v>
      </c>
      <c r="H152" s="5" t="s">
        <v>2734</v>
      </c>
      <c r="I152" s="5">
        <v>202501909</v>
      </c>
      <c r="J152" s="5"/>
      <c r="K152" s="6">
        <v>45969</v>
      </c>
      <c r="L152" s="6">
        <v>45973</v>
      </c>
      <c r="M152" s="42" t="s">
        <v>53</v>
      </c>
      <c r="N152" s="42" t="s">
        <v>54</v>
      </c>
      <c r="O152" s="42" t="s">
        <v>41</v>
      </c>
      <c r="P152" s="30">
        <f t="shared" si="6"/>
        <v>4</v>
      </c>
      <c r="Q152" s="41">
        <v>3036.3636363636365</v>
      </c>
      <c r="R152" s="41">
        <v>5500</v>
      </c>
      <c r="S152" s="41">
        <f t="shared" si="7"/>
        <v>2463.6363636363635</v>
      </c>
    </row>
    <row r="153" spans="1:19">
      <c r="A153" s="5">
        <v>152</v>
      </c>
      <c r="B153" s="5">
        <v>2511082403</v>
      </c>
      <c r="C153" s="5" t="s">
        <v>2761</v>
      </c>
      <c r="D153" s="5" t="s">
        <v>733</v>
      </c>
      <c r="E153" s="5" t="s">
        <v>2762</v>
      </c>
      <c r="F153" s="5" t="s">
        <v>51</v>
      </c>
      <c r="G153" s="5" t="s">
        <v>52</v>
      </c>
      <c r="H153" s="5" t="s">
        <v>2734</v>
      </c>
      <c r="I153" s="5">
        <v>202501910</v>
      </c>
      <c r="J153" s="5"/>
      <c r="K153" s="6">
        <v>45969</v>
      </c>
      <c r="L153" s="6">
        <v>45973</v>
      </c>
      <c r="M153" s="42" t="s">
        <v>53</v>
      </c>
      <c r="N153" s="42" t="s">
        <v>54</v>
      </c>
      <c r="O153" s="42" t="s">
        <v>41</v>
      </c>
      <c r="P153" s="30">
        <f t="shared" si="6"/>
        <v>4</v>
      </c>
      <c r="Q153" s="41">
        <v>3036.3636363636365</v>
      </c>
      <c r="R153" s="41">
        <v>5300</v>
      </c>
      <c r="S153" s="41">
        <f t="shared" si="7"/>
        <v>2263.6363636363635</v>
      </c>
    </row>
    <row r="154" spans="1:19">
      <c r="A154" s="5">
        <v>153</v>
      </c>
      <c r="B154" s="9">
        <v>2511082410</v>
      </c>
      <c r="C154" s="9" t="s">
        <v>2763</v>
      </c>
      <c r="D154" s="9" t="s">
        <v>775</v>
      </c>
      <c r="E154" s="9" t="s">
        <v>1449</v>
      </c>
      <c r="F154" s="9" t="s">
        <v>202</v>
      </c>
      <c r="G154" s="9" t="s">
        <v>43</v>
      </c>
      <c r="H154" s="9" t="s">
        <v>2734</v>
      </c>
      <c r="I154" s="9">
        <v>202501911</v>
      </c>
      <c r="J154" s="9"/>
      <c r="K154" s="10">
        <v>45969</v>
      </c>
      <c r="L154" s="10">
        <v>45973</v>
      </c>
      <c r="M154" s="54" t="s">
        <v>45</v>
      </c>
      <c r="N154" s="54" t="s">
        <v>94</v>
      </c>
      <c r="O154" s="54" t="s">
        <v>2736</v>
      </c>
      <c r="P154" s="32">
        <f t="shared" si="6"/>
        <v>4</v>
      </c>
      <c r="Q154" s="11">
        <v>3036.3636363636365</v>
      </c>
      <c r="R154" s="11">
        <v>14000</v>
      </c>
      <c r="S154" s="11">
        <f t="shared" si="7"/>
        <v>10963.636363636364</v>
      </c>
    </row>
    <row r="155" spans="1:19">
      <c r="A155" s="5">
        <v>154</v>
      </c>
      <c r="B155" s="5">
        <v>2511082413</v>
      </c>
      <c r="C155" s="5" t="s">
        <v>2764</v>
      </c>
      <c r="D155" s="5" t="s">
        <v>309</v>
      </c>
      <c r="E155" s="5" t="s">
        <v>1597</v>
      </c>
      <c r="F155" s="5" t="s">
        <v>51</v>
      </c>
      <c r="G155" s="5" t="s">
        <v>52</v>
      </c>
      <c r="H155" s="5" t="s">
        <v>2734</v>
      </c>
      <c r="I155" s="5">
        <v>202501912</v>
      </c>
      <c r="J155" s="5"/>
      <c r="K155" s="6">
        <v>45969</v>
      </c>
      <c r="L155" s="6">
        <v>45973</v>
      </c>
      <c r="M155" s="42" t="s">
        <v>53</v>
      </c>
      <c r="N155" s="42" t="s">
        <v>54</v>
      </c>
      <c r="O155" s="42" t="s">
        <v>41</v>
      </c>
      <c r="P155" s="30">
        <f t="shared" si="6"/>
        <v>4</v>
      </c>
      <c r="Q155" s="41">
        <v>3036.3636363636365</v>
      </c>
      <c r="R155" s="41">
        <v>5500</v>
      </c>
      <c r="S155" s="41">
        <f t="shared" si="7"/>
        <v>2463.6363636363635</v>
      </c>
    </row>
    <row r="156" spans="1:19">
      <c r="A156" s="5">
        <v>155</v>
      </c>
      <c r="B156" s="5">
        <v>2511082419</v>
      </c>
      <c r="C156" s="5" t="s">
        <v>2765</v>
      </c>
      <c r="D156" s="5" t="s">
        <v>309</v>
      </c>
      <c r="E156" s="5" t="s">
        <v>1597</v>
      </c>
      <c r="F156" s="5" t="s">
        <v>51</v>
      </c>
      <c r="G156" s="5" t="s">
        <v>52</v>
      </c>
      <c r="H156" s="5" t="s">
        <v>2734</v>
      </c>
      <c r="I156" s="5">
        <v>202501913</v>
      </c>
      <c r="J156" s="5"/>
      <c r="K156" s="6">
        <v>45969</v>
      </c>
      <c r="L156" s="6">
        <v>45973</v>
      </c>
      <c r="M156" s="42" t="s">
        <v>53</v>
      </c>
      <c r="N156" s="42" t="s">
        <v>54</v>
      </c>
      <c r="O156" s="42" t="s">
        <v>41</v>
      </c>
      <c r="P156" s="30">
        <f t="shared" si="6"/>
        <v>4</v>
      </c>
      <c r="Q156" s="41">
        <v>3036.3636363636365</v>
      </c>
      <c r="R156" s="41">
        <v>5500</v>
      </c>
      <c r="S156" s="41">
        <f t="shared" si="7"/>
        <v>2463.6363636363635</v>
      </c>
    </row>
    <row r="157" spans="1:19">
      <c r="A157" s="5">
        <v>156</v>
      </c>
      <c r="B157" s="5">
        <v>2511080010</v>
      </c>
      <c r="C157" s="5" t="s">
        <v>2766</v>
      </c>
      <c r="D157" s="5" t="s">
        <v>40</v>
      </c>
      <c r="E157" s="5" t="s">
        <v>41</v>
      </c>
      <c r="F157" s="5" t="s">
        <v>42</v>
      </c>
      <c r="G157" s="5" t="s">
        <v>52</v>
      </c>
      <c r="H157" s="5" t="s">
        <v>2734</v>
      </c>
      <c r="I157" s="5">
        <v>202501914</v>
      </c>
      <c r="J157" s="5"/>
      <c r="K157" s="6">
        <v>45969</v>
      </c>
      <c r="L157" s="6">
        <v>45973</v>
      </c>
      <c r="M157" s="42" t="s">
        <v>53</v>
      </c>
      <c r="N157" s="42" t="s">
        <v>54</v>
      </c>
      <c r="O157" s="42" t="s">
        <v>41</v>
      </c>
      <c r="P157" s="30">
        <f t="shared" si="6"/>
        <v>4</v>
      </c>
      <c r="Q157" s="41">
        <v>3036.3636363636365</v>
      </c>
      <c r="R157" s="41">
        <v>9500</v>
      </c>
      <c r="S157" s="41">
        <f t="shared" si="7"/>
        <v>6463.636363636364</v>
      </c>
    </row>
    <row r="158" spans="1:19">
      <c r="A158" s="5">
        <v>157</v>
      </c>
      <c r="B158" s="5">
        <v>2511082434</v>
      </c>
      <c r="C158" s="5" t="s">
        <v>2767</v>
      </c>
      <c r="D158" s="5" t="s">
        <v>103</v>
      </c>
      <c r="E158" s="5" t="s">
        <v>1447</v>
      </c>
      <c r="F158" s="5" t="s">
        <v>51</v>
      </c>
      <c r="G158" s="5" t="s">
        <v>52</v>
      </c>
      <c r="H158" s="5" t="s">
        <v>2734</v>
      </c>
      <c r="I158" s="5">
        <v>202501915</v>
      </c>
      <c r="J158" s="5"/>
      <c r="K158" s="6">
        <v>45969</v>
      </c>
      <c r="L158" s="6">
        <v>45973</v>
      </c>
      <c r="M158" s="42" t="s">
        <v>53</v>
      </c>
      <c r="N158" s="42" t="s">
        <v>54</v>
      </c>
      <c r="O158" s="42" t="s">
        <v>41</v>
      </c>
      <c r="P158" s="30">
        <f t="shared" si="6"/>
        <v>4</v>
      </c>
      <c r="Q158" s="41">
        <v>3036.3636363636365</v>
      </c>
      <c r="R158" s="41">
        <v>8000</v>
      </c>
      <c r="S158" s="41">
        <f t="shared" si="7"/>
        <v>4963.636363636364</v>
      </c>
    </row>
    <row r="159" spans="1:19">
      <c r="A159" s="5">
        <v>158</v>
      </c>
      <c r="B159" s="5">
        <v>2511082439</v>
      </c>
      <c r="C159" s="5" t="s">
        <v>2768</v>
      </c>
      <c r="D159" s="5" t="s">
        <v>745</v>
      </c>
      <c r="E159" s="5" t="s">
        <v>1482</v>
      </c>
      <c r="F159" s="5" t="s">
        <v>202</v>
      </c>
      <c r="G159" s="5" t="s">
        <v>75</v>
      </c>
      <c r="H159" s="5" t="s">
        <v>2734</v>
      </c>
      <c r="I159" s="5">
        <v>202501916</v>
      </c>
      <c r="J159" s="5"/>
      <c r="K159" s="6">
        <v>45969</v>
      </c>
      <c r="L159" s="6">
        <v>45973</v>
      </c>
      <c r="M159" s="42" t="s">
        <v>53</v>
      </c>
      <c r="N159" s="42" t="s">
        <v>54</v>
      </c>
      <c r="O159" s="42" t="s">
        <v>41</v>
      </c>
      <c r="P159" s="30">
        <f t="shared" si="6"/>
        <v>4</v>
      </c>
      <c r="Q159" s="41">
        <v>3036.3636363636365</v>
      </c>
      <c r="R159" s="41">
        <v>4900</v>
      </c>
      <c r="S159" s="41">
        <f t="shared" si="7"/>
        <v>1863.6363636363635</v>
      </c>
    </row>
    <row r="160" spans="1:19">
      <c r="A160" s="5">
        <v>159</v>
      </c>
      <c r="B160" s="5" t="s">
        <v>1239</v>
      </c>
      <c r="C160" s="5"/>
      <c r="D160" s="5"/>
      <c r="E160" s="5"/>
      <c r="F160" s="5"/>
      <c r="G160" s="5" t="s">
        <v>52</v>
      </c>
      <c r="H160" s="5"/>
      <c r="I160" s="5"/>
      <c r="J160" s="5"/>
      <c r="K160" s="5"/>
      <c r="L160" s="5"/>
      <c r="M160" s="5"/>
      <c r="N160" s="5"/>
      <c r="O160" s="5"/>
      <c r="P160" s="5"/>
      <c r="Q160" s="8">
        <v>3036.3636363636365</v>
      </c>
      <c r="R160" s="41">
        <v>0</v>
      </c>
      <c r="S160" s="41">
        <f t="shared" si="7"/>
        <v>-3036.3636363636365</v>
      </c>
    </row>
    <row r="161" spans="1:19">
      <c r="A161" s="5">
        <v>160</v>
      </c>
      <c r="B161" s="5" t="s">
        <v>1240</v>
      </c>
      <c r="C161" s="5"/>
      <c r="D161" s="5"/>
      <c r="E161" s="5"/>
      <c r="F161" s="5"/>
      <c r="G161" s="5" t="s">
        <v>52</v>
      </c>
      <c r="H161" s="5"/>
      <c r="I161" s="5"/>
      <c r="J161" s="5"/>
      <c r="K161" s="5"/>
      <c r="L161" s="5"/>
      <c r="M161" s="5"/>
      <c r="N161" s="5"/>
      <c r="O161" s="5"/>
      <c r="P161" s="5"/>
      <c r="Q161" s="8">
        <v>3036.3636363636365</v>
      </c>
      <c r="R161" s="41">
        <v>0</v>
      </c>
      <c r="S161" s="41">
        <f t="shared" si="7"/>
        <v>-3036.3636363636365</v>
      </c>
    </row>
    <row r="162" spans="1:19">
      <c r="A162" s="5">
        <v>161</v>
      </c>
      <c r="B162" s="17">
        <v>2510292911</v>
      </c>
      <c r="C162" s="17" t="s">
        <v>2596</v>
      </c>
      <c r="D162" s="17" t="s">
        <v>810</v>
      </c>
      <c r="E162" s="17" t="s">
        <v>853</v>
      </c>
      <c r="F162" s="17" t="s">
        <v>457</v>
      </c>
      <c r="G162" s="17" t="s">
        <v>43</v>
      </c>
      <c r="H162" s="17" t="s">
        <v>2769</v>
      </c>
      <c r="I162" s="17" t="s">
        <v>2770</v>
      </c>
      <c r="J162" s="17"/>
      <c r="K162" s="18">
        <v>45968</v>
      </c>
      <c r="L162" s="18">
        <v>45975</v>
      </c>
      <c r="M162" s="46" t="s">
        <v>53</v>
      </c>
      <c r="N162" s="46" t="s">
        <v>480</v>
      </c>
      <c r="O162" s="46" t="s">
        <v>2771</v>
      </c>
      <c r="P162" s="31">
        <f t="shared" ref="P162:P188" si="8">L162-K162</f>
        <v>7</v>
      </c>
      <c r="Q162" s="19">
        <v>2452.5862068965516</v>
      </c>
      <c r="R162" s="19">
        <v>0</v>
      </c>
      <c r="S162" s="19">
        <f t="shared" si="7"/>
        <v>-2452.5862068965516</v>
      </c>
    </row>
    <row r="163" spans="1:19">
      <c r="A163" s="5">
        <v>162</v>
      </c>
      <c r="B163" s="9">
        <v>2511032174</v>
      </c>
      <c r="C163" s="9" t="s">
        <v>2650</v>
      </c>
      <c r="D163" s="9" t="s">
        <v>64</v>
      </c>
      <c r="E163" s="9" t="s">
        <v>1498</v>
      </c>
      <c r="F163" s="9" t="s">
        <v>66</v>
      </c>
      <c r="G163" s="9" t="s">
        <v>52</v>
      </c>
      <c r="H163" s="9" t="s">
        <v>2769</v>
      </c>
      <c r="I163" s="9" t="s">
        <v>2772</v>
      </c>
      <c r="J163" s="9"/>
      <c r="K163" s="10">
        <v>45972</v>
      </c>
      <c r="L163" s="10">
        <v>45975</v>
      </c>
      <c r="M163" s="54" t="s">
        <v>45</v>
      </c>
      <c r="N163" s="54" t="s">
        <v>94</v>
      </c>
      <c r="O163" s="54" t="s">
        <v>2604</v>
      </c>
      <c r="P163" s="32">
        <f t="shared" si="8"/>
        <v>3</v>
      </c>
      <c r="Q163" s="11">
        <v>2452.5862068965516</v>
      </c>
      <c r="R163" s="11">
        <v>0</v>
      </c>
      <c r="S163" s="11">
        <f t="shared" si="7"/>
        <v>-2452.5862068965516</v>
      </c>
    </row>
    <row r="164" spans="1:19">
      <c r="A164" s="5">
        <v>163</v>
      </c>
      <c r="B164" s="22">
        <v>2511073176</v>
      </c>
      <c r="C164" s="22" t="s">
        <v>2757</v>
      </c>
      <c r="D164" s="22" t="s">
        <v>405</v>
      </c>
      <c r="E164" s="22" t="s">
        <v>2238</v>
      </c>
      <c r="F164" s="22" t="s">
        <v>202</v>
      </c>
      <c r="G164" s="22" t="s">
        <v>52</v>
      </c>
      <c r="H164" s="22" t="s">
        <v>2769</v>
      </c>
      <c r="I164" s="22" t="s">
        <v>2773</v>
      </c>
      <c r="J164" s="22"/>
      <c r="K164" s="23">
        <v>45968</v>
      </c>
      <c r="L164" s="23">
        <v>45975</v>
      </c>
      <c r="M164" s="50" t="s">
        <v>53</v>
      </c>
      <c r="N164" s="50" t="s">
        <v>54</v>
      </c>
      <c r="O164" s="50" t="s">
        <v>41</v>
      </c>
      <c r="P164" s="34">
        <f t="shared" si="8"/>
        <v>7</v>
      </c>
      <c r="Q164" s="24">
        <v>2452.5862068965516</v>
      </c>
      <c r="R164" s="24">
        <v>0</v>
      </c>
      <c r="S164" s="24">
        <f t="shared" si="7"/>
        <v>-2452.5862068965516</v>
      </c>
    </row>
    <row r="165" spans="1:19">
      <c r="A165" s="5">
        <v>164</v>
      </c>
      <c r="B165" s="22">
        <v>2511073189</v>
      </c>
      <c r="C165" s="22" t="s">
        <v>2758</v>
      </c>
      <c r="D165" s="22" t="s">
        <v>393</v>
      </c>
      <c r="E165" s="22" t="s">
        <v>394</v>
      </c>
      <c r="F165" s="22" t="s">
        <v>202</v>
      </c>
      <c r="G165" s="22" t="s">
        <v>43</v>
      </c>
      <c r="H165" s="22" t="s">
        <v>2769</v>
      </c>
      <c r="I165" s="22" t="s">
        <v>2774</v>
      </c>
      <c r="J165" s="22"/>
      <c r="K165" s="23">
        <v>45968</v>
      </c>
      <c r="L165" s="23">
        <v>45975</v>
      </c>
      <c r="M165" s="50" t="s">
        <v>53</v>
      </c>
      <c r="N165" s="50" t="s">
        <v>54</v>
      </c>
      <c r="O165" s="50" t="s">
        <v>41</v>
      </c>
      <c r="P165" s="34">
        <f t="shared" si="8"/>
        <v>7</v>
      </c>
      <c r="Q165" s="24">
        <v>2452.5862068965516</v>
      </c>
      <c r="R165" s="24">
        <v>0</v>
      </c>
      <c r="S165" s="24">
        <f t="shared" si="7"/>
        <v>-2452.5862068965516</v>
      </c>
    </row>
    <row r="166" spans="1:19">
      <c r="A166" s="5">
        <v>165</v>
      </c>
      <c r="B166" s="22">
        <v>2511082410</v>
      </c>
      <c r="C166" s="22" t="s">
        <v>2763</v>
      </c>
      <c r="D166" s="22" t="s">
        <v>775</v>
      </c>
      <c r="E166" s="22" t="s">
        <v>1449</v>
      </c>
      <c r="F166" s="22" t="s">
        <v>202</v>
      </c>
      <c r="G166" s="22" t="s">
        <v>43</v>
      </c>
      <c r="H166" s="22" t="s">
        <v>2769</v>
      </c>
      <c r="I166" s="22" t="s">
        <v>2775</v>
      </c>
      <c r="J166" s="22"/>
      <c r="K166" s="23">
        <v>45969</v>
      </c>
      <c r="L166" s="23">
        <v>45975</v>
      </c>
      <c r="M166" s="50" t="s">
        <v>53</v>
      </c>
      <c r="N166" s="50" t="s">
        <v>54</v>
      </c>
      <c r="O166" s="50" t="s">
        <v>41</v>
      </c>
      <c r="P166" s="34">
        <f t="shared" si="8"/>
        <v>6</v>
      </c>
      <c r="Q166" s="24">
        <v>2452.5862068965516</v>
      </c>
      <c r="R166" s="24">
        <v>0</v>
      </c>
      <c r="S166" s="24">
        <f t="shared" si="7"/>
        <v>-2452.5862068965516</v>
      </c>
    </row>
    <row r="167" spans="1:19">
      <c r="A167" s="5">
        <v>166</v>
      </c>
      <c r="B167" s="5">
        <v>2511090022</v>
      </c>
      <c r="C167" s="5" t="s">
        <v>2776</v>
      </c>
      <c r="D167" s="5" t="s">
        <v>40</v>
      </c>
      <c r="E167" s="5" t="s">
        <v>41</v>
      </c>
      <c r="F167" s="5" t="s">
        <v>42</v>
      </c>
      <c r="G167" s="5" t="s">
        <v>190</v>
      </c>
      <c r="H167" s="5" t="s">
        <v>2769</v>
      </c>
      <c r="I167" s="5">
        <v>202501917</v>
      </c>
      <c r="J167" s="5"/>
      <c r="K167" s="6">
        <v>45970</v>
      </c>
      <c r="L167" s="6">
        <v>45975</v>
      </c>
      <c r="M167" s="42" t="s">
        <v>53</v>
      </c>
      <c r="N167" s="42" t="s">
        <v>54</v>
      </c>
      <c r="O167" s="42" t="s">
        <v>41</v>
      </c>
      <c r="P167" s="30">
        <f t="shared" si="8"/>
        <v>5</v>
      </c>
      <c r="Q167" s="41">
        <v>2452.5862068965516</v>
      </c>
      <c r="R167" s="41">
        <v>13500</v>
      </c>
      <c r="S167" s="41">
        <f t="shared" si="7"/>
        <v>11047.413793103449</v>
      </c>
    </row>
    <row r="168" spans="1:19">
      <c r="A168" s="5">
        <v>167</v>
      </c>
      <c r="B168" s="5">
        <v>2511090701</v>
      </c>
      <c r="C168" s="5" t="s">
        <v>2777</v>
      </c>
      <c r="D168" s="5" t="s">
        <v>293</v>
      </c>
      <c r="E168" s="5" t="s">
        <v>2131</v>
      </c>
      <c r="F168" s="5" t="s">
        <v>51</v>
      </c>
      <c r="G168" s="5" t="s">
        <v>52</v>
      </c>
      <c r="H168" s="5" t="s">
        <v>2769</v>
      </c>
      <c r="I168" s="5">
        <v>202501918</v>
      </c>
      <c r="J168" s="5"/>
      <c r="K168" s="6">
        <v>45970</v>
      </c>
      <c r="L168" s="6">
        <v>45975</v>
      </c>
      <c r="M168" s="42" t="s">
        <v>53</v>
      </c>
      <c r="N168" s="42" t="s">
        <v>54</v>
      </c>
      <c r="O168" s="42" t="s">
        <v>41</v>
      </c>
      <c r="P168" s="30">
        <f t="shared" si="8"/>
        <v>5</v>
      </c>
      <c r="Q168" s="41">
        <v>2452.5862068965516</v>
      </c>
      <c r="R168" s="41">
        <v>6000</v>
      </c>
      <c r="S168" s="41">
        <f t="shared" si="7"/>
        <v>3547.4137931034484</v>
      </c>
    </row>
    <row r="169" spans="1:19">
      <c r="A169" s="5">
        <v>168</v>
      </c>
      <c r="B169" s="5">
        <v>2511090702</v>
      </c>
      <c r="C169" s="5" t="s">
        <v>2778</v>
      </c>
      <c r="D169" s="5" t="s">
        <v>908</v>
      </c>
      <c r="E169" s="5" t="s">
        <v>1478</v>
      </c>
      <c r="F169" s="5" t="s">
        <v>362</v>
      </c>
      <c r="G169" s="5" t="s">
        <v>43</v>
      </c>
      <c r="H169" s="5" t="s">
        <v>2769</v>
      </c>
      <c r="I169" s="5">
        <v>202501919</v>
      </c>
      <c r="J169" s="5"/>
      <c r="K169" s="6">
        <v>45970</v>
      </c>
      <c r="L169" s="6">
        <v>45975</v>
      </c>
      <c r="M169" s="42" t="s">
        <v>53</v>
      </c>
      <c r="N169" s="42" t="s">
        <v>54</v>
      </c>
      <c r="O169" s="42" t="s">
        <v>41</v>
      </c>
      <c r="P169" s="30">
        <f t="shared" si="8"/>
        <v>5</v>
      </c>
      <c r="Q169" s="41">
        <v>2452.5862068965516</v>
      </c>
      <c r="R169" s="41">
        <v>10500</v>
      </c>
      <c r="S169" s="41">
        <f t="shared" si="7"/>
        <v>8047.4137931034484</v>
      </c>
    </row>
    <row r="170" spans="1:19">
      <c r="A170" s="5">
        <v>169</v>
      </c>
      <c r="B170" s="5">
        <v>2511090703</v>
      </c>
      <c r="C170" s="5" t="s">
        <v>2779</v>
      </c>
      <c r="D170" s="5" t="s">
        <v>1475</v>
      </c>
      <c r="E170" s="5" t="s">
        <v>1476</v>
      </c>
      <c r="F170" s="5" t="s">
        <v>362</v>
      </c>
      <c r="G170" s="5" t="s">
        <v>75</v>
      </c>
      <c r="H170" s="5" t="s">
        <v>2769</v>
      </c>
      <c r="I170" s="5">
        <v>202501920</v>
      </c>
      <c r="J170" s="5"/>
      <c r="K170" s="6">
        <v>45970</v>
      </c>
      <c r="L170" s="6">
        <v>45975</v>
      </c>
      <c r="M170" s="42" t="s">
        <v>53</v>
      </c>
      <c r="N170" s="42" t="s">
        <v>54</v>
      </c>
      <c r="O170" s="42" t="s">
        <v>41</v>
      </c>
      <c r="P170" s="30">
        <f t="shared" si="8"/>
        <v>5</v>
      </c>
      <c r="Q170" s="41">
        <v>2452.5862068965516</v>
      </c>
      <c r="R170" s="41">
        <v>4500</v>
      </c>
      <c r="S170" s="41">
        <f t="shared" si="7"/>
        <v>2047.4137931034484</v>
      </c>
    </row>
    <row r="171" spans="1:19">
      <c r="A171" s="5">
        <v>170</v>
      </c>
      <c r="B171" s="5">
        <v>2511090704</v>
      </c>
      <c r="C171" s="5" t="s">
        <v>2780</v>
      </c>
      <c r="D171" s="5" t="s">
        <v>2781</v>
      </c>
      <c r="E171" s="5" t="s">
        <v>2782</v>
      </c>
      <c r="F171" s="5" t="s">
        <v>58</v>
      </c>
      <c r="G171" s="5" t="s">
        <v>190</v>
      </c>
      <c r="H171" s="5" t="s">
        <v>2769</v>
      </c>
      <c r="I171" s="5">
        <v>202501921</v>
      </c>
      <c r="J171" s="5"/>
      <c r="K171" s="6">
        <v>45970</v>
      </c>
      <c r="L171" s="6">
        <v>45975</v>
      </c>
      <c r="M171" s="42" t="s">
        <v>53</v>
      </c>
      <c r="N171" s="42" t="s">
        <v>54</v>
      </c>
      <c r="O171" s="42" t="s">
        <v>41</v>
      </c>
      <c r="P171" s="30">
        <f t="shared" si="8"/>
        <v>5</v>
      </c>
      <c r="Q171" s="41">
        <v>2452.5862068965516</v>
      </c>
      <c r="R171" s="41">
        <v>13500</v>
      </c>
      <c r="S171" s="41">
        <f t="shared" si="7"/>
        <v>11047.413793103449</v>
      </c>
    </row>
    <row r="172" spans="1:19">
      <c r="A172" s="5">
        <v>171</v>
      </c>
      <c r="B172" s="9">
        <v>2511090705</v>
      </c>
      <c r="C172" s="9" t="s">
        <v>2783</v>
      </c>
      <c r="D172" s="9" t="s">
        <v>733</v>
      </c>
      <c r="E172" s="9" t="s">
        <v>997</v>
      </c>
      <c r="F172" s="9" t="s">
        <v>51</v>
      </c>
      <c r="G172" s="9" t="s">
        <v>75</v>
      </c>
      <c r="H172" s="9" t="s">
        <v>2769</v>
      </c>
      <c r="I172" s="9">
        <v>202501922</v>
      </c>
      <c r="J172" s="9"/>
      <c r="K172" s="10">
        <v>45970</v>
      </c>
      <c r="L172" s="10">
        <v>45975</v>
      </c>
      <c r="M172" s="54" t="s">
        <v>53</v>
      </c>
      <c r="N172" s="54" t="s">
        <v>94</v>
      </c>
      <c r="O172" s="54" t="s">
        <v>2099</v>
      </c>
      <c r="P172" s="32">
        <f t="shared" si="8"/>
        <v>5</v>
      </c>
      <c r="Q172" s="11">
        <v>2452.5862068965516</v>
      </c>
      <c r="R172" s="11">
        <v>2600</v>
      </c>
      <c r="S172" s="11">
        <f t="shared" si="7"/>
        <v>147.41379310344837</v>
      </c>
    </row>
    <row r="173" spans="1:19">
      <c r="A173" s="5">
        <v>172</v>
      </c>
      <c r="B173" s="9">
        <v>2511090706</v>
      </c>
      <c r="C173" s="9" t="s">
        <v>2784</v>
      </c>
      <c r="D173" s="9" t="s">
        <v>1209</v>
      </c>
      <c r="E173" s="9" t="s">
        <v>1210</v>
      </c>
      <c r="F173" s="9" t="s">
        <v>51</v>
      </c>
      <c r="G173" s="9" t="s">
        <v>52</v>
      </c>
      <c r="H173" s="9" t="s">
        <v>2769</v>
      </c>
      <c r="I173" s="9">
        <v>202501923</v>
      </c>
      <c r="J173" s="9"/>
      <c r="K173" s="10">
        <v>45970</v>
      </c>
      <c r="L173" s="10">
        <v>45975</v>
      </c>
      <c r="M173" s="54" t="s">
        <v>53</v>
      </c>
      <c r="N173" s="54" t="s">
        <v>94</v>
      </c>
      <c r="O173" s="54" t="s">
        <v>2785</v>
      </c>
      <c r="P173" s="32">
        <f t="shared" si="8"/>
        <v>5</v>
      </c>
      <c r="Q173" s="11">
        <v>2452.5862068965516</v>
      </c>
      <c r="R173" s="11">
        <v>5500</v>
      </c>
      <c r="S173" s="11">
        <f t="shared" si="7"/>
        <v>3047.4137931034484</v>
      </c>
    </row>
    <row r="174" spans="1:19">
      <c r="A174" s="5">
        <v>173</v>
      </c>
      <c r="B174" s="17">
        <v>2511090707</v>
      </c>
      <c r="C174" s="17" t="s">
        <v>2786</v>
      </c>
      <c r="D174" s="17" t="s">
        <v>1209</v>
      </c>
      <c r="E174" s="17" t="s">
        <v>1210</v>
      </c>
      <c r="F174" s="17" t="s">
        <v>51</v>
      </c>
      <c r="G174" s="17" t="s">
        <v>52</v>
      </c>
      <c r="H174" s="17" t="s">
        <v>2769</v>
      </c>
      <c r="I174" s="17">
        <v>202501924</v>
      </c>
      <c r="J174" s="17"/>
      <c r="K174" s="18">
        <v>45970</v>
      </c>
      <c r="L174" s="18">
        <v>45975</v>
      </c>
      <c r="M174" s="46" t="s">
        <v>53</v>
      </c>
      <c r="N174" s="46" t="s">
        <v>480</v>
      </c>
      <c r="O174" s="46" t="s">
        <v>1157</v>
      </c>
      <c r="P174" s="31">
        <f t="shared" si="8"/>
        <v>5</v>
      </c>
      <c r="Q174" s="19">
        <v>2452.5862068965516</v>
      </c>
      <c r="R174" s="19">
        <v>5500</v>
      </c>
      <c r="S174" s="19">
        <f t="shared" si="7"/>
        <v>3047.4137931034484</v>
      </c>
    </row>
    <row r="175" spans="1:19">
      <c r="A175" s="5">
        <v>174</v>
      </c>
      <c r="B175" s="5">
        <v>2511091149</v>
      </c>
      <c r="C175" s="5" t="s">
        <v>2787</v>
      </c>
      <c r="D175" s="5" t="s">
        <v>2430</v>
      </c>
      <c r="E175" s="5" t="s">
        <v>2428</v>
      </c>
      <c r="F175" s="5" t="s">
        <v>66</v>
      </c>
      <c r="G175" s="5" t="s">
        <v>75</v>
      </c>
      <c r="H175" s="5" t="s">
        <v>2769</v>
      </c>
      <c r="I175" s="5">
        <v>202501925</v>
      </c>
      <c r="J175" s="5"/>
      <c r="K175" s="6">
        <v>45970</v>
      </c>
      <c r="L175" s="6">
        <v>45975</v>
      </c>
      <c r="M175" s="42" t="s">
        <v>53</v>
      </c>
      <c r="N175" s="42" t="s">
        <v>54</v>
      </c>
      <c r="O175" s="42" t="s">
        <v>41</v>
      </c>
      <c r="P175" s="30">
        <f t="shared" si="8"/>
        <v>5</v>
      </c>
      <c r="Q175" s="41">
        <v>2452.5862068965516</v>
      </c>
      <c r="R175" s="41">
        <v>4500</v>
      </c>
      <c r="S175" s="41">
        <f t="shared" si="7"/>
        <v>2047.4137931034484</v>
      </c>
    </row>
    <row r="176" spans="1:19">
      <c r="A176" s="5">
        <v>175</v>
      </c>
      <c r="B176" s="5">
        <v>2511100653</v>
      </c>
      <c r="C176" s="5" t="s">
        <v>2788</v>
      </c>
      <c r="D176" s="5" t="s">
        <v>1662</v>
      </c>
      <c r="E176" s="5" t="s">
        <v>1318</v>
      </c>
      <c r="F176" s="5" t="s">
        <v>58</v>
      </c>
      <c r="G176" s="5" t="s">
        <v>52</v>
      </c>
      <c r="H176" s="5" t="s">
        <v>2769</v>
      </c>
      <c r="I176" s="5">
        <v>202501926</v>
      </c>
      <c r="J176" s="5"/>
      <c r="K176" s="6">
        <v>45971</v>
      </c>
      <c r="L176" s="6">
        <v>45975</v>
      </c>
      <c r="M176" s="42" t="s">
        <v>53</v>
      </c>
      <c r="N176" s="42" t="s">
        <v>54</v>
      </c>
      <c r="O176" s="42" t="s">
        <v>41</v>
      </c>
      <c r="P176" s="30">
        <f t="shared" si="8"/>
        <v>4</v>
      </c>
      <c r="Q176" s="41">
        <v>2452.5862068965516</v>
      </c>
      <c r="R176" s="41">
        <v>5500</v>
      </c>
      <c r="S176" s="41">
        <f t="shared" si="7"/>
        <v>3047.4137931034484</v>
      </c>
    </row>
    <row r="177" spans="1:19">
      <c r="A177" s="5">
        <v>176</v>
      </c>
      <c r="B177" s="9">
        <v>2511100655</v>
      </c>
      <c r="C177" s="9" t="s">
        <v>2789</v>
      </c>
      <c r="D177" s="9" t="s">
        <v>1662</v>
      </c>
      <c r="E177" s="9" t="s">
        <v>1318</v>
      </c>
      <c r="F177" s="9" t="s">
        <v>58</v>
      </c>
      <c r="G177" s="9" t="s">
        <v>52</v>
      </c>
      <c r="H177" s="9" t="s">
        <v>2769</v>
      </c>
      <c r="I177" s="9">
        <v>202501927</v>
      </c>
      <c r="J177" s="9"/>
      <c r="K177" s="10">
        <v>45971</v>
      </c>
      <c r="L177" s="10">
        <v>45975</v>
      </c>
      <c r="M177" s="54" t="s">
        <v>45</v>
      </c>
      <c r="N177" s="54" t="s">
        <v>94</v>
      </c>
      <c r="O177" s="54" t="s">
        <v>2604</v>
      </c>
      <c r="P177" s="32">
        <f t="shared" si="8"/>
        <v>4</v>
      </c>
      <c r="Q177" s="11">
        <v>2452.5862068965516</v>
      </c>
      <c r="R177" s="11">
        <v>5500</v>
      </c>
      <c r="S177" s="11">
        <f t="shared" si="7"/>
        <v>3047.4137931034484</v>
      </c>
    </row>
    <row r="178" spans="1:19">
      <c r="A178" s="5">
        <v>177</v>
      </c>
      <c r="B178" s="5">
        <v>2511100216</v>
      </c>
      <c r="C178" s="5" t="s">
        <v>2790</v>
      </c>
      <c r="D178" s="5" t="s">
        <v>40</v>
      </c>
      <c r="E178" s="5" t="s">
        <v>41</v>
      </c>
      <c r="F178" s="5" t="s">
        <v>42</v>
      </c>
      <c r="G178" s="5" t="s">
        <v>190</v>
      </c>
      <c r="H178" s="5" t="s">
        <v>2769</v>
      </c>
      <c r="I178" s="5">
        <v>202501928</v>
      </c>
      <c r="J178" s="5"/>
      <c r="K178" s="6">
        <v>45971</v>
      </c>
      <c r="L178" s="6">
        <v>45975</v>
      </c>
      <c r="M178" s="42" t="s">
        <v>53</v>
      </c>
      <c r="N178" s="42" t="s">
        <v>54</v>
      </c>
      <c r="O178" s="42" t="s">
        <v>41</v>
      </c>
      <c r="P178" s="30">
        <f t="shared" si="8"/>
        <v>4</v>
      </c>
      <c r="Q178" s="41">
        <v>2452.5862068965516</v>
      </c>
      <c r="R178" s="41">
        <v>13500</v>
      </c>
      <c r="S178" s="41">
        <f t="shared" si="7"/>
        <v>11047.413793103449</v>
      </c>
    </row>
    <row r="179" spans="1:19">
      <c r="A179" s="5">
        <v>178</v>
      </c>
      <c r="B179" s="13">
        <v>2511102240</v>
      </c>
      <c r="C179" s="13" t="s">
        <v>2791</v>
      </c>
      <c r="D179" s="13" t="s">
        <v>2353</v>
      </c>
      <c r="E179" s="13" t="s">
        <v>2354</v>
      </c>
      <c r="F179" s="13" t="s">
        <v>109</v>
      </c>
      <c r="G179" s="13" t="s">
        <v>75</v>
      </c>
      <c r="H179" s="13" t="s">
        <v>2769</v>
      </c>
      <c r="I179" s="13">
        <v>202501929</v>
      </c>
      <c r="J179" s="13"/>
      <c r="K179" s="14">
        <v>45971</v>
      </c>
      <c r="L179" s="14">
        <v>45975</v>
      </c>
      <c r="M179" s="118" t="s">
        <v>45</v>
      </c>
      <c r="N179" s="118" t="s">
        <v>46</v>
      </c>
      <c r="O179" s="118" t="s">
        <v>1523</v>
      </c>
      <c r="P179" s="35">
        <f t="shared" si="8"/>
        <v>4</v>
      </c>
      <c r="Q179" s="15">
        <v>2452.5862068965516</v>
      </c>
      <c r="R179" s="15">
        <v>4500</v>
      </c>
      <c r="S179" s="15">
        <f t="shared" si="7"/>
        <v>2047.4137931034484</v>
      </c>
    </row>
    <row r="180" spans="1:19">
      <c r="A180" s="5">
        <v>179</v>
      </c>
      <c r="B180" s="5">
        <v>2511102246</v>
      </c>
      <c r="C180" s="5" t="s">
        <v>2792</v>
      </c>
      <c r="D180" s="5" t="s">
        <v>564</v>
      </c>
      <c r="E180" s="5" t="s">
        <v>1872</v>
      </c>
      <c r="F180" s="5" t="s">
        <v>71</v>
      </c>
      <c r="G180" s="5" t="s">
        <v>52</v>
      </c>
      <c r="H180" s="5" t="s">
        <v>2769</v>
      </c>
      <c r="I180" s="5">
        <v>202501930</v>
      </c>
      <c r="J180" s="5"/>
      <c r="K180" s="6">
        <v>45971</v>
      </c>
      <c r="L180" s="6">
        <v>45975</v>
      </c>
      <c r="M180" s="42" t="s">
        <v>53</v>
      </c>
      <c r="N180" s="42" t="s">
        <v>54</v>
      </c>
      <c r="O180" s="42" t="s">
        <v>41</v>
      </c>
      <c r="P180" s="30">
        <f t="shared" si="8"/>
        <v>4</v>
      </c>
      <c r="Q180" s="41">
        <v>2452.5862068965516</v>
      </c>
      <c r="R180" s="41">
        <v>8500</v>
      </c>
      <c r="S180" s="41">
        <f t="shared" si="7"/>
        <v>6047.4137931034484</v>
      </c>
    </row>
    <row r="181" spans="1:19">
      <c r="A181" s="5">
        <v>180</v>
      </c>
      <c r="B181" s="13">
        <v>2511102249</v>
      </c>
      <c r="C181" s="13" t="s">
        <v>2793</v>
      </c>
      <c r="D181" s="13" t="s">
        <v>564</v>
      </c>
      <c r="E181" s="13" t="s">
        <v>1872</v>
      </c>
      <c r="F181" s="13" t="s">
        <v>71</v>
      </c>
      <c r="G181" s="13" t="s">
        <v>75</v>
      </c>
      <c r="H181" s="13" t="s">
        <v>2769</v>
      </c>
      <c r="I181" s="13">
        <v>202501931</v>
      </c>
      <c r="J181" s="13"/>
      <c r="K181" s="14">
        <v>45971</v>
      </c>
      <c r="L181" s="14">
        <v>45975</v>
      </c>
      <c r="M181" s="118" t="s">
        <v>45</v>
      </c>
      <c r="N181" s="118" t="s">
        <v>46</v>
      </c>
      <c r="O181" s="118" t="s">
        <v>1603</v>
      </c>
      <c r="P181" s="35">
        <f t="shared" si="8"/>
        <v>4</v>
      </c>
      <c r="Q181" s="15">
        <v>2452.5862068965516</v>
      </c>
      <c r="R181" s="15">
        <v>6500</v>
      </c>
      <c r="S181" s="15">
        <f t="shared" si="7"/>
        <v>4047.4137931034484</v>
      </c>
    </row>
    <row r="182" spans="1:19">
      <c r="A182" s="5">
        <v>181</v>
      </c>
      <c r="B182" s="5">
        <v>2511102255</v>
      </c>
      <c r="C182" s="5" t="s">
        <v>2794</v>
      </c>
      <c r="D182" s="5" t="s">
        <v>2795</v>
      </c>
      <c r="E182" s="5" t="s">
        <v>2796</v>
      </c>
      <c r="F182" s="5" t="s">
        <v>62</v>
      </c>
      <c r="G182" s="5" t="s">
        <v>43</v>
      </c>
      <c r="H182" s="5" t="s">
        <v>2769</v>
      </c>
      <c r="I182" s="5">
        <v>202501932</v>
      </c>
      <c r="J182" s="5"/>
      <c r="K182" s="6">
        <v>45971</v>
      </c>
      <c r="L182" s="6">
        <v>45975</v>
      </c>
      <c r="M182" s="42" t="s">
        <v>53</v>
      </c>
      <c r="N182" s="42" t="s">
        <v>54</v>
      </c>
      <c r="O182" s="42" t="s">
        <v>41</v>
      </c>
      <c r="P182" s="30">
        <f t="shared" si="8"/>
        <v>4</v>
      </c>
      <c r="Q182" s="41">
        <v>2452.5862068965516</v>
      </c>
      <c r="R182" s="41">
        <v>8000</v>
      </c>
      <c r="S182" s="41">
        <f t="shared" si="7"/>
        <v>5547.4137931034484</v>
      </c>
    </row>
    <row r="183" spans="1:19">
      <c r="A183" s="5">
        <v>182</v>
      </c>
      <c r="B183" s="5">
        <v>2511113432</v>
      </c>
      <c r="C183" s="5" t="s">
        <v>2797</v>
      </c>
      <c r="D183" s="5" t="s">
        <v>444</v>
      </c>
      <c r="E183" s="5" t="s">
        <v>670</v>
      </c>
      <c r="F183" s="5" t="s">
        <v>109</v>
      </c>
      <c r="G183" s="5" t="s">
        <v>52</v>
      </c>
      <c r="H183" s="5" t="s">
        <v>2769</v>
      </c>
      <c r="I183" s="5">
        <v>202501933</v>
      </c>
      <c r="J183" s="5"/>
      <c r="K183" s="6">
        <v>45972</v>
      </c>
      <c r="L183" s="6">
        <v>45975</v>
      </c>
      <c r="M183" s="42" t="s">
        <v>53</v>
      </c>
      <c r="N183" s="42" t="s">
        <v>54</v>
      </c>
      <c r="O183" s="42" t="s">
        <v>41</v>
      </c>
      <c r="P183" s="30">
        <f t="shared" si="8"/>
        <v>3</v>
      </c>
      <c r="Q183" s="41">
        <v>2452.5862068965516</v>
      </c>
      <c r="R183" s="41">
        <v>5950</v>
      </c>
      <c r="S183" s="41">
        <f t="shared" si="7"/>
        <v>3497.4137931034484</v>
      </c>
    </row>
    <row r="184" spans="1:19">
      <c r="A184" s="5">
        <v>183</v>
      </c>
      <c r="B184" s="5">
        <v>2511113437</v>
      </c>
      <c r="C184" s="5" t="s">
        <v>2798</v>
      </c>
      <c r="D184" s="5" t="s">
        <v>1209</v>
      </c>
      <c r="E184" s="5" t="s">
        <v>1210</v>
      </c>
      <c r="F184" s="5" t="s">
        <v>51</v>
      </c>
      <c r="G184" s="5" t="s">
        <v>52</v>
      </c>
      <c r="H184" s="5" t="s">
        <v>2769</v>
      </c>
      <c r="I184" s="5">
        <v>202501934</v>
      </c>
      <c r="J184" s="5"/>
      <c r="K184" s="6">
        <v>45972</v>
      </c>
      <c r="L184" s="6">
        <v>45975</v>
      </c>
      <c r="M184" s="42" t="s">
        <v>53</v>
      </c>
      <c r="N184" s="42" t="s">
        <v>54</v>
      </c>
      <c r="O184" s="42" t="s">
        <v>41</v>
      </c>
      <c r="P184" s="30">
        <f t="shared" si="8"/>
        <v>3</v>
      </c>
      <c r="Q184" s="41">
        <v>2452.5862068965516</v>
      </c>
      <c r="R184" s="41">
        <v>5500</v>
      </c>
      <c r="S184" s="41">
        <f t="shared" si="7"/>
        <v>3047.4137931034484</v>
      </c>
    </row>
    <row r="185" spans="1:19">
      <c r="A185" s="5">
        <v>184</v>
      </c>
      <c r="B185" s="9">
        <v>2511113441</v>
      </c>
      <c r="C185" s="9" t="s">
        <v>2799</v>
      </c>
      <c r="D185" s="9" t="s">
        <v>2350</v>
      </c>
      <c r="E185" s="9" t="s">
        <v>2681</v>
      </c>
      <c r="F185" s="9" t="s">
        <v>66</v>
      </c>
      <c r="G185" s="9" t="s">
        <v>52</v>
      </c>
      <c r="H185" s="9" t="s">
        <v>2769</v>
      </c>
      <c r="I185" s="9">
        <v>202501935</v>
      </c>
      <c r="J185" s="9"/>
      <c r="K185" s="10">
        <v>45972</v>
      </c>
      <c r="L185" s="10">
        <v>45975</v>
      </c>
      <c r="M185" s="54" t="s">
        <v>45</v>
      </c>
      <c r="N185" s="54" t="s">
        <v>94</v>
      </c>
      <c r="O185" s="54" t="s">
        <v>2604</v>
      </c>
      <c r="P185" s="32">
        <f t="shared" si="8"/>
        <v>3</v>
      </c>
      <c r="Q185" s="11">
        <v>2452.5862068965516</v>
      </c>
      <c r="R185" s="11">
        <v>5000</v>
      </c>
      <c r="S185" s="11">
        <f t="shared" si="7"/>
        <v>2547.4137931034484</v>
      </c>
    </row>
    <row r="186" spans="1:19">
      <c r="A186" s="5">
        <v>185</v>
      </c>
      <c r="B186" s="5">
        <v>2511113450</v>
      </c>
      <c r="C186" s="5" t="s">
        <v>2800</v>
      </c>
      <c r="D186" s="5" t="s">
        <v>564</v>
      </c>
      <c r="E186" s="5" t="s">
        <v>2685</v>
      </c>
      <c r="F186" s="5" t="s">
        <v>71</v>
      </c>
      <c r="G186" s="5" t="s">
        <v>75</v>
      </c>
      <c r="H186" s="5" t="s">
        <v>2769</v>
      </c>
      <c r="I186" s="5">
        <v>202501936</v>
      </c>
      <c r="J186" s="5"/>
      <c r="K186" s="6">
        <v>45972</v>
      </c>
      <c r="L186" s="6">
        <v>45975</v>
      </c>
      <c r="M186" s="42" t="s">
        <v>53</v>
      </c>
      <c r="N186" s="42" t="s">
        <v>54</v>
      </c>
      <c r="O186" s="42" t="s">
        <v>41</v>
      </c>
      <c r="P186" s="30">
        <f t="shared" si="8"/>
        <v>3</v>
      </c>
      <c r="Q186" s="41">
        <v>2452.5862068965516</v>
      </c>
      <c r="R186" s="41">
        <v>6500</v>
      </c>
      <c r="S186" s="41">
        <f t="shared" si="7"/>
        <v>4047.4137931034484</v>
      </c>
    </row>
    <row r="187" spans="1:19">
      <c r="A187" s="5">
        <v>186</v>
      </c>
      <c r="B187" s="5">
        <v>2511113455</v>
      </c>
      <c r="C187" s="5" t="s">
        <v>2801</v>
      </c>
      <c r="D187" s="5" t="s">
        <v>354</v>
      </c>
      <c r="E187" s="5" t="s">
        <v>2548</v>
      </c>
      <c r="F187" s="5" t="s">
        <v>141</v>
      </c>
      <c r="G187" s="5" t="s">
        <v>43</v>
      </c>
      <c r="H187" s="5" t="s">
        <v>2769</v>
      </c>
      <c r="I187" s="5">
        <v>202501937</v>
      </c>
      <c r="J187" s="5"/>
      <c r="K187" s="6">
        <v>45972</v>
      </c>
      <c r="L187" s="6">
        <v>45975</v>
      </c>
      <c r="M187" s="42" t="s">
        <v>53</v>
      </c>
      <c r="N187" s="42" t="s">
        <v>54</v>
      </c>
      <c r="O187" s="42" t="s">
        <v>41</v>
      </c>
      <c r="P187" s="30">
        <f t="shared" si="8"/>
        <v>3</v>
      </c>
      <c r="Q187" s="41">
        <v>2452.5862068965516</v>
      </c>
      <c r="R187" s="41">
        <v>12500</v>
      </c>
      <c r="S187" s="41">
        <f t="shared" si="7"/>
        <v>10047.413793103449</v>
      </c>
    </row>
    <row r="188" spans="1:19">
      <c r="A188" s="5">
        <v>187</v>
      </c>
      <c r="B188" s="5">
        <v>2511113458</v>
      </c>
      <c r="C188" s="5" t="s">
        <v>2802</v>
      </c>
      <c r="D188" s="5" t="s">
        <v>1629</v>
      </c>
      <c r="E188" s="5" t="s">
        <v>1630</v>
      </c>
      <c r="F188" s="5" t="s">
        <v>141</v>
      </c>
      <c r="G188" s="5" t="s">
        <v>52</v>
      </c>
      <c r="H188" s="5" t="s">
        <v>2769</v>
      </c>
      <c r="I188" s="5">
        <v>202501938</v>
      </c>
      <c r="J188" s="5"/>
      <c r="K188" s="6">
        <v>45972</v>
      </c>
      <c r="L188" s="6">
        <v>45975</v>
      </c>
      <c r="M188" s="42" t="s">
        <v>53</v>
      </c>
      <c r="N188" s="42" t="s">
        <v>54</v>
      </c>
      <c r="O188" s="42" t="s">
        <v>41</v>
      </c>
      <c r="P188" s="30">
        <f t="shared" si="8"/>
        <v>3</v>
      </c>
      <c r="Q188" s="41">
        <v>2452.5862068965516</v>
      </c>
      <c r="R188" s="41">
        <v>5500</v>
      </c>
      <c r="S188" s="41">
        <f t="shared" si="7"/>
        <v>3047.4137931034484</v>
      </c>
    </row>
    <row r="189" spans="1:19">
      <c r="A189" s="5">
        <v>188</v>
      </c>
      <c r="B189" s="5" t="s">
        <v>1239</v>
      </c>
      <c r="C189" s="5"/>
      <c r="D189" s="5"/>
      <c r="E189" s="5"/>
      <c r="F189" s="5"/>
      <c r="G189" s="5" t="s">
        <v>52</v>
      </c>
      <c r="H189" s="5"/>
      <c r="I189" s="5"/>
      <c r="J189" s="5"/>
      <c r="K189" s="5"/>
      <c r="L189" s="5"/>
      <c r="M189" s="5"/>
      <c r="N189" s="5"/>
      <c r="O189" s="5"/>
      <c r="P189" s="5"/>
      <c r="Q189" s="8">
        <v>2452.5862068965516</v>
      </c>
      <c r="R189" s="41">
        <v>0</v>
      </c>
      <c r="S189" s="41">
        <f t="shared" si="7"/>
        <v>-2452.5862068965516</v>
      </c>
    </row>
    <row r="190" spans="1:19">
      <c r="A190" s="5">
        <v>189</v>
      </c>
      <c r="B190" s="5" t="s">
        <v>1240</v>
      </c>
      <c r="C190" s="5"/>
      <c r="D190" s="5"/>
      <c r="E190" s="5"/>
      <c r="F190" s="5"/>
      <c r="G190" s="5" t="s">
        <v>52</v>
      </c>
      <c r="H190" s="5"/>
      <c r="I190" s="5"/>
      <c r="J190" s="5"/>
      <c r="K190" s="5"/>
      <c r="L190" s="5"/>
      <c r="M190" s="5"/>
      <c r="N190" s="5"/>
      <c r="O190" s="5"/>
      <c r="P190" s="5"/>
      <c r="Q190" s="8">
        <v>2452.5862068965516</v>
      </c>
      <c r="R190" s="41">
        <v>0</v>
      </c>
      <c r="S190" s="41">
        <f t="shared" si="7"/>
        <v>-2452.5862068965516</v>
      </c>
    </row>
    <row r="191" spans="1:19">
      <c r="A191" s="5">
        <v>190</v>
      </c>
      <c r="B191" s="22">
        <v>2510203096</v>
      </c>
      <c r="C191" s="22" t="s">
        <v>2482</v>
      </c>
      <c r="D191" s="22" t="s">
        <v>964</v>
      </c>
      <c r="E191" s="22" t="s">
        <v>965</v>
      </c>
      <c r="F191" s="22" t="s">
        <v>109</v>
      </c>
      <c r="G191" s="22" t="s">
        <v>43</v>
      </c>
      <c r="H191" s="22" t="s">
        <v>2803</v>
      </c>
      <c r="I191" s="22" t="s">
        <v>2804</v>
      </c>
      <c r="J191" s="22"/>
      <c r="K191" s="23">
        <v>45973</v>
      </c>
      <c r="L191" s="23">
        <v>45979</v>
      </c>
      <c r="M191" s="50" t="s">
        <v>53</v>
      </c>
      <c r="N191" s="50" t="s">
        <v>54</v>
      </c>
      <c r="O191" s="50" t="s">
        <v>41</v>
      </c>
      <c r="P191" s="34">
        <f t="shared" ref="P191:P219" si="9">L191-K191</f>
        <v>6</v>
      </c>
      <c r="Q191" s="24">
        <v>2295.9677419354839</v>
      </c>
      <c r="R191" s="24">
        <v>0</v>
      </c>
      <c r="S191" s="24">
        <f t="shared" si="7"/>
        <v>-2295.9677419354839</v>
      </c>
    </row>
    <row r="192" spans="1:19">
      <c r="A192" s="5">
        <v>191</v>
      </c>
      <c r="B192" s="22">
        <v>2511032174</v>
      </c>
      <c r="C192" s="22" t="s">
        <v>2650</v>
      </c>
      <c r="D192" s="22" t="s">
        <v>64</v>
      </c>
      <c r="E192" s="22" t="s">
        <v>1498</v>
      </c>
      <c r="F192" s="22" t="s">
        <v>66</v>
      </c>
      <c r="G192" s="22" t="s">
        <v>52</v>
      </c>
      <c r="H192" s="22" t="s">
        <v>2803</v>
      </c>
      <c r="I192" s="22" t="s">
        <v>2805</v>
      </c>
      <c r="J192" s="22"/>
      <c r="K192" s="23">
        <v>45972</v>
      </c>
      <c r="L192" s="23">
        <v>45979</v>
      </c>
      <c r="M192" s="50" t="s">
        <v>53</v>
      </c>
      <c r="N192" s="50" t="s">
        <v>54</v>
      </c>
      <c r="O192" s="50" t="s">
        <v>41</v>
      </c>
      <c r="P192" s="34">
        <f t="shared" si="9"/>
        <v>7</v>
      </c>
      <c r="Q192" s="24">
        <v>2295.9677419354839</v>
      </c>
      <c r="R192" s="24">
        <v>0</v>
      </c>
      <c r="S192" s="24">
        <f t="shared" si="7"/>
        <v>-2295.9677419354839</v>
      </c>
    </row>
    <row r="193" spans="1:19">
      <c r="A193" s="5">
        <v>192</v>
      </c>
      <c r="B193" s="22">
        <v>2511133105</v>
      </c>
      <c r="C193" s="22" t="s">
        <v>2729</v>
      </c>
      <c r="D193" s="22" t="s">
        <v>804</v>
      </c>
      <c r="E193" s="22" t="s">
        <v>2186</v>
      </c>
      <c r="F193" s="22" t="s">
        <v>457</v>
      </c>
      <c r="G193" s="22" t="s">
        <v>43</v>
      </c>
      <c r="H193" s="22" t="s">
        <v>2803</v>
      </c>
      <c r="I193" s="22" t="s">
        <v>2806</v>
      </c>
      <c r="J193" s="22"/>
      <c r="K193" s="23">
        <v>45974</v>
      </c>
      <c r="L193" s="23">
        <v>45979</v>
      </c>
      <c r="M193" s="50" t="s">
        <v>53</v>
      </c>
      <c r="N193" s="50" t="s">
        <v>54</v>
      </c>
      <c r="O193" s="50" t="s">
        <v>41</v>
      </c>
      <c r="P193" s="34">
        <f t="shared" si="9"/>
        <v>5</v>
      </c>
      <c r="Q193" s="24">
        <v>2295.9677419354839</v>
      </c>
      <c r="R193" s="24">
        <v>11000</v>
      </c>
      <c r="S193" s="24">
        <f t="shared" si="7"/>
        <v>8704.0322580645152</v>
      </c>
    </row>
    <row r="194" spans="1:19">
      <c r="A194" s="5">
        <v>193</v>
      </c>
      <c r="B194" s="22">
        <v>2511090705</v>
      </c>
      <c r="C194" s="22" t="s">
        <v>2783</v>
      </c>
      <c r="D194" s="22" t="s">
        <v>733</v>
      </c>
      <c r="E194" s="22" t="s">
        <v>997</v>
      </c>
      <c r="F194" s="22" t="s">
        <v>51</v>
      </c>
      <c r="G194" s="22" t="s">
        <v>75</v>
      </c>
      <c r="H194" s="22" t="s">
        <v>2803</v>
      </c>
      <c r="I194" s="22" t="s">
        <v>2807</v>
      </c>
      <c r="J194" s="22"/>
      <c r="K194" s="23">
        <v>45970</v>
      </c>
      <c r="L194" s="23">
        <v>45979</v>
      </c>
      <c r="M194" s="50" t="s">
        <v>53</v>
      </c>
      <c r="N194" s="50" t="s">
        <v>54</v>
      </c>
      <c r="O194" s="50" t="s">
        <v>41</v>
      </c>
      <c r="P194" s="34">
        <f t="shared" si="9"/>
        <v>9</v>
      </c>
      <c r="Q194" s="24">
        <v>2295.9677419354839</v>
      </c>
      <c r="R194" s="24">
        <v>0</v>
      </c>
      <c r="S194" s="24">
        <f t="shared" ref="S194:S257" si="10">R194-Q194</f>
        <v>-2295.9677419354839</v>
      </c>
    </row>
    <row r="195" spans="1:19">
      <c r="A195" s="5">
        <v>194</v>
      </c>
      <c r="B195" s="13">
        <v>2511090706</v>
      </c>
      <c r="C195" s="13" t="s">
        <v>2784</v>
      </c>
      <c r="D195" s="13" t="s">
        <v>1209</v>
      </c>
      <c r="E195" s="13" t="s">
        <v>1210</v>
      </c>
      <c r="F195" s="13" t="s">
        <v>51</v>
      </c>
      <c r="G195" s="13" t="s">
        <v>52</v>
      </c>
      <c r="H195" s="13" t="s">
        <v>2803</v>
      </c>
      <c r="I195" s="13" t="s">
        <v>2808</v>
      </c>
      <c r="J195" s="13"/>
      <c r="K195" s="14">
        <v>45970</v>
      </c>
      <c r="L195" s="14">
        <v>45979</v>
      </c>
      <c r="M195" s="118" t="s">
        <v>53</v>
      </c>
      <c r="N195" s="118" t="s">
        <v>46</v>
      </c>
      <c r="O195" s="118" t="s">
        <v>2809</v>
      </c>
      <c r="P195" s="35">
        <f t="shared" si="9"/>
        <v>9</v>
      </c>
      <c r="Q195" s="15">
        <v>2295.9677419354839</v>
      </c>
      <c r="R195" s="15">
        <v>0</v>
      </c>
      <c r="S195" s="15">
        <f t="shared" si="10"/>
        <v>-2295.9677419354839</v>
      </c>
    </row>
    <row r="196" spans="1:19">
      <c r="A196" s="5">
        <v>195</v>
      </c>
      <c r="B196" s="22">
        <v>2511100655</v>
      </c>
      <c r="C196" s="22" t="s">
        <v>2789</v>
      </c>
      <c r="D196" s="22" t="s">
        <v>1662</v>
      </c>
      <c r="E196" s="22" t="s">
        <v>1318</v>
      </c>
      <c r="F196" s="22" t="s">
        <v>58</v>
      </c>
      <c r="G196" s="22" t="s">
        <v>52</v>
      </c>
      <c r="H196" s="22" t="s">
        <v>2803</v>
      </c>
      <c r="I196" s="22" t="s">
        <v>2810</v>
      </c>
      <c r="J196" s="22"/>
      <c r="K196" s="23">
        <v>45971</v>
      </c>
      <c r="L196" s="23">
        <v>45979</v>
      </c>
      <c r="M196" s="50" t="s">
        <v>53</v>
      </c>
      <c r="N196" s="50" t="s">
        <v>54</v>
      </c>
      <c r="O196" s="50" t="s">
        <v>41</v>
      </c>
      <c r="P196" s="34">
        <f t="shared" si="9"/>
        <v>8</v>
      </c>
      <c r="Q196" s="24">
        <v>2295.9677419354839</v>
      </c>
      <c r="R196" s="24">
        <v>0</v>
      </c>
      <c r="S196" s="24">
        <f t="shared" si="10"/>
        <v>-2295.9677419354839</v>
      </c>
    </row>
    <row r="197" spans="1:19">
      <c r="A197" s="5">
        <v>196</v>
      </c>
      <c r="B197" s="22">
        <v>2511113441</v>
      </c>
      <c r="C197" s="22" t="s">
        <v>2799</v>
      </c>
      <c r="D197" s="22" t="s">
        <v>2350</v>
      </c>
      <c r="E197" s="22" t="s">
        <v>2681</v>
      </c>
      <c r="F197" s="22" t="s">
        <v>66</v>
      </c>
      <c r="G197" s="22" t="s">
        <v>52</v>
      </c>
      <c r="H197" s="22" t="s">
        <v>2803</v>
      </c>
      <c r="I197" s="22" t="s">
        <v>2811</v>
      </c>
      <c r="J197" s="22"/>
      <c r="K197" s="23">
        <v>45972</v>
      </c>
      <c r="L197" s="23">
        <v>45979</v>
      </c>
      <c r="M197" s="50" t="s">
        <v>53</v>
      </c>
      <c r="N197" s="50" t="s">
        <v>54</v>
      </c>
      <c r="O197" s="50" t="s">
        <v>41</v>
      </c>
      <c r="P197" s="34">
        <f t="shared" si="9"/>
        <v>7</v>
      </c>
      <c r="Q197" s="24">
        <v>2295.9677419354839</v>
      </c>
      <c r="R197" s="24">
        <v>0</v>
      </c>
      <c r="S197" s="24">
        <f t="shared" si="10"/>
        <v>-2295.9677419354839</v>
      </c>
    </row>
    <row r="198" spans="1:19">
      <c r="A198" s="5">
        <v>197</v>
      </c>
      <c r="B198" s="13">
        <v>2511113470</v>
      </c>
      <c r="C198" s="13" t="s">
        <v>2812</v>
      </c>
      <c r="D198" s="13" t="s">
        <v>321</v>
      </c>
      <c r="E198" s="13" t="s">
        <v>420</v>
      </c>
      <c r="F198" s="13" t="s">
        <v>202</v>
      </c>
      <c r="G198" s="13" t="s">
        <v>75</v>
      </c>
      <c r="H198" s="13" t="s">
        <v>2803</v>
      </c>
      <c r="I198" s="13">
        <v>202501939</v>
      </c>
      <c r="J198" s="13"/>
      <c r="K198" s="14">
        <v>45972</v>
      </c>
      <c r="L198" s="14">
        <v>45979</v>
      </c>
      <c r="M198" s="118" t="s">
        <v>45</v>
      </c>
      <c r="N198" s="118" t="s">
        <v>46</v>
      </c>
      <c r="O198" s="118" t="s">
        <v>1603</v>
      </c>
      <c r="P198" s="35">
        <f t="shared" si="9"/>
        <v>7</v>
      </c>
      <c r="Q198" s="15">
        <v>2295.9677419354839</v>
      </c>
      <c r="R198" s="15">
        <v>4900</v>
      </c>
      <c r="S198" s="15">
        <f t="shared" si="10"/>
        <v>2604.0322580645161</v>
      </c>
    </row>
    <row r="199" spans="1:19">
      <c r="A199" s="5">
        <v>198</v>
      </c>
      <c r="B199" s="5">
        <v>2511113475</v>
      </c>
      <c r="C199" s="5" t="s">
        <v>2813</v>
      </c>
      <c r="D199" s="5" t="s">
        <v>405</v>
      </c>
      <c r="E199" s="5" t="s">
        <v>1276</v>
      </c>
      <c r="F199" s="5" t="s">
        <v>202</v>
      </c>
      <c r="G199" s="5" t="s">
        <v>52</v>
      </c>
      <c r="H199" s="5" t="s">
        <v>2803</v>
      </c>
      <c r="I199" s="5">
        <v>202501940</v>
      </c>
      <c r="J199" s="5"/>
      <c r="K199" s="6">
        <v>45972</v>
      </c>
      <c r="L199" s="6">
        <v>45979</v>
      </c>
      <c r="M199" s="42" t="s">
        <v>53</v>
      </c>
      <c r="N199" s="42" t="s">
        <v>54</v>
      </c>
      <c r="O199" s="42" t="s">
        <v>41</v>
      </c>
      <c r="P199" s="30">
        <f t="shared" si="9"/>
        <v>7</v>
      </c>
      <c r="Q199" s="41">
        <v>2295.9677419354839</v>
      </c>
      <c r="R199" s="41">
        <v>6450</v>
      </c>
      <c r="S199" s="41">
        <f t="shared" si="10"/>
        <v>4154.0322580645161</v>
      </c>
    </row>
    <row r="200" spans="1:19">
      <c r="A200" s="5">
        <v>199</v>
      </c>
      <c r="B200" s="9">
        <v>2511113483</v>
      </c>
      <c r="C200" s="9" t="s">
        <v>2814</v>
      </c>
      <c r="D200" s="9" t="s">
        <v>405</v>
      </c>
      <c r="E200" s="9" t="s">
        <v>526</v>
      </c>
      <c r="F200" s="9" t="s">
        <v>202</v>
      </c>
      <c r="G200" s="9" t="s">
        <v>52</v>
      </c>
      <c r="H200" s="9" t="s">
        <v>2803</v>
      </c>
      <c r="I200" s="9">
        <v>202501941</v>
      </c>
      <c r="J200" s="9"/>
      <c r="K200" s="10">
        <v>45972</v>
      </c>
      <c r="L200" s="10">
        <v>45979</v>
      </c>
      <c r="M200" s="54" t="s">
        <v>53</v>
      </c>
      <c r="N200" s="54" t="s">
        <v>94</v>
      </c>
      <c r="O200" s="54" t="s">
        <v>1698</v>
      </c>
      <c r="P200" s="32">
        <f t="shared" si="9"/>
        <v>7</v>
      </c>
      <c r="Q200" s="11">
        <v>2295.9677419354839</v>
      </c>
      <c r="R200" s="11">
        <v>6450</v>
      </c>
      <c r="S200" s="11">
        <f t="shared" si="10"/>
        <v>4154.0322580645161</v>
      </c>
    </row>
    <row r="201" spans="1:19">
      <c r="A201" s="5">
        <v>200</v>
      </c>
      <c r="B201" s="5">
        <v>2511123621</v>
      </c>
      <c r="C201" s="5" t="s">
        <v>2815</v>
      </c>
      <c r="D201" s="5" t="s">
        <v>1130</v>
      </c>
      <c r="E201" s="5" t="s">
        <v>1970</v>
      </c>
      <c r="F201" s="5" t="s">
        <v>141</v>
      </c>
      <c r="G201" s="5" t="s">
        <v>75</v>
      </c>
      <c r="H201" s="5" t="s">
        <v>2803</v>
      </c>
      <c r="I201" s="5">
        <v>202501942</v>
      </c>
      <c r="J201" s="5"/>
      <c r="K201" s="6">
        <v>45973</v>
      </c>
      <c r="L201" s="6">
        <v>45979</v>
      </c>
      <c r="M201" s="42" t="s">
        <v>53</v>
      </c>
      <c r="N201" s="42" t="s">
        <v>54</v>
      </c>
      <c r="O201" s="42" t="s">
        <v>41</v>
      </c>
      <c r="P201" s="30">
        <f t="shared" si="9"/>
        <v>6</v>
      </c>
      <c r="Q201" s="41">
        <v>2295.9677419354839</v>
      </c>
      <c r="R201" s="41">
        <v>4500</v>
      </c>
      <c r="S201" s="41">
        <f t="shared" si="10"/>
        <v>2204.0322580645161</v>
      </c>
    </row>
    <row r="202" spans="1:19">
      <c r="A202" s="5">
        <v>201</v>
      </c>
      <c r="B202" s="5">
        <v>2511123623</v>
      </c>
      <c r="C202" s="5" t="s">
        <v>2816</v>
      </c>
      <c r="D202" s="5" t="s">
        <v>405</v>
      </c>
      <c r="E202" s="5" t="s">
        <v>2020</v>
      </c>
      <c r="F202" s="5" t="s">
        <v>202</v>
      </c>
      <c r="G202" s="5" t="s">
        <v>52</v>
      </c>
      <c r="H202" s="5" t="s">
        <v>2803</v>
      </c>
      <c r="I202" s="5">
        <v>202501943</v>
      </c>
      <c r="J202" s="5"/>
      <c r="K202" s="6">
        <v>45973</v>
      </c>
      <c r="L202" s="6">
        <v>45979</v>
      </c>
      <c r="M202" s="42" t="s">
        <v>53</v>
      </c>
      <c r="N202" s="42" t="s">
        <v>54</v>
      </c>
      <c r="O202" s="42" t="s">
        <v>41</v>
      </c>
      <c r="P202" s="30">
        <f t="shared" si="9"/>
        <v>6</v>
      </c>
      <c r="Q202" s="41">
        <v>2295.9677419354839</v>
      </c>
      <c r="R202" s="41">
        <v>6450</v>
      </c>
      <c r="S202" s="41">
        <f t="shared" si="10"/>
        <v>4154.0322580645161</v>
      </c>
    </row>
    <row r="203" spans="1:19">
      <c r="A203" s="5">
        <v>202</v>
      </c>
      <c r="B203" s="5">
        <v>2511123625</v>
      </c>
      <c r="C203" s="5" t="s">
        <v>2817</v>
      </c>
      <c r="D203" s="5" t="s">
        <v>564</v>
      </c>
      <c r="E203" s="5" t="s">
        <v>2390</v>
      </c>
      <c r="F203" s="5" t="s">
        <v>71</v>
      </c>
      <c r="G203" s="5" t="s">
        <v>75</v>
      </c>
      <c r="H203" s="5" t="s">
        <v>2803</v>
      </c>
      <c r="I203" s="5">
        <v>202501944</v>
      </c>
      <c r="J203" s="5"/>
      <c r="K203" s="6">
        <v>45973</v>
      </c>
      <c r="L203" s="6">
        <v>45979</v>
      </c>
      <c r="M203" s="42" t="s">
        <v>53</v>
      </c>
      <c r="N203" s="42" t="s">
        <v>54</v>
      </c>
      <c r="O203" s="42" t="s">
        <v>41</v>
      </c>
      <c r="P203" s="30">
        <f t="shared" si="9"/>
        <v>6</v>
      </c>
      <c r="Q203" s="41">
        <v>2295.9677419354839</v>
      </c>
      <c r="R203" s="41">
        <v>6500</v>
      </c>
      <c r="S203" s="41">
        <f t="shared" si="10"/>
        <v>4204.0322580645161</v>
      </c>
    </row>
    <row r="204" spans="1:19">
      <c r="A204" s="5">
        <v>203</v>
      </c>
      <c r="B204" s="9">
        <v>2511123628</v>
      </c>
      <c r="C204" s="9" t="s">
        <v>2818</v>
      </c>
      <c r="D204" s="9" t="s">
        <v>405</v>
      </c>
      <c r="E204" s="9" t="s">
        <v>2819</v>
      </c>
      <c r="F204" s="9" t="s">
        <v>202</v>
      </c>
      <c r="G204" s="9" t="s">
        <v>52</v>
      </c>
      <c r="H204" s="9" t="s">
        <v>2803</v>
      </c>
      <c r="I204" s="9">
        <v>202501945</v>
      </c>
      <c r="J204" s="9"/>
      <c r="K204" s="10">
        <v>45973</v>
      </c>
      <c r="L204" s="10">
        <v>45979</v>
      </c>
      <c r="M204" s="54" t="s">
        <v>45</v>
      </c>
      <c r="N204" s="54" t="s">
        <v>94</v>
      </c>
      <c r="O204" s="54" t="s">
        <v>2604</v>
      </c>
      <c r="P204" s="32">
        <f t="shared" si="9"/>
        <v>6</v>
      </c>
      <c r="Q204" s="11">
        <v>2295.9677419354839</v>
      </c>
      <c r="R204" s="11">
        <v>6450</v>
      </c>
      <c r="S204" s="11">
        <f t="shared" si="10"/>
        <v>4154.0322580645161</v>
      </c>
    </row>
    <row r="205" spans="1:19">
      <c r="A205" s="5">
        <v>204</v>
      </c>
      <c r="B205" s="5">
        <v>2511123631</v>
      </c>
      <c r="C205" s="5" t="s">
        <v>2820</v>
      </c>
      <c r="D205" s="5" t="s">
        <v>715</v>
      </c>
      <c r="E205" s="5" t="s">
        <v>1480</v>
      </c>
      <c r="F205" s="5" t="s">
        <v>71</v>
      </c>
      <c r="G205" s="5" t="s">
        <v>43</v>
      </c>
      <c r="H205" s="5" t="s">
        <v>2803</v>
      </c>
      <c r="I205" s="5">
        <v>202501946</v>
      </c>
      <c r="J205" s="5"/>
      <c r="K205" s="6">
        <v>45973</v>
      </c>
      <c r="L205" s="6">
        <v>45979</v>
      </c>
      <c r="M205" s="42" t="s">
        <v>53</v>
      </c>
      <c r="N205" s="42" t="s">
        <v>54</v>
      </c>
      <c r="O205" s="42" t="s">
        <v>41</v>
      </c>
      <c r="P205" s="30">
        <f t="shared" si="9"/>
        <v>6</v>
      </c>
      <c r="Q205" s="41">
        <v>2295.9677419354839</v>
      </c>
      <c r="R205" s="41">
        <v>9000</v>
      </c>
      <c r="S205" s="41">
        <f t="shared" si="10"/>
        <v>6704.0322580645161</v>
      </c>
    </row>
    <row r="206" spans="1:19">
      <c r="A206" s="5">
        <v>205</v>
      </c>
      <c r="B206" s="5">
        <v>2511123634</v>
      </c>
      <c r="C206" s="5" t="s">
        <v>2821</v>
      </c>
      <c r="D206" s="5" t="s">
        <v>77</v>
      </c>
      <c r="E206" s="5" t="s">
        <v>78</v>
      </c>
      <c r="F206" s="5" t="s">
        <v>79</v>
      </c>
      <c r="G206" s="5" t="s">
        <v>52</v>
      </c>
      <c r="H206" s="5" t="s">
        <v>2803</v>
      </c>
      <c r="I206" s="5">
        <v>202501947</v>
      </c>
      <c r="J206" s="5"/>
      <c r="K206" s="6">
        <v>45973</v>
      </c>
      <c r="L206" s="6">
        <v>45979</v>
      </c>
      <c r="M206" s="42" t="s">
        <v>53</v>
      </c>
      <c r="N206" s="42" t="s">
        <v>54</v>
      </c>
      <c r="O206" s="42" t="s">
        <v>41</v>
      </c>
      <c r="P206" s="30">
        <f t="shared" si="9"/>
        <v>6</v>
      </c>
      <c r="Q206" s="41">
        <v>2295.9677419354839</v>
      </c>
      <c r="R206" s="41">
        <v>5500</v>
      </c>
      <c r="S206" s="41">
        <f t="shared" si="10"/>
        <v>3204.0322580645161</v>
      </c>
    </row>
    <row r="207" spans="1:19">
      <c r="A207" s="5">
        <v>206</v>
      </c>
      <c r="B207" s="5">
        <v>2511123638</v>
      </c>
      <c r="C207" s="5" t="s">
        <v>2822</v>
      </c>
      <c r="D207" s="5" t="s">
        <v>2430</v>
      </c>
      <c r="E207" s="5" t="s">
        <v>2823</v>
      </c>
      <c r="F207" s="5" t="s">
        <v>66</v>
      </c>
      <c r="G207" s="5" t="s">
        <v>75</v>
      </c>
      <c r="H207" s="5" t="s">
        <v>2803</v>
      </c>
      <c r="I207" s="5">
        <v>202501948</v>
      </c>
      <c r="J207" s="5"/>
      <c r="K207" s="6">
        <v>45973</v>
      </c>
      <c r="L207" s="6">
        <v>45979</v>
      </c>
      <c r="M207" s="42" t="s">
        <v>53</v>
      </c>
      <c r="N207" s="42" t="s">
        <v>54</v>
      </c>
      <c r="O207" s="42" t="s">
        <v>41</v>
      </c>
      <c r="P207" s="30">
        <f t="shared" si="9"/>
        <v>6</v>
      </c>
      <c r="Q207" s="41">
        <v>2295.9677419354839</v>
      </c>
      <c r="R207" s="41">
        <v>4500</v>
      </c>
      <c r="S207" s="41">
        <f t="shared" si="10"/>
        <v>2204.0322580645161</v>
      </c>
    </row>
    <row r="208" spans="1:19">
      <c r="A208" s="5">
        <v>207</v>
      </c>
      <c r="B208" s="9">
        <v>2511121901</v>
      </c>
      <c r="C208" s="9" t="s">
        <v>2824</v>
      </c>
      <c r="D208" s="9" t="s">
        <v>40</v>
      </c>
      <c r="E208" s="9" t="s">
        <v>41</v>
      </c>
      <c r="F208" s="9" t="s">
        <v>42</v>
      </c>
      <c r="G208" s="9" t="s">
        <v>43</v>
      </c>
      <c r="H208" s="9" t="s">
        <v>2803</v>
      </c>
      <c r="I208" s="9">
        <v>202501949</v>
      </c>
      <c r="J208" s="9"/>
      <c r="K208" s="10">
        <v>45973</v>
      </c>
      <c r="L208" s="10">
        <v>45979</v>
      </c>
      <c r="M208" s="54" t="s">
        <v>45</v>
      </c>
      <c r="N208" s="54" t="s">
        <v>94</v>
      </c>
      <c r="O208" s="54" t="s">
        <v>2736</v>
      </c>
      <c r="P208" s="32">
        <f t="shared" si="9"/>
        <v>6</v>
      </c>
      <c r="Q208" s="11">
        <v>2295.9677419354839</v>
      </c>
      <c r="R208" s="11">
        <v>14500</v>
      </c>
      <c r="S208" s="11">
        <f t="shared" si="10"/>
        <v>12204.032258064515</v>
      </c>
    </row>
    <row r="209" spans="1:19">
      <c r="A209" s="5">
        <v>208</v>
      </c>
      <c r="B209" s="9">
        <v>2511123641</v>
      </c>
      <c r="C209" s="9" t="s">
        <v>2825</v>
      </c>
      <c r="D209" s="9" t="s">
        <v>474</v>
      </c>
      <c r="E209" s="9" t="s">
        <v>475</v>
      </c>
      <c r="F209" s="9" t="s">
        <v>169</v>
      </c>
      <c r="G209" s="9" t="s">
        <v>52</v>
      </c>
      <c r="H209" s="9" t="s">
        <v>2803</v>
      </c>
      <c r="I209" s="9">
        <v>202501950</v>
      </c>
      <c r="J209" s="9"/>
      <c r="K209" s="10">
        <v>45973</v>
      </c>
      <c r="L209" s="10">
        <v>45979</v>
      </c>
      <c r="M209" s="54" t="s">
        <v>45</v>
      </c>
      <c r="N209" s="54" t="s">
        <v>94</v>
      </c>
      <c r="O209" s="54" t="s">
        <v>2604</v>
      </c>
      <c r="P209" s="32">
        <f t="shared" si="9"/>
        <v>6</v>
      </c>
      <c r="Q209" s="11">
        <v>2295.9677419354839</v>
      </c>
      <c r="R209" s="11">
        <v>6000</v>
      </c>
      <c r="S209" s="11">
        <f t="shared" si="10"/>
        <v>3704.0322580645161</v>
      </c>
    </row>
    <row r="210" spans="1:19">
      <c r="A210" s="5">
        <v>209</v>
      </c>
      <c r="B210" s="5">
        <v>2511123644</v>
      </c>
      <c r="C210" s="5" t="s">
        <v>2826</v>
      </c>
      <c r="D210" s="5" t="s">
        <v>2827</v>
      </c>
      <c r="E210" s="5" t="s">
        <v>2828</v>
      </c>
      <c r="F210" s="5" t="s">
        <v>362</v>
      </c>
      <c r="G210" s="5" t="s">
        <v>52</v>
      </c>
      <c r="H210" s="5" t="s">
        <v>2803</v>
      </c>
      <c r="I210" s="5">
        <v>202501951</v>
      </c>
      <c r="J210" s="5"/>
      <c r="K210" s="6">
        <v>45973</v>
      </c>
      <c r="L210" s="6">
        <v>45979</v>
      </c>
      <c r="M210" s="42" t="s">
        <v>53</v>
      </c>
      <c r="N210" s="42" t="s">
        <v>54</v>
      </c>
      <c r="O210" s="42" t="s">
        <v>41</v>
      </c>
      <c r="P210" s="30">
        <f t="shared" si="9"/>
        <v>6</v>
      </c>
      <c r="Q210" s="41">
        <v>2295.9677419354839</v>
      </c>
      <c r="R210" s="41">
        <v>6500</v>
      </c>
      <c r="S210" s="41">
        <f t="shared" si="10"/>
        <v>4204.0322580645161</v>
      </c>
    </row>
    <row r="211" spans="1:19">
      <c r="A211" s="5">
        <v>210</v>
      </c>
      <c r="B211" s="9">
        <v>2511133083</v>
      </c>
      <c r="C211" s="9" t="s">
        <v>2829</v>
      </c>
      <c r="D211" s="9" t="s">
        <v>64</v>
      </c>
      <c r="E211" s="9" t="s">
        <v>65</v>
      </c>
      <c r="F211" s="9" t="s">
        <v>66</v>
      </c>
      <c r="G211" s="9" t="s">
        <v>52</v>
      </c>
      <c r="H211" s="9" t="s">
        <v>2803</v>
      </c>
      <c r="I211" s="9">
        <v>202501952</v>
      </c>
      <c r="J211" s="9"/>
      <c r="K211" s="10">
        <v>45974</v>
      </c>
      <c r="L211" s="10">
        <v>45979</v>
      </c>
      <c r="M211" s="54" t="s">
        <v>45</v>
      </c>
      <c r="N211" s="54" t="s">
        <v>94</v>
      </c>
      <c r="O211" s="54" t="s">
        <v>2604</v>
      </c>
      <c r="P211" s="32">
        <f t="shared" si="9"/>
        <v>5</v>
      </c>
      <c r="Q211" s="11">
        <v>2295.9677419354839</v>
      </c>
      <c r="R211" s="11">
        <v>5500</v>
      </c>
      <c r="S211" s="11">
        <f t="shared" si="10"/>
        <v>3204.0322580645161</v>
      </c>
    </row>
    <row r="212" spans="1:19">
      <c r="A212" s="5">
        <v>211</v>
      </c>
      <c r="B212" s="5">
        <v>2511133086</v>
      </c>
      <c r="C212" s="5" t="s">
        <v>2830</v>
      </c>
      <c r="D212" s="5" t="s">
        <v>64</v>
      </c>
      <c r="E212" s="5" t="s">
        <v>65</v>
      </c>
      <c r="F212" s="5" t="s">
        <v>66</v>
      </c>
      <c r="G212" s="5" t="s">
        <v>52</v>
      </c>
      <c r="H212" s="5" t="s">
        <v>2803</v>
      </c>
      <c r="I212" s="5">
        <v>202501953</v>
      </c>
      <c r="J212" s="5"/>
      <c r="K212" s="6">
        <v>45974</v>
      </c>
      <c r="L212" s="6">
        <v>45979</v>
      </c>
      <c r="M212" s="42" t="s">
        <v>53</v>
      </c>
      <c r="N212" s="42" t="s">
        <v>54</v>
      </c>
      <c r="O212" s="42" t="s">
        <v>41</v>
      </c>
      <c r="P212" s="30">
        <f t="shared" si="9"/>
        <v>5</v>
      </c>
      <c r="Q212" s="41">
        <v>2295.9677419354839</v>
      </c>
      <c r="R212" s="41">
        <v>5500</v>
      </c>
      <c r="S212" s="41">
        <f t="shared" si="10"/>
        <v>3204.0322580645161</v>
      </c>
    </row>
    <row r="213" spans="1:19">
      <c r="A213" s="5">
        <v>212</v>
      </c>
      <c r="B213" s="5">
        <v>2511133091</v>
      </c>
      <c r="C213" s="5" t="s">
        <v>2831</v>
      </c>
      <c r="D213" s="5" t="s">
        <v>309</v>
      </c>
      <c r="E213" s="5" t="s">
        <v>1597</v>
      </c>
      <c r="F213" s="5" t="s">
        <v>51</v>
      </c>
      <c r="G213" s="5" t="s">
        <v>52</v>
      </c>
      <c r="H213" s="5" t="s">
        <v>2803</v>
      </c>
      <c r="I213" s="5">
        <v>202501954</v>
      </c>
      <c r="J213" s="5"/>
      <c r="K213" s="6">
        <v>45974</v>
      </c>
      <c r="L213" s="6">
        <v>45979</v>
      </c>
      <c r="M213" s="42" t="s">
        <v>53</v>
      </c>
      <c r="N213" s="42" t="s">
        <v>54</v>
      </c>
      <c r="O213" s="42" t="s">
        <v>41</v>
      </c>
      <c r="P213" s="30">
        <f t="shared" si="9"/>
        <v>5</v>
      </c>
      <c r="Q213" s="41">
        <v>2295.9677419354839</v>
      </c>
      <c r="R213" s="41">
        <v>5500</v>
      </c>
      <c r="S213" s="41">
        <f t="shared" si="10"/>
        <v>3204.0322580645161</v>
      </c>
    </row>
    <row r="214" spans="1:19">
      <c r="A214" s="5">
        <v>213</v>
      </c>
      <c r="B214" s="5">
        <v>2511133097</v>
      </c>
      <c r="C214" s="5" t="s">
        <v>2832</v>
      </c>
      <c r="D214" s="5" t="s">
        <v>804</v>
      </c>
      <c r="E214" s="5" t="s">
        <v>2186</v>
      </c>
      <c r="F214" s="5" t="s">
        <v>457</v>
      </c>
      <c r="G214" s="5" t="s">
        <v>52</v>
      </c>
      <c r="H214" s="5" t="s">
        <v>2803</v>
      </c>
      <c r="I214" s="5">
        <v>202501955</v>
      </c>
      <c r="J214" s="5"/>
      <c r="K214" s="6">
        <v>45974</v>
      </c>
      <c r="L214" s="6">
        <v>45979</v>
      </c>
      <c r="M214" s="42" t="s">
        <v>53</v>
      </c>
      <c r="N214" s="42" t="s">
        <v>54</v>
      </c>
      <c r="O214" s="42" t="s">
        <v>41</v>
      </c>
      <c r="P214" s="30">
        <f t="shared" si="9"/>
        <v>5</v>
      </c>
      <c r="Q214" s="41">
        <v>2295.9677419354839</v>
      </c>
      <c r="R214" s="41">
        <v>5000</v>
      </c>
      <c r="S214" s="41">
        <f t="shared" si="10"/>
        <v>2704.0322580645161</v>
      </c>
    </row>
    <row r="215" spans="1:19">
      <c r="A215" s="5">
        <v>214</v>
      </c>
      <c r="B215" s="5">
        <v>2511133109</v>
      </c>
      <c r="C215" s="5" t="s">
        <v>2833</v>
      </c>
      <c r="D215" s="5" t="s">
        <v>2555</v>
      </c>
      <c r="E215" s="5" t="s">
        <v>2834</v>
      </c>
      <c r="F215" s="5" t="s">
        <v>62</v>
      </c>
      <c r="G215" s="5" t="s">
        <v>52</v>
      </c>
      <c r="H215" s="5" t="s">
        <v>2803</v>
      </c>
      <c r="I215" s="5">
        <v>202501956</v>
      </c>
      <c r="J215" s="5"/>
      <c r="K215" s="6">
        <v>45974</v>
      </c>
      <c r="L215" s="6">
        <v>45979</v>
      </c>
      <c r="M215" s="42" t="s">
        <v>53</v>
      </c>
      <c r="N215" s="42" t="s">
        <v>54</v>
      </c>
      <c r="O215" s="42" t="s">
        <v>41</v>
      </c>
      <c r="P215" s="30">
        <f t="shared" si="9"/>
        <v>5</v>
      </c>
      <c r="Q215" s="41">
        <v>2295.9677419354839</v>
      </c>
      <c r="R215" s="41">
        <v>5500</v>
      </c>
      <c r="S215" s="41">
        <f t="shared" si="10"/>
        <v>3204.0322580645161</v>
      </c>
    </row>
    <row r="216" spans="1:19">
      <c r="A216" s="5">
        <v>215</v>
      </c>
      <c r="B216" s="13">
        <v>2511133113</v>
      </c>
      <c r="C216" s="13" t="s">
        <v>2835</v>
      </c>
      <c r="D216" s="13" t="s">
        <v>599</v>
      </c>
      <c r="E216" s="13" t="s">
        <v>2836</v>
      </c>
      <c r="F216" s="13" t="s">
        <v>169</v>
      </c>
      <c r="G216" s="13" t="s">
        <v>52</v>
      </c>
      <c r="H216" s="13" t="s">
        <v>2803</v>
      </c>
      <c r="I216" s="13">
        <v>202501957</v>
      </c>
      <c r="J216" s="13"/>
      <c r="K216" s="14">
        <v>45974</v>
      </c>
      <c r="L216" s="14">
        <v>45979</v>
      </c>
      <c r="M216" s="118" t="s">
        <v>45</v>
      </c>
      <c r="N216" s="118" t="s">
        <v>46</v>
      </c>
      <c r="O216" s="118" t="s">
        <v>1523</v>
      </c>
      <c r="P216" s="35">
        <f t="shared" si="9"/>
        <v>5</v>
      </c>
      <c r="Q216" s="15">
        <v>2295.9677419354839</v>
      </c>
      <c r="R216" s="15">
        <v>7500</v>
      </c>
      <c r="S216" s="15">
        <f t="shared" si="10"/>
        <v>5204.0322580645161</v>
      </c>
    </row>
    <row r="217" spans="1:19">
      <c r="A217" s="5">
        <v>216</v>
      </c>
      <c r="B217" s="5">
        <v>2511133120</v>
      </c>
      <c r="C217" s="5" t="s">
        <v>2837</v>
      </c>
      <c r="D217" s="5" t="s">
        <v>2194</v>
      </c>
      <c r="E217" s="5" t="s">
        <v>2195</v>
      </c>
      <c r="F217" s="5" t="s">
        <v>66</v>
      </c>
      <c r="G217" s="5" t="s">
        <v>75</v>
      </c>
      <c r="H217" s="5" t="s">
        <v>2803</v>
      </c>
      <c r="I217" s="5">
        <v>202501958</v>
      </c>
      <c r="J217" s="5"/>
      <c r="K217" s="6">
        <v>45974</v>
      </c>
      <c r="L217" s="6">
        <v>45979</v>
      </c>
      <c r="M217" s="42" t="s">
        <v>53</v>
      </c>
      <c r="N217" s="42" t="s">
        <v>54</v>
      </c>
      <c r="O217" s="42" t="s">
        <v>41</v>
      </c>
      <c r="P217" s="30">
        <f t="shared" si="9"/>
        <v>5</v>
      </c>
      <c r="Q217" s="41">
        <v>2295.9677419354839</v>
      </c>
      <c r="R217" s="61">
        <v>2500</v>
      </c>
      <c r="S217" s="41">
        <f t="shared" si="10"/>
        <v>204.0322580645161</v>
      </c>
    </row>
    <row r="218" spans="1:19">
      <c r="A218" s="5">
        <v>217</v>
      </c>
      <c r="B218" s="5">
        <v>2511141420</v>
      </c>
      <c r="C218" s="5" t="s">
        <v>2838</v>
      </c>
      <c r="D218" s="5" t="s">
        <v>64</v>
      </c>
      <c r="E218" s="5" t="s">
        <v>1498</v>
      </c>
      <c r="F218" s="5" t="s">
        <v>66</v>
      </c>
      <c r="G218" s="5" t="s">
        <v>52</v>
      </c>
      <c r="H218" s="5" t="s">
        <v>2803</v>
      </c>
      <c r="I218" s="5">
        <v>202501959</v>
      </c>
      <c r="J218" s="5"/>
      <c r="K218" s="6">
        <v>45975</v>
      </c>
      <c r="L218" s="6">
        <v>45979</v>
      </c>
      <c r="M218" s="42" t="s">
        <v>53</v>
      </c>
      <c r="N218" s="42" t="s">
        <v>54</v>
      </c>
      <c r="O218" s="42" t="s">
        <v>41</v>
      </c>
      <c r="P218" s="30">
        <f t="shared" si="9"/>
        <v>4</v>
      </c>
      <c r="Q218" s="41">
        <v>2295.9677419354839</v>
      </c>
      <c r="R218" s="41">
        <v>5500</v>
      </c>
      <c r="S218" s="41">
        <f t="shared" si="10"/>
        <v>3204.0322580645161</v>
      </c>
    </row>
    <row r="219" spans="1:19">
      <c r="A219" s="5">
        <v>218</v>
      </c>
      <c r="B219" s="5">
        <v>2511141423</v>
      </c>
      <c r="C219" s="5" t="s">
        <v>2839</v>
      </c>
      <c r="D219" s="5" t="s">
        <v>1788</v>
      </c>
      <c r="E219" s="5" t="s">
        <v>2115</v>
      </c>
      <c r="F219" s="5" t="s">
        <v>51</v>
      </c>
      <c r="G219" s="5" t="s">
        <v>52</v>
      </c>
      <c r="H219" s="5" t="s">
        <v>2803</v>
      </c>
      <c r="I219" s="5">
        <v>202501960</v>
      </c>
      <c r="J219" s="5"/>
      <c r="K219" s="6">
        <v>45975</v>
      </c>
      <c r="L219" s="6">
        <v>45979</v>
      </c>
      <c r="M219" s="42" t="s">
        <v>53</v>
      </c>
      <c r="N219" s="42" t="s">
        <v>54</v>
      </c>
      <c r="O219" s="42" t="s">
        <v>41</v>
      </c>
      <c r="P219" s="30">
        <f t="shared" si="9"/>
        <v>4</v>
      </c>
      <c r="Q219" s="41">
        <v>2295.9677419354839</v>
      </c>
      <c r="R219" s="41">
        <v>8000</v>
      </c>
      <c r="S219" s="41">
        <f t="shared" si="10"/>
        <v>5704.0322580645161</v>
      </c>
    </row>
    <row r="220" spans="1:19">
      <c r="A220" s="5">
        <v>219</v>
      </c>
      <c r="B220" s="5" t="s">
        <v>1239</v>
      </c>
      <c r="C220" s="5"/>
      <c r="D220" s="5"/>
      <c r="E220" s="5"/>
      <c r="F220" s="5"/>
      <c r="G220" s="5" t="s">
        <v>52</v>
      </c>
      <c r="H220" s="5"/>
      <c r="I220" s="5"/>
      <c r="J220" s="5"/>
      <c r="K220" s="5"/>
      <c r="L220" s="5"/>
      <c r="M220" s="5"/>
      <c r="N220" s="5"/>
      <c r="O220" s="5"/>
      <c r="P220" s="5"/>
      <c r="Q220" s="8">
        <v>2295.9677419354839</v>
      </c>
      <c r="R220" s="41">
        <v>0</v>
      </c>
      <c r="S220" s="41">
        <f t="shared" si="10"/>
        <v>-2295.9677419354839</v>
      </c>
    </row>
    <row r="221" spans="1:19">
      <c r="A221" s="5">
        <v>220</v>
      </c>
      <c r="B221" s="5" t="s">
        <v>1240</v>
      </c>
      <c r="C221" s="5"/>
      <c r="D221" s="5"/>
      <c r="E221" s="5"/>
      <c r="F221" s="5"/>
      <c r="G221" s="5" t="s">
        <v>52</v>
      </c>
      <c r="H221" s="5"/>
      <c r="I221" s="5"/>
      <c r="J221" s="5"/>
      <c r="K221" s="5"/>
      <c r="L221" s="5"/>
      <c r="M221" s="5"/>
      <c r="N221" s="5"/>
      <c r="O221" s="5"/>
      <c r="P221" s="5"/>
      <c r="Q221" s="8">
        <v>2295.9677419354839</v>
      </c>
      <c r="R221" s="41">
        <v>0</v>
      </c>
      <c r="S221" s="41">
        <f t="shared" si="10"/>
        <v>-2295.9677419354839</v>
      </c>
    </row>
    <row r="222" spans="1:19">
      <c r="A222" s="5">
        <v>221</v>
      </c>
      <c r="B222" s="9">
        <v>2511021196</v>
      </c>
      <c r="C222" s="9" t="s">
        <v>2644</v>
      </c>
      <c r="D222" s="9" t="s">
        <v>745</v>
      </c>
      <c r="E222" s="9" t="s">
        <v>1512</v>
      </c>
      <c r="F222" s="9" t="s">
        <v>202</v>
      </c>
      <c r="G222" s="9" t="s">
        <v>75</v>
      </c>
      <c r="H222" s="9" t="s">
        <v>2840</v>
      </c>
      <c r="I222" s="9" t="s">
        <v>2841</v>
      </c>
      <c r="J222" s="9"/>
      <c r="K222" s="10">
        <v>45976</v>
      </c>
      <c r="L222" s="10">
        <v>45980</v>
      </c>
      <c r="M222" s="54" t="s">
        <v>53</v>
      </c>
      <c r="N222" s="54" t="s">
        <v>94</v>
      </c>
      <c r="O222" s="54" t="s">
        <v>1698</v>
      </c>
      <c r="P222" s="32">
        <f t="shared" ref="P222:P243" si="11">L222-K222</f>
        <v>4</v>
      </c>
      <c r="Q222" s="11">
        <v>2958.3333333333335</v>
      </c>
      <c r="R222" s="11">
        <v>0</v>
      </c>
      <c r="S222" s="11">
        <f t="shared" si="10"/>
        <v>-2958.3333333333335</v>
      </c>
    </row>
    <row r="223" spans="1:19">
      <c r="A223" s="5">
        <v>222</v>
      </c>
      <c r="B223" s="9">
        <v>2511043205</v>
      </c>
      <c r="C223" s="9" t="s">
        <v>2692</v>
      </c>
      <c r="D223" s="9" t="s">
        <v>354</v>
      </c>
      <c r="E223" s="9" t="s">
        <v>2693</v>
      </c>
      <c r="F223" s="9" t="s">
        <v>141</v>
      </c>
      <c r="G223" s="9" t="s">
        <v>75</v>
      </c>
      <c r="H223" s="9" t="s">
        <v>2840</v>
      </c>
      <c r="I223" s="9" t="s">
        <v>2842</v>
      </c>
      <c r="J223" s="9"/>
      <c r="K223" s="10">
        <v>45976</v>
      </c>
      <c r="L223" s="10">
        <v>45980</v>
      </c>
      <c r="M223" s="54" t="s">
        <v>53</v>
      </c>
      <c r="N223" s="54" t="s">
        <v>94</v>
      </c>
      <c r="O223" s="54" t="s">
        <v>1844</v>
      </c>
      <c r="P223" s="32">
        <f t="shared" si="11"/>
        <v>4</v>
      </c>
      <c r="Q223" s="11">
        <v>2958.3333333333335</v>
      </c>
      <c r="R223" s="11">
        <v>0</v>
      </c>
      <c r="S223" s="11">
        <f t="shared" si="10"/>
        <v>-2958.3333333333335</v>
      </c>
    </row>
    <row r="224" spans="1:19">
      <c r="A224" s="5">
        <v>223</v>
      </c>
      <c r="B224" s="22">
        <v>2511073137</v>
      </c>
      <c r="C224" s="22" t="s">
        <v>2749</v>
      </c>
      <c r="D224" s="22" t="s">
        <v>309</v>
      </c>
      <c r="E224" s="22" t="s">
        <v>310</v>
      </c>
      <c r="F224" s="22" t="s">
        <v>51</v>
      </c>
      <c r="G224" s="22" t="s">
        <v>52</v>
      </c>
      <c r="H224" s="22" t="s">
        <v>2840</v>
      </c>
      <c r="I224" s="22" t="s">
        <v>2843</v>
      </c>
      <c r="J224" s="22"/>
      <c r="K224" s="23">
        <v>45977</v>
      </c>
      <c r="L224" s="23">
        <v>45980</v>
      </c>
      <c r="M224" s="50" t="s">
        <v>53</v>
      </c>
      <c r="N224" s="50" t="s">
        <v>54</v>
      </c>
      <c r="O224" s="50" t="s">
        <v>41</v>
      </c>
      <c r="P224" s="34">
        <f>L224-K224</f>
        <v>3</v>
      </c>
      <c r="Q224" s="24">
        <v>2958.3333333333335</v>
      </c>
      <c r="R224" s="24">
        <v>0</v>
      </c>
      <c r="S224" s="24">
        <f>R224-Q224</f>
        <v>-2958.3333333333335</v>
      </c>
    </row>
    <row r="225" spans="1:19">
      <c r="A225" s="5">
        <v>224</v>
      </c>
      <c r="B225" s="22">
        <v>2511113483</v>
      </c>
      <c r="C225" s="22" t="s">
        <v>2814</v>
      </c>
      <c r="D225" s="22" t="s">
        <v>405</v>
      </c>
      <c r="E225" s="22" t="s">
        <v>526</v>
      </c>
      <c r="F225" s="22" t="s">
        <v>202</v>
      </c>
      <c r="G225" s="22" t="s">
        <v>52</v>
      </c>
      <c r="H225" s="22" t="s">
        <v>2840</v>
      </c>
      <c r="I225" s="22" t="s">
        <v>2844</v>
      </c>
      <c r="J225" s="22"/>
      <c r="K225" s="23">
        <v>45972</v>
      </c>
      <c r="L225" s="23">
        <v>45980</v>
      </c>
      <c r="M225" s="50" t="s">
        <v>53</v>
      </c>
      <c r="N225" s="50" t="s">
        <v>54</v>
      </c>
      <c r="O225" s="50" t="s">
        <v>41</v>
      </c>
      <c r="P225" s="34">
        <f t="shared" si="11"/>
        <v>8</v>
      </c>
      <c r="Q225" s="24">
        <v>2958.3333333333335</v>
      </c>
      <c r="R225" s="24">
        <v>0</v>
      </c>
      <c r="S225" s="24">
        <f t="shared" si="10"/>
        <v>-2958.3333333333335</v>
      </c>
    </row>
    <row r="226" spans="1:19">
      <c r="A226" s="5">
        <v>225</v>
      </c>
      <c r="B226" s="13">
        <v>2511123628</v>
      </c>
      <c r="C226" s="13" t="s">
        <v>2818</v>
      </c>
      <c r="D226" s="13" t="s">
        <v>405</v>
      </c>
      <c r="E226" s="13" t="s">
        <v>2819</v>
      </c>
      <c r="F226" s="13" t="s">
        <v>202</v>
      </c>
      <c r="G226" s="13" t="s">
        <v>52</v>
      </c>
      <c r="H226" s="13" t="s">
        <v>2840</v>
      </c>
      <c r="I226" s="13" t="s">
        <v>2845</v>
      </c>
      <c r="J226" s="13"/>
      <c r="K226" s="14">
        <v>45973</v>
      </c>
      <c r="L226" s="14">
        <v>45980</v>
      </c>
      <c r="M226" s="118" t="s">
        <v>45</v>
      </c>
      <c r="N226" s="118" t="s">
        <v>46</v>
      </c>
      <c r="O226" s="118" t="s">
        <v>2604</v>
      </c>
      <c r="P226" s="35">
        <f t="shared" si="11"/>
        <v>7</v>
      </c>
      <c r="Q226" s="15">
        <v>2958.3333333333335</v>
      </c>
      <c r="R226" s="15">
        <v>0</v>
      </c>
      <c r="S226" s="15">
        <f t="shared" si="10"/>
        <v>-2958.3333333333335</v>
      </c>
    </row>
    <row r="227" spans="1:19">
      <c r="A227" s="5">
        <v>226</v>
      </c>
      <c r="B227" s="13">
        <v>2511121901</v>
      </c>
      <c r="C227" s="13" t="s">
        <v>2824</v>
      </c>
      <c r="D227" s="13" t="s">
        <v>40</v>
      </c>
      <c r="E227" s="13" t="s">
        <v>41</v>
      </c>
      <c r="F227" s="13" t="s">
        <v>42</v>
      </c>
      <c r="G227" s="13" t="s">
        <v>43</v>
      </c>
      <c r="H227" s="13" t="s">
        <v>2840</v>
      </c>
      <c r="I227" s="13" t="s">
        <v>2846</v>
      </c>
      <c r="J227" s="13"/>
      <c r="K227" s="14">
        <v>45973</v>
      </c>
      <c r="L227" s="14">
        <v>45980</v>
      </c>
      <c r="M227" s="118" t="s">
        <v>45</v>
      </c>
      <c r="N227" s="118" t="s">
        <v>46</v>
      </c>
      <c r="O227" s="118" t="s">
        <v>2736</v>
      </c>
      <c r="P227" s="35">
        <f t="shared" si="11"/>
        <v>7</v>
      </c>
      <c r="Q227" s="15">
        <v>2958.3333333333335</v>
      </c>
      <c r="R227" s="15">
        <v>0</v>
      </c>
      <c r="S227" s="15">
        <f t="shared" si="10"/>
        <v>-2958.3333333333335</v>
      </c>
    </row>
    <row r="228" spans="1:19">
      <c r="A228" s="5">
        <v>227</v>
      </c>
      <c r="B228" s="22">
        <v>2511123641</v>
      </c>
      <c r="C228" s="22" t="s">
        <v>2825</v>
      </c>
      <c r="D228" s="22" t="s">
        <v>474</v>
      </c>
      <c r="E228" s="22" t="s">
        <v>475</v>
      </c>
      <c r="F228" s="22" t="s">
        <v>169</v>
      </c>
      <c r="G228" s="22" t="s">
        <v>52</v>
      </c>
      <c r="H228" s="22" t="s">
        <v>2840</v>
      </c>
      <c r="I228" s="22" t="s">
        <v>2847</v>
      </c>
      <c r="J228" s="22"/>
      <c r="K228" s="23">
        <v>45973</v>
      </c>
      <c r="L228" s="23">
        <v>45980</v>
      </c>
      <c r="M228" s="50" t="s">
        <v>53</v>
      </c>
      <c r="N228" s="50" t="s">
        <v>54</v>
      </c>
      <c r="O228" s="50" t="s">
        <v>41</v>
      </c>
      <c r="P228" s="34">
        <f t="shared" si="11"/>
        <v>7</v>
      </c>
      <c r="Q228" s="24">
        <v>2958.3333333333335</v>
      </c>
      <c r="R228" s="24">
        <v>0</v>
      </c>
      <c r="S228" s="24">
        <f t="shared" si="10"/>
        <v>-2958.3333333333335</v>
      </c>
    </row>
    <row r="229" spans="1:19">
      <c r="A229" s="5">
        <v>228</v>
      </c>
      <c r="B229" s="22">
        <v>2511133083</v>
      </c>
      <c r="C229" s="22" t="s">
        <v>2829</v>
      </c>
      <c r="D229" s="22" t="s">
        <v>64</v>
      </c>
      <c r="E229" s="22" t="s">
        <v>65</v>
      </c>
      <c r="F229" s="22" t="s">
        <v>66</v>
      </c>
      <c r="G229" s="22" t="s">
        <v>52</v>
      </c>
      <c r="H229" s="22" t="s">
        <v>2840</v>
      </c>
      <c r="I229" s="22" t="s">
        <v>2848</v>
      </c>
      <c r="J229" s="22"/>
      <c r="K229" s="23">
        <v>45974</v>
      </c>
      <c r="L229" s="23">
        <v>45980</v>
      </c>
      <c r="M229" s="50" t="s">
        <v>53</v>
      </c>
      <c r="N229" s="50" t="s">
        <v>54</v>
      </c>
      <c r="O229" s="50" t="s">
        <v>41</v>
      </c>
      <c r="P229" s="34">
        <f t="shared" si="11"/>
        <v>6</v>
      </c>
      <c r="Q229" s="24">
        <v>2958.3333333333335</v>
      </c>
      <c r="R229" s="24">
        <v>0</v>
      </c>
      <c r="S229" s="24">
        <f t="shared" si="10"/>
        <v>-2958.3333333333335</v>
      </c>
    </row>
    <row r="230" spans="1:19">
      <c r="A230" s="5">
        <v>229</v>
      </c>
      <c r="B230" s="5">
        <v>2511141421</v>
      </c>
      <c r="C230" s="5" t="s">
        <v>2849</v>
      </c>
      <c r="D230" s="5" t="s">
        <v>293</v>
      </c>
      <c r="E230" s="5" t="s">
        <v>2131</v>
      </c>
      <c r="F230" s="5" t="s">
        <v>51</v>
      </c>
      <c r="G230" s="5" t="s">
        <v>43</v>
      </c>
      <c r="H230" s="5" t="s">
        <v>2840</v>
      </c>
      <c r="I230" s="5">
        <v>202501961</v>
      </c>
      <c r="J230" s="5"/>
      <c r="K230" s="6">
        <v>45975</v>
      </c>
      <c r="L230" s="6">
        <v>45980</v>
      </c>
      <c r="M230" s="42" t="s">
        <v>53</v>
      </c>
      <c r="N230" s="42" t="s">
        <v>54</v>
      </c>
      <c r="O230" s="42" t="s">
        <v>41</v>
      </c>
      <c r="P230" s="30">
        <f t="shared" si="11"/>
        <v>5</v>
      </c>
      <c r="Q230" s="41">
        <v>2958.3333333333335</v>
      </c>
      <c r="R230" s="41">
        <v>11000</v>
      </c>
      <c r="S230" s="41">
        <f t="shared" si="10"/>
        <v>8041.6666666666661</v>
      </c>
    </row>
    <row r="231" spans="1:19">
      <c r="A231" s="5">
        <v>230</v>
      </c>
      <c r="B231" s="9">
        <v>2511141422</v>
      </c>
      <c r="C231" s="9" t="s">
        <v>2850</v>
      </c>
      <c r="D231" s="9" t="s">
        <v>444</v>
      </c>
      <c r="E231" s="9" t="s">
        <v>670</v>
      </c>
      <c r="F231" s="9" t="s">
        <v>109</v>
      </c>
      <c r="G231" s="9" t="s">
        <v>75</v>
      </c>
      <c r="H231" s="9" t="s">
        <v>2840</v>
      </c>
      <c r="I231" s="9">
        <v>202501962</v>
      </c>
      <c r="J231" s="9"/>
      <c r="K231" s="10">
        <v>45975</v>
      </c>
      <c r="L231" s="10">
        <v>45980</v>
      </c>
      <c r="M231" s="54" t="s">
        <v>53</v>
      </c>
      <c r="N231" s="54" t="s">
        <v>94</v>
      </c>
      <c r="O231" s="54" t="s">
        <v>2099</v>
      </c>
      <c r="P231" s="32">
        <f t="shared" si="11"/>
        <v>5</v>
      </c>
      <c r="Q231" s="11">
        <v>2958.3333333333335</v>
      </c>
      <c r="R231" s="11">
        <v>2700</v>
      </c>
      <c r="S231" s="11">
        <f t="shared" si="10"/>
        <v>-258.33333333333348</v>
      </c>
    </row>
    <row r="232" spans="1:19">
      <c r="A232" s="5">
        <v>231</v>
      </c>
      <c r="B232" s="5">
        <v>2511141427</v>
      </c>
      <c r="C232" s="5" t="s">
        <v>2851</v>
      </c>
      <c r="D232" s="5" t="s">
        <v>881</v>
      </c>
      <c r="E232" s="5" t="s">
        <v>1306</v>
      </c>
      <c r="F232" s="5" t="s">
        <v>457</v>
      </c>
      <c r="G232" s="5" t="s">
        <v>52</v>
      </c>
      <c r="H232" s="5" t="s">
        <v>2840</v>
      </c>
      <c r="I232" s="5">
        <v>202501963</v>
      </c>
      <c r="J232" s="5"/>
      <c r="K232" s="6">
        <v>45975</v>
      </c>
      <c r="L232" s="6">
        <v>45980</v>
      </c>
      <c r="M232" s="42" t="s">
        <v>53</v>
      </c>
      <c r="N232" s="42" t="s">
        <v>54</v>
      </c>
      <c r="O232" s="42" t="s">
        <v>41</v>
      </c>
      <c r="P232" s="30">
        <f t="shared" si="11"/>
        <v>5</v>
      </c>
      <c r="Q232" s="41">
        <v>2958.3333333333335</v>
      </c>
      <c r="R232" s="41">
        <v>6000</v>
      </c>
      <c r="S232" s="41">
        <f t="shared" si="10"/>
        <v>3041.6666666666665</v>
      </c>
    </row>
    <row r="233" spans="1:19">
      <c r="A233" s="5">
        <v>232</v>
      </c>
      <c r="B233" s="5">
        <v>2511142937</v>
      </c>
      <c r="C233" s="5" t="s">
        <v>2852</v>
      </c>
      <c r="D233" s="5" t="s">
        <v>2853</v>
      </c>
      <c r="E233" s="5" t="s">
        <v>2854</v>
      </c>
      <c r="F233" s="5" t="s">
        <v>71</v>
      </c>
      <c r="G233" s="5" t="s">
        <v>43</v>
      </c>
      <c r="H233" s="5" t="s">
        <v>2840</v>
      </c>
      <c r="I233" s="5">
        <v>202501964</v>
      </c>
      <c r="J233" s="5"/>
      <c r="K233" s="6">
        <v>45975</v>
      </c>
      <c r="L233" s="6">
        <v>45980</v>
      </c>
      <c r="M233" s="42" t="s">
        <v>53</v>
      </c>
      <c r="N233" s="42" t="s">
        <v>54</v>
      </c>
      <c r="O233" s="42" t="s">
        <v>41</v>
      </c>
      <c r="P233" s="30">
        <f t="shared" si="11"/>
        <v>5</v>
      </c>
      <c r="Q233" s="41">
        <v>2958.3333333333335</v>
      </c>
      <c r="R233" s="41">
        <v>11000</v>
      </c>
      <c r="S233" s="41">
        <f t="shared" si="10"/>
        <v>8041.6666666666661</v>
      </c>
    </row>
    <row r="234" spans="1:19">
      <c r="A234" s="5">
        <v>233</v>
      </c>
      <c r="B234" s="5">
        <v>2511142950</v>
      </c>
      <c r="C234" s="5" t="s">
        <v>2855</v>
      </c>
      <c r="D234" s="5" t="s">
        <v>2853</v>
      </c>
      <c r="E234" s="5" t="s">
        <v>2854</v>
      </c>
      <c r="F234" s="5" t="s">
        <v>71</v>
      </c>
      <c r="G234" s="5" t="s">
        <v>43</v>
      </c>
      <c r="H234" s="5" t="s">
        <v>2840</v>
      </c>
      <c r="I234" s="5">
        <v>202501965</v>
      </c>
      <c r="J234" s="5"/>
      <c r="K234" s="6">
        <v>45975</v>
      </c>
      <c r="L234" s="6">
        <v>45980</v>
      </c>
      <c r="M234" s="42" t="s">
        <v>53</v>
      </c>
      <c r="N234" s="42" t="s">
        <v>54</v>
      </c>
      <c r="O234" s="42" t="s">
        <v>41</v>
      </c>
      <c r="P234" s="30">
        <f t="shared" si="11"/>
        <v>5</v>
      </c>
      <c r="Q234" s="41">
        <v>2958.3333333333335</v>
      </c>
      <c r="R234" s="41">
        <v>11000</v>
      </c>
      <c r="S234" s="41">
        <f t="shared" si="10"/>
        <v>8041.6666666666661</v>
      </c>
    </row>
    <row r="235" spans="1:19">
      <c r="A235" s="5">
        <v>234</v>
      </c>
      <c r="B235" s="5">
        <v>2511142962</v>
      </c>
      <c r="C235" s="5" t="s">
        <v>2856</v>
      </c>
      <c r="D235" s="5" t="s">
        <v>2853</v>
      </c>
      <c r="E235" s="5" t="s">
        <v>2854</v>
      </c>
      <c r="F235" s="5" t="s">
        <v>71</v>
      </c>
      <c r="G235" s="5" t="s">
        <v>43</v>
      </c>
      <c r="H235" s="5" t="s">
        <v>2840</v>
      </c>
      <c r="I235" s="5">
        <v>202501966</v>
      </c>
      <c r="J235" s="5"/>
      <c r="K235" s="6">
        <v>45975</v>
      </c>
      <c r="L235" s="6">
        <v>45980</v>
      </c>
      <c r="M235" s="42" t="s">
        <v>53</v>
      </c>
      <c r="N235" s="42" t="s">
        <v>54</v>
      </c>
      <c r="O235" s="42" t="s">
        <v>41</v>
      </c>
      <c r="P235" s="30">
        <f t="shared" si="11"/>
        <v>5</v>
      </c>
      <c r="Q235" s="41">
        <v>2958.3333333333335</v>
      </c>
      <c r="R235" s="41">
        <v>11000</v>
      </c>
      <c r="S235" s="41">
        <f t="shared" si="10"/>
        <v>8041.6666666666661</v>
      </c>
    </row>
    <row r="236" spans="1:19">
      <c r="A236" s="5">
        <v>235</v>
      </c>
      <c r="B236" s="5">
        <v>2511151736</v>
      </c>
      <c r="C236" s="5" t="s">
        <v>2857</v>
      </c>
      <c r="D236" s="5" t="s">
        <v>405</v>
      </c>
      <c r="E236" s="5" t="s">
        <v>2016</v>
      </c>
      <c r="F236" s="5" t="s">
        <v>202</v>
      </c>
      <c r="G236" s="5" t="s">
        <v>52</v>
      </c>
      <c r="H236" s="5" t="s">
        <v>2840</v>
      </c>
      <c r="I236" s="5">
        <v>202501967</v>
      </c>
      <c r="J236" s="5"/>
      <c r="K236" s="6">
        <v>45976</v>
      </c>
      <c r="L236" s="6">
        <v>45980</v>
      </c>
      <c r="M236" s="42" t="s">
        <v>53</v>
      </c>
      <c r="N236" s="42" t="s">
        <v>54</v>
      </c>
      <c r="O236" s="42" t="s">
        <v>41</v>
      </c>
      <c r="P236" s="30">
        <f t="shared" si="11"/>
        <v>4</v>
      </c>
      <c r="Q236" s="41">
        <v>2958.3333333333335</v>
      </c>
      <c r="R236" s="41">
        <v>6450</v>
      </c>
      <c r="S236" s="41">
        <f t="shared" si="10"/>
        <v>3491.6666666666665</v>
      </c>
    </row>
    <row r="237" spans="1:19">
      <c r="A237" s="5">
        <v>236</v>
      </c>
      <c r="B237" s="5">
        <v>2511151740</v>
      </c>
      <c r="C237" s="5" t="s">
        <v>2858</v>
      </c>
      <c r="D237" s="5" t="s">
        <v>405</v>
      </c>
      <c r="E237" s="5" t="s">
        <v>485</v>
      </c>
      <c r="F237" s="5" t="s">
        <v>202</v>
      </c>
      <c r="G237" s="5" t="s">
        <v>52</v>
      </c>
      <c r="H237" s="5" t="s">
        <v>2840</v>
      </c>
      <c r="I237" s="5">
        <v>202501968</v>
      </c>
      <c r="J237" s="5"/>
      <c r="K237" s="6">
        <v>45976</v>
      </c>
      <c r="L237" s="6">
        <v>45980</v>
      </c>
      <c r="M237" s="42" t="s">
        <v>53</v>
      </c>
      <c r="N237" s="42" t="s">
        <v>54</v>
      </c>
      <c r="O237" s="42" t="s">
        <v>41</v>
      </c>
      <c r="P237" s="30">
        <f t="shared" si="11"/>
        <v>4</v>
      </c>
      <c r="Q237" s="41">
        <v>2958.3333333333335</v>
      </c>
      <c r="R237" s="41">
        <v>6450</v>
      </c>
      <c r="S237" s="41">
        <f t="shared" si="10"/>
        <v>3491.6666666666665</v>
      </c>
    </row>
    <row r="238" spans="1:19">
      <c r="A238" s="5">
        <v>237</v>
      </c>
      <c r="B238" s="5">
        <v>2511151745</v>
      </c>
      <c r="C238" s="5" t="s">
        <v>2859</v>
      </c>
      <c r="D238" s="5" t="s">
        <v>631</v>
      </c>
      <c r="E238" s="5" t="s">
        <v>1919</v>
      </c>
      <c r="F238" s="5" t="s">
        <v>87</v>
      </c>
      <c r="G238" s="5" t="s">
        <v>52</v>
      </c>
      <c r="H238" s="5" t="s">
        <v>2840</v>
      </c>
      <c r="I238" s="5">
        <v>202501969</v>
      </c>
      <c r="J238" s="5"/>
      <c r="K238" s="6">
        <v>45976</v>
      </c>
      <c r="L238" s="6">
        <v>45980</v>
      </c>
      <c r="M238" s="42" t="s">
        <v>53</v>
      </c>
      <c r="N238" s="42" t="s">
        <v>54</v>
      </c>
      <c r="O238" s="42" t="s">
        <v>41</v>
      </c>
      <c r="P238" s="30">
        <f t="shared" si="11"/>
        <v>4</v>
      </c>
      <c r="Q238" s="41">
        <v>2958.3333333333335</v>
      </c>
      <c r="R238" s="41">
        <v>8000</v>
      </c>
      <c r="S238" s="41">
        <f t="shared" si="10"/>
        <v>5041.6666666666661</v>
      </c>
    </row>
    <row r="239" spans="1:19">
      <c r="A239" s="5">
        <v>238</v>
      </c>
      <c r="B239" s="5">
        <v>2511151737</v>
      </c>
      <c r="C239" s="5" t="s">
        <v>2860</v>
      </c>
      <c r="D239" s="5" t="s">
        <v>309</v>
      </c>
      <c r="E239" s="5" t="s">
        <v>1597</v>
      </c>
      <c r="F239" s="5" t="s">
        <v>51</v>
      </c>
      <c r="G239" s="5" t="s">
        <v>52</v>
      </c>
      <c r="H239" s="5" t="s">
        <v>2840</v>
      </c>
      <c r="I239" s="5">
        <v>202501970</v>
      </c>
      <c r="J239" s="5"/>
      <c r="K239" s="6">
        <v>45976</v>
      </c>
      <c r="L239" s="6">
        <v>45980</v>
      </c>
      <c r="M239" s="42" t="s">
        <v>53</v>
      </c>
      <c r="N239" s="42" t="s">
        <v>54</v>
      </c>
      <c r="O239" s="42" t="s">
        <v>41</v>
      </c>
      <c r="P239" s="30">
        <f t="shared" si="11"/>
        <v>4</v>
      </c>
      <c r="Q239" s="41">
        <v>2958.3333333333335</v>
      </c>
      <c r="R239" s="41">
        <v>5500</v>
      </c>
      <c r="S239" s="41">
        <f t="shared" si="10"/>
        <v>2541.6666666666665</v>
      </c>
    </row>
    <row r="240" spans="1:19">
      <c r="A240" s="5">
        <v>239</v>
      </c>
      <c r="B240" s="5">
        <v>2511151746</v>
      </c>
      <c r="C240" s="5" t="s">
        <v>2861</v>
      </c>
      <c r="D240" s="5" t="s">
        <v>733</v>
      </c>
      <c r="E240" s="5" t="s">
        <v>997</v>
      </c>
      <c r="F240" s="5" t="s">
        <v>51</v>
      </c>
      <c r="G240" s="5" t="s">
        <v>75</v>
      </c>
      <c r="H240" s="5" t="s">
        <v>2840</v>
      </c>
      <c r="I240" s="5">
        <v>202501971</v>
      </c>
      <c r="J240" s="5"/>
      <c r="K240" s="6">
        <v>45976</v>
      </c>
      <c r="L240" s="6">
        <v>45980</v>
      </c>
      <c r="M240" s="42" t="s">
        <v>53</v>
      </c>
      <c r="N240" s="42" t="s">
        <v>54</v>
      </c>
      <c r="O240" s="42" t="s">
        <v>41</v>
      </c>
      <c r="P240" s="30">
        <f t="shared" si="11"/>
        <v>4</v>
      </c>
      <c r="Q240" s="41">
        <v>2958.3333333333335</v>
      </c>
      <c r="R240" s="41">
        <v>2600</v>
      </c>
      <c r="S240" s="41">
        <f t="shared" si="10"/>
        <v>-358.33333333333348</v>
      </c>
    </row>
    <row r="241" spans="1:19">
      <c r="A241" s="5">
        <v>240</v>
      </c>
      <c r="B241" s="5">
        <v>2511152692</v>
      </c>
      <c r="C241" s="5" t="s">
        <v>2862</v>
      </c>
      <c r="D241" s="5" t="s">
        <v>715</v>
      </c>
      <c r="E241" s="5" t="s">
        <v>716</v>
      </c>
      <c r="F241" s="5" t="s">
        <v>71</v>
      </c>
      <c r="G241" s="5" t="s">
        <v>43</v>
      </c>
      <c r="H241" s="5" t="s">
        <v>2840</v>
      </c>
      <c r="I241" s="5">
        <v>202501972</v>
      </c>
      <c r="J241" s="5"/>
      <c r="K241" s="6">
        <v>45976</v>
      </c>
      <c r="L241" s="6">
        <v>45980</v>
      </c>
      <c r="M241" s="42" t="s">
        <v>53</v>
      </c>
      <c r="N241" s="42" t="s">
        <v>54</v>
      </c>
      <c r="O241" s="42" t="s">
        <v>41</v>
      </c>
      <c r="P241" s="30">
        <f t="shared" si="11"/>
        <v>4</v>
      </c>
      <c r="Q241" s="41">
        <v>2958.3333333333335</v>
      </c>
      <c r="R241" s="41">
        <v>9000</v>
      </c>
      <c r="S241" s="41">
        <f t="shared" si="10"/>
        <v>6041.6666666666661</v>
      </c>
    </row>
    <row r="242" spans="1:19">
      <c r="A242" s="5">
        <v>241</v>
      </c>
      <c r="B242" s="5">
        <v>2511152700</v>
      </c>
      <c r="C242" s="5" t="s">
        <v>2863</v>
      </c>
      <c r="D242" s="5" t="s">
        <v>711</v>
      </c>
      <c r="E242" s="5" t="s">
        <v>2864</v>
      </c>
      <c r="F242" s="5" t="s">
        <v>71</v>
      </c>
      <c r="G242" s="5" t="s">
        <v>43</v>
      </c>
      <c r="H242" s="5" t="s">
        <v>2840</v>
      </c>
      <c r="I242" s="5">
        <v>202501973</v>
      </c>
      <c r="J242" s="5"/>
      <c r="K242" s="6">
        <v>45976</v>
      </c>
      <c r="L242" s="6">
        <v>45980</v>
      </c>
      <c r="M242" s="42" t="s">
        <v>53</v>
      </c>
      <c r="N242" s="42" t="s">
        <v>54</v>
      </c>
      <c r="O242" s="42" t="s">
        <v>41</v>
      </c>
      <c r="P242" s="30">
        <f t="shared" si="11"/>
        <v>4</v>
      </c>
      <c r="Q242" s="41">
        <v>2958.3333333333335</v>
      </c>
      <c r="R242" s="41">
        <v>12000</v>
      </c>
      <c r="S242" s="41">
        <f t="shared" si="10"/>
        <v>9041.6666666666661</v>
      </c>
    </row>
    <row r="243" spans="1:19">
      <c r="A243" s="5">
        <v>242</v>
      </c>
      <c r="B243" s="5">
        <v>2511151771</v>
      </c>
      <c r="C243" s="5" t="s">
        <v>2865</v>
      </c>
      <c r="D243" s="5" t="s">
        <v>40</v>
      </c>
      <c r="E243" s="5" t="s">
        <v>41</v>
      </c>
      <c r="F243" s="5" t="s">
        <v>42</v>
      </c>
      <c r="G243" s="5" t="s">
        <v>52</v>
      </c>
      <c r="H243" s="5" t="s">
        <v>2840</v>
      </c>
      <c r="I243" s="5">
        <v>202501974</v>
      </c>
      <c r="J243" s="5"/>
      <c r="K243" s="6">
        <v>45976</v>
      </c>
      <c r="L243" s="6">
        <v>45980</v>
      </c>
      <c r="M243" s="42" t="s">
        <v>53</v>
      </c>
      <c r="N243" s="42" t="s">
        <v>54</v>
      </c>
      <c r="O243" s="42" t="s">
        <v>41</v>
      </c>
      <c r="P243" s="30">
        <f t="shared" si="11"/>
        <v>4</v>
      </c>
      <c r="Q243" s="41">
        <v>2958.3333333333335</v>
      </c>
      <c r="R243" s="41">
        <v>9500</v>
      </c>
      <c r="S243" s="41">
        <f t="shared" si="10"/>
        <v>6541.6666666666661</v>
      </c>
    </row>
    <row r="244" spans="1:19">
      <c r="A244" s="5">
        <v>243</v>
      </c>
      <c r="B244" s="5" t="s">
        <v>1239</v>
      </c>
      <c r="C244" s="5"/>
      <c r="D244" s="5"/>
      <c r="E244" s="5"/>
      <c r="F244" s="5"/>
      <c r="G244" s="5" t="s">
        <v>52</v>
      </c>
      <c r="H244" s="5"/>
      <c r="I244" s="5"/>
      <c r="J244" s="5"/>
      <c r="K244" s="5"/>
      <c r="L244" s="5"/>
      <c r="M244" s="5"/>
      <c r="N244" s="5"/>
      <c r="O244" s="5"/>
      <c r="P244" s="5"/>
      <c r="Q244" s="8">
        <v>2958.3333333333335</v>
      </c>
      <c r="R244" s="41">
        <v>0</v>
      </c>
      <c r="S244" s="41">
        <f t="shared" si="10"/>
        <v>-2958.3333333333335</v>
      </c>
    </row>
    <row r="245" spans="1:19">
      <c r="A245" s="5">
        <v>244</v>
      </c>
      <c r="B245" s="5" t="s">
        <v>1240</v>
      </c>
      <c r="C245" s="5"/>
      <c r="D245" s="5"/>
      <c r="E245" s="5"/>
      <c r="F245" s="5"/>
      <c r="G245" s="5" t="s">
        <v>52</v>
      </c>
      <c r="H245" s="5"/>
      <c r="I245" s="5"/>
      <c r="J245" s="5"/>
      <c r="K245" s="5"/>
      <c r="L245" s="5"/>
      <c r="M245" s="5"/>
      <c r="N245" s="5"/>
      <c r="O245" s="5"/>
      <c r="P245" s="5"/>
      <c r="Q245" s="8">
        <v>2958.3333333333335</v>
      </c>
      <c r="R245" s="41">
        <v>0</v>
      </c>
      <c r="S245" s="41">
        <f t="shared" si="10"/>
        <v>-2958.3333333333335</v>
      </c>
    </row>
    <row r="246" spans="1:19">
      <c r="A246" s="5">
        <v>245</v>
      </c>
      <c r="B246" s="22">
        <v>2511021196</v>
      </c>
      <c r="C246" s="22" t="s">
        <v>2644</v>
      </c>
      <c r="D246" s="22" t="s">
        <v>745</v>
      </c>
      <c r="E246" s="22" t="s">
        <v>1512</v>
      </c>
      <c r="F246" s="22" t="s">
        <v>202</v>
      </c>
      <c r="G246" s="22" t="s">
        <v>75</v>
      </c>
      <c r="H246" s="22" t="s">
        <v>2866</v>
      </c>
      <c r="I246" s="22" t="s">
        <v>2867</v>
      </c>
      <c r="J246" s="22"/>
      <c r="K246" s="23">
        <v>45976</v>
      </c>
      <c r="L246" s="23">
        <v>45981</v>
      </c>
      <c r="M246" s="50" t="s">
        <v>53</v>
      </c>
      <c r="N246" s="50" t="s">
        <v>54</v>
      </c>
      <c r="O246" s="50" t="s">
        <v>41</v>
      </c>
      <c r="P246" s="34">
        <f t="shared" ref="P246:P272" si="12">L246-K246</f>
        <v>5</v>
      </c>
      <c r="Q246" s="24">
        <v>2452.5862068965516</v>
      </c>
      <c r="R246" s="24">
        <v>0</v>
      </c>
      <c r="S246" s="24">
        <f t="shared" si="10"/>
        <v>-2452.5862068965516</v>
      </c>
    </row>
    <row r="247" spans="1:19">
      <c r="A247" s="5">
        <v>246</v>
      </c>
      <c r="B247" s="26">
        <v>2511043205</v>
      </c>
      <c r="C247" s="26" t="s">
        <v>2692</v>
      </c>
      <c r="D247" s="26" t="s">
        <v>354</v>
      </c>
      <c r="E247" s="26" t="s">
        <v>2693</v>
      </c>
      <c r="F247" s="26" t="s">
        <v>141</v>
      </c>
      <c r="G247" s="26" t="s">
        <v>75</v>
      </c>
      <c r="H247" s="26" t="s">
        <v>2866</v>
      </c>
      <c r="I247" s="26" t="s">
        <v>2868</v>
      </c>
      <c r="J247" s="26"/>
      <c r="K247" s="27">
        <v>45976</v>
      </c>
      <c r="L247" s="27">
        <v>45981</v>
      </c>
      <c r="M247" s="122" t="s">
        <v>45</v>
      </c>
      <c r="N247" s="122" t="s">
        <v>163</v>
      </c>
      <c r="O247" s="122" t="s">
        <v>2869</v>
      </c>
      <c r="P247" s="33">
        <f t="shared" si="12"/>
        <v>5</v>
      </c>
      <c r="Q247" s="28">
        <v>2452.5862068965516</v>
      </c>
      <c r="R247" s="28">
        <v>0</v>
      </c>
      <c r="S247" s="28">
        <f t="shared" si="10"/>
        <v>-2452.5862068965516</v>
      </c>
    </row>
    <row r="248" spans="1:19">
      <c r="A248" s="5">
        <v>247</v>
      </c>
      <c r="B248" s="22">
        <v>2511063062</v>
      </c>
      <c r="C248" s="22" t="s">
        <v>2733</v>
      </c>
      <c r="D248" s="22" t="s">
        <v>1662</v>
      </c>
      <c r="E248" s="22" t="s">
        <v>1318</v>
      </c>
      <c r="F248" s="22" t="s">
        <v>58</v>
      </c>
      <c r="G248" s="22" t="s">
        <v>52</v>
      </c>
      <c r="H248" s="22" t="s">
        <v>2866</v>
      </c>
      <c r="I248" s="22" t="s">
        <v>2870</v>
      </c>
      <c r="J248" s="22"/>
      <c r="K248" s="23">
        <v>45978</v>
      </c>
      <c r="L248" s="23">
        <v>45981</v>
      </c>
      <c r="M248" s="50" t="s">
        <v>53</v>
      </c>
      <c r="N248" s="50" t="s">
        <v>54</v>
      </c>
      <c r="O248" s="50" t="s">
        <v>41</v>
      </c>
      <c r="P248" s="34">
        <f t="shared" si="12"/>
        <v>3</v>
      </c>
      <c r="Q248" s="24">
        <v>2452.5862068965516</v>
      </c>
      <c r="R248" s="24">
        <v>0</v>
      </c>
      <c r="S248" s="24">
        <f t="shared" si="10"/>
        <v>-2452.5862068965516</v>
      </c>
    </row>
    <row r="249" spans="1:19">
      <c r="A249" s="5">
        <v>248</v>
      </c>
      <c r="B249" s="9">
        <v>2511102249</v>
      </c>
      <c r="C249" s="9" t="s">
        <v>2793</v>
      </c>
      <c r="D249" s="9" t="s">
        <v>564</v>
      </c>
      <c r="E249" s="9" t="s">
        <v>1872</v>
      </c>
      <c r="F249" s="9" t="s">
        <v>71</v>
      </c>
      <c r="G249" s="9" t="s">
        <v>75</v>
      </c>
      <c r="H249" s="9" t="s">
        <v>2866</v>
      </c>
      <c r="I249" s="9" t="s">
        <v>2871</v>
      </c>
      <c r="J249" s="9"/>
      <c r="K249" s="10">
        <v>45978</v>
      </c>
      <c r="L249" s="10">
        <v>45981</v>
      </c>
      <c r="M249" s="54" t="s">
        <v>45</v>
      </c>
      <c r="N249" s="54" t="s">
        <v>94</v>
      </c>
      <c r="O249" s="54" t="s">
        <v>1603</v>
      </c>
      <c r="P249" s="32">
        <f t="shared" si="12"/>
        <v>3</v>
      </c>
      <c r="Q249" s="11">
        <v>2452.5862068965516</v>
      </c>
      <c r="R249" s="11">
        <v>0</v>
      </c>
      <c r="S249" s="11">
        <f t="shared" si="10"/>
        <v>-2452.5862068965516</v>
      </c>
    </row>
    <row r="250" spans="1:19">
      <c r="A250" s="5">
        <v>249</v>
      </c>
      <c r="B250" s="22">
        <v>2511141422</v>
      </c>
      <c r="C250" s="22" t="s">
        <v>2850</v>
      </c>
      <c r="D250" s="22" t="s">
        <v>444</v>
      </c>
      <c r="E250" s="22" t="s">
        <v>670</v>
      </c>
      <c r="F250" s="22" t="s">
        <v>109</v>
      </c>
      <c r="G250" s="22" t="s">
        <v>75</v>
      </c>
      <c r="H250" s="22" t="s">
        <v>2866</v>
      </c>
      <c r="I250" s="22" t="s">
        <v>2872</v>
      </c>
      <c r="J250" s="22"/>
      <c r="K250" s="23">
        <v>45975</v>
      </c>
      <c r="L250" s="23">
        <v>45981</v>
      </c>
      <c r="M250" s="50" t="s">
        <v>53</v>
      </c>
      <c r="N250" s="50" t="s">
        <v>54</v>
      </c>
      <c r="O250" s="50" t="s">
        <v>41</v>
      </c>
      <c r="P250" s="34">
        <f t="shared" si="12"/>
        <v>6</v>
      </c>
      <c r="Q250" s="24">
        <v>2452.5862068965516</v>
      </c>
      <c r="R250" s="24">
        <v>0</v>
      </c>
      <c r="S250" s="24">
        <f t="shared" si="10"/>
        <v>-2452.5862068965516</v>
      </c>
    </row>
    <row r="251" spans="1:19">
      <c r="A251" s="5">
        <v>250</v>
      </c>
      <c r="B251" s="5">
        <v>2511151760</v>
      </c>
      <c r="C251" s="5" t="s">
        <v>2873</v>
      </c>
      <c r="D251" s="5" t="s">
        <v>40</v>
      </c>
      <c r="E251" s="5" t="s">
        <v>41</v>
      </c>
      <c r="F251" s="5" t="s">
        <v>42</v>
      </c>
      <c r="G251" s="5" t="s">
        <v>43</v>
      </c>
      <c r="H251" s="5" t="s">
        <v>2866</v>
      </c>
      <c r="I251" s="5">
        <v>202501975</v>
      </c>
      <c r="J251" s="5"/>
      <c r="K251" s="6">
        <v>45976</v>
      </c>
      <c r="L251" s="6">
        <v>45981</v>
      </c>
      <c r="M251" s="42" t="s">
        <v>53</v>
      </c>
      <c r="N251" s="42" t="s">
        <v>54</v>
      </c>
      <c r="O251" s="42" t="s">
        <v>41</v>
      </c>
      <c r="P251" s="30">
        <f t="shared" si="12"/>
        <v>5</v>
      </c>
      <c r="Q251" s="41">
        <v>2452.5862068965516</v>
      </c>
      <c r="R251" s="41">
        <v>14500</v>
      </c>
      <c r="S251" s="41">
        <f t="shared" si="10"/>
        <v>12047.413793103449</v>
      </c>
    </row>
    <row r="252" spans="1:19">
      <c r="A252" s="5">
        <v>251</v>
      </c>
      <c r="B252" s="5">
        <v>2511152706</v>
      </c>
      <c r="C252" s="5" t="s">
        <v>2874</v>
      </c>
      <c r="D252" s="5" t="s">
        <v>107</v>
      </c>
      <c r="E252" s="5" t="s">
        <v>205</v>
      </c>
      <c r="F252" s="5" t="s">
        <v>109</v>
      </c>
      <c r="G252" s="5" t="s">
        <v>52</v>
      </c>
      <c r="H252" s="5" t="s">
        <v>2866</v>
      </c>
      <c r="I252" s="5">
        <v>202501976</v>
      </c>
      <c r="J252" s="5"/>
      <c r="K252" s="6">
        <v>45976</v>
      </c>
      <c r="L252" s="6">
        <v>45981</v>
      </c>
      <c r="M252" s="42" t="s">
        <v>53</v>
      </c>
      <c r="N252" s="42" t="s">
        <v>54</v>
      </c>
      <c r="O252" s="42" t="s">
        <v>41</v>
      </c>
      <c r="P252" s="30">
        <f t="shared" si="12"/>
        <v>5</v>
      </c>
      <c r="Q252" s="41">
        <v>2452.5862068965516</v>
      </c>
      <c r="R252" s="41">
        <v>5500</v>
      </c>
      <c r="S252" s="41">
        <f t="shared" si="10"/>
        <v>3047.4137931034484</v>
      </c>
    </row>
    <row r="253" spans="1:19">
      <c r="A253" s="5">
        <v>252</v>
      </c>
      <c r="B253" s="5">
        <v>2511160735</v>
      </c>
      <c r="C253" s="5" t="s">
        <v>2875</v>
      </c>
      <c r="D253" s="5" t="s">
        <v>2555</v>
      </c>
      <c r="E253" s="5" t="s">
        <v>2556</v>
      </c>
      <c r="F253" s="5" t="s">
        <v>62</v>
      </c>
      <c r="G253" s="5" t="s">
        <v>43</v>
      </c>
      <c r="H253" s="5" t="s">
        <v>2866</v>
      </c>
      <c r="I253" s="5">
        <v>202501977</v>
      </c>
      <c r="J253" s="5"/>
      <c r="K253" s="6">
        <v>45977</v>
      </c>
      <c r="L253" s="6">
        <v>45981</v>
      </c>
      <c r="M253" s="42" t="s">
        <v>53</v>
      </c>
      <c r="N253" s="42" t="s">
        <v>54</v>
      </c>
      <c r="O253" s="42" t="s">
        <v>41</v>
      </c>
      <c r="P253" s="30">
        <f t="shared" si="12"/>
        <v>4</v>
      </c>
      <c r="Q253" s="41">
        <v>2452.5862068965516</v>
      </c>
      <c r="R253" s="41">
        <v>8000</v>
      </c>
      <c r="S253" s="41">
        <f t="shared" si="10"/>
        <v>5547.4137931034484</v>
      </c>
    </row>
    <row r="254" spans="1:19">
      <c r="A254" s="5">
        <v>253</v>
      </c>
      <c r="B254" s="5">
        <v>2511160747</v>
      </c>
      <c r="C254" s="5" t="s">
        <v>2876</v>
      </c>
      <c r="D254" s="5" t="s">
        <v>139</v>
      </c>
      <c r="E254" s="5" t="s">
        <v>2877</v>
      </c>
      <c r="F254" s="5" t="s">
        <v>141</v>
      </c>
      <c r="G254" s="5" t="s">
        <v>52</v>
      </c>
      <c r="H254" s="5" t="s">
        <v>2866</v>
      </c>
      <c r="I254" s="5">
        <v>202501978</v>
      </c>
      <c r="J254" s="5"/>
      <c r="K254" s="6">
        <v>45977</v>
      </c>
      <c r="L254" s="6">
        <v>45981</v>
      </c>
      <c r="M254" s="42" t="s">
        <v>53</v>
      </c>
      <c r="N254" s="42" t="s">
        <v>54</v>
      </c>
      <c r="O254" s="42" t="s">
        <v>41</v>
      </c>
      <c r="P254" s="30">
        <f t="shared" si="12"/>
        <v>4</v>
      </c>
      <c r="Q254" s="41">
        <v>2452.5862068965516</v>
      </c>
      <c r="R254" s="41">
        <v>6000</v>
      </c>
      <c r="S254" s="41">
        <f t="shared" si="10"/>
        <v>3547.4137931034484</v>
      </c>
    </row>
    <row r="255" spans="1:19">
      <c r="A255" s="5">
        <v>254</v>
      </c>
      <c r="B255" s="5">
        <v>2511160750</v>
      </c>
      <c r="C255" s="5" t="s">
        <v>2878</v>
      </c>
      <c r="D255" s="5" t="s">
        <v>1475</v>
      </c>
      <c r="E255" s="5" t="s">
        <v>1476</v>
      </c>
      <c r="F255" s="5" t="s">
        <v>362</v>
      </c>
      <c r="G255" s="5" t="s">
        <v>43</v>
      </c>
      <c r="H255" s="5" t="s">
        <v>2866</v>
      </c>
      <c r="I255" s="5">
        <v>202501979</v>
      </c>
      <c r="J255" s="5"/>
      <c r="K255" s="6">
        <v>45977</v>
      </c>
      <c r="L255" s="6">
        <v>45981</v>
      </c>
      <c r="M255" s="42" t="s">
        <v>53</v>
      </c>
      <c r="N255" s="42" t="s">
        <v>54</v>
      </c>
      <c r="O255" s="42" t="s">
        <v>41</v>
      </c>
      <c r="P255" s="30">
        <f t="shared" si="12"/>
        <v>4</v>
      </c>
      <c r="Q255" s="41">
        <v>2452.5862068965516</v>
      </c>
      <c r="R255" s="41">
        <v>4500</v>
      </c>
      <c r="S255" s="41">
        <f t="shared" si="10"/>
        <v>2047.4137931034484</v>
      </c>
    </row>
    <row r="256" spans="1:19">
      <c r="A256" s="5">
        <v>255</v>
      </c>
      <c r="B256" s="5">
        <v>2511160759</v>
      </c>
      <c r="C256" s="5" t="s">
        <v>2879</v>
      </c>
      <c r="D256" s="5" t="s">
        <v>528</v>
      </c>
      <c r="E256" s="5" t="s">
        <v>1917</v>
      </c>
      <c r="F256" s="5" t="s">
        <v>202</v>
      </c>
      <c r="G256" s="5" t="s">
        <v>52</v>
      </c>
      <c r="H256" s="5" t="s">
        <v>2866</v>
      </c>
      <c r="I256" s="5">
        <v>202501980</v>
      </c>
      <c r="J256" s="5"/>
      <c r="K256" s="6">
        <v>45977</v>
      </c>
      <c r="L256" s="6">
        <v>45981</v>
      </c>
      <c r="M256" s="42" t="s">
        <v>53</v>
      </c>
      <c r="N256" s="42" t="s">
        <v>54</v>
      </c>
      <c r="O256" s="42" t="s">
        <v>41</v>
      </c>
      <c r="P256" s="30">
        <f t="shared" si="12"/>
        <v>4</v>
      </c>
      <c r="Q256" s="41">
        <v>2452.5862068965516</v>
      </c>
      <c r="R256" s="41">
        <v>7500</v>
      </c>
      <c r="S256" s="41">
        <f t="shared" si="10"/>
        <v>5047.4137931034484</v>
      </c>
    </row>
    <row r="257" spans="1:19">
      <c r="A257" s="5">
        <v>256</v>
      </c>
      <c r="B257" s="5">
        <v>2511160760</v>
      </c>
      <c r="C257" s="5" t="s">
        <v>2880</v>
      </c>
      <c r="D257" s="5" t="s">
        <v>1438</v>
      </c>
      <c r="E257" s="5" t="s">
        <v>2881</v>
      </c>
      <c r="F257" s="5" t="s">
        <v>202</v>
      </c>
      <c r="G257" s="5" t="s">
        <v>52</v>
      </c>
      <c r="H257" s="5" t="s">
        <v>2866</v>
      </c>
      <c r="I257" s="5">
        <v>202501981</v>
      </c>
      <c r="J257" s="5"/>
      <c r="K257" s="6">
        <v>45977</v>
      </c>
      <c r="L257" s="6">
        <v>45981</v>
      </c>
      <c r="M257" s="42" t="s">
        <v>53</v>
      </c>
      <c r="N257" s="42" t="s">
        <v>54</v>
      </c>
      <c r="O257" s="42" t="s">
        <v>41</v>
      </c>
      <c r="P257" s="30">
        <f t="shared" si="12"/>
        <v>4</v>
      </c>
      <c r="Q257" s="41">
        <v>2452.5862068965516</v>
      </c>
      <c r="R257" s="41">
        <v>8000</v>
      </c>
      <c r="S257" s="41">
        <f t="shared" si="10"/>
        <v>5547.4137931034484</v>
      </c>
    </row>
    <row r="258" spans="1:19">
      <c r="A258" s="5">
        <v>257</v>
      </c>
      <c r="B258" s="5">
        <v>2511161235</v>
      </c>
      <c r="C258" s="5" t="s">
        <v>2882</v>
      </c>
      <c r="D258" s="5" t="s">
        <v>86</v>
      </c>
      <c r="E258" s="5" t="s">
        <v>699</v>
      </c>
      <c r="F258" s="5" t="s">
        <v>87</v>
      </c>
      <c r="G258" s="5" t="s">
        <v>75</v>
      </c>
      <c r="H258" s="5" t="s">
        <v>2866</v>
      </c>
      <c r="I258" s="5">
        <v>202501982</v>
      </c>
      <c r="J258" s="5"/>
      <c r="K258" s="6">
        <v>45977</v>
      </c>
      <c r="L258" s="6">
        <v>45981</v>
      </c>
      <c r="M258" s="42" t="s">
        <v>53</v>
      </c>
      <c r="N258" s="42" t="s">
        <v>54</v>
      </c>
      <c r="O258" s="42" t="s">
        <v>41</v>
      </c>
      <c r="P258" s="30">
        <f t="shared" si="12"/>
        <v>4</v>
      </c>
      <c r="Q258" s="41">
        <v>2452.5862068965516</v>
      </c>
      <c r="R258" s="41">
        <v>4500</v>
      </c>
      <c r="S258" s="41">
        <f t="shared" ref="S258:S321" si="13">R258-Q258</f>
        <v>2047.4137931034484</v>
      </c>
    </row>
    <row r="259" spans="1:19">
      <c r="A259" s="5">
        <v>258</v>
      </c>
      <c r="B259" s="9">
        <v>2511161241</v>
      </c>
      <c r="C259" s="9" t="s">
        <v>2883</v>
      </c>
      <c r="D259" s="9" t="s">
        <v>83</v>
      </c>
      <c r="E259" s="9" t="s">
        <v>84</v>
      </c>
      <c r="F259" s="9" t="s">
        <v>62</v>
      </c>
      <c r="G259" s="9" t="s">
        <v>52</v>
      </c>
      <c r="H259" s="9" t="s">
        <v>2866</v>
      </c>
      <c r="I259" s="9">
        <v>202501983</v>
      </c>
      <c r="J259" s="9"/>
      <c r="K259" s="10">
        <v>45977</v>
      </c>
      <c r="L259" s="10">
        <v>45981</v>
      </c>
      <c r="M259" s="54" t="s">
        <v>45</v>
      </c>
      <c r="N259" s="54" t="s">
        <v>94</v>
      </c>
      <c r="O259" s="54" t="s">
        <v>2604</v>
      </c>
      <c r="P259" s="32">
        <f t="shared" si="12"/>
        <v>4</v>
      </c>
      <c r="Q259" s="11">
        <v>2452.5862068965516</v>
      </c>
      <c r="R259" s="11">
        <v>6000</v>
      </c>
      <c r="S259" s="11">
        <f t="shared" si="13"/>
        <v>3547.4137931034484</v>
      </c>
    </row>
    <row r="260" spans="1:19">
      <c r="A260" s="5">
        <v>259</v>
      </c>
      <c r="B260" s="5">
        <v>2511172057</v>
      </c>
      <c r="C260" s="5" t="s">
        <v>2884</v>
      </c>
      <c r="D260" s="5" t="s">
        <v>64</v>
      </c>
      <c r="E260" s="5" t="s">
        <v>1498</v>
      </c>
      <c r="F260" s="5" t="s">
        <v>66</v>
      </c>
      <c r="G260" s="5" t="s">
        <v>52</v>
      </c>
      <c r="H260" s="5" t="s">
        <v>2866</v>
      </c>
      <c r="I260" s="5">
        <v>202501984</v>
      </c>
      <c r="J260" s="5"/>
      <c r="K260" s="6">
        <v>45978</v>
      </c>
      <c r="L260" s="6">
        <v>45981</v>
      </c>
      <c r="M260" s="42" t="s">
        <v>53</v>
      </c>
      <c r="N260" s="42" t="s">
        <v>54</v>
      </c>
      <c r="O260" s="42" t="s">
        <v>41</v>
      </c>
      <c r="P260" s="30">
        <f t="shared" si="12"/>
        <v>3</v>
      </c>
      <c r="Q260" s="41">
        <v>2452.5862068965516</v>
      </c>
      <c r="R260" s="41">
        <v>5500</v>
      </c>
      <c r="S260" s="41">
        <f t="shared" si="13"/>
        <v>3047.4137931034484</v>
      </c>
    </row>
    <row r="261" spans="1:19">
      <c r="A261" s="5">
        <v>260</v>
      </c>
      <c r="B261" s="5">
        <v>2511172060</v>
      </c>
      <c r="C261" s="5" t="s">
        <v>2885</v>
      </c>
      <c r="D261" s="5" t="s">
        <v>64</v>
      </c>
      <c r="E261" s="5" t="s">
        <v>1498</v>
      </c>
      <c r="F261" s="5" t="s">
        <v>66</v>
      </c>
      <c r="G261" s="5" t="s">
        <v>52</v>
      </c>
      <c r="H261" s="5" t="s">
        <v>2866</v>
      </c>
      <c r="I261" s="5">
        <v>202501985</v>
      </c>
      <c r="J261" s="5"/>
      <c r="K261" s="6">
        <v>45978</v>
      </c>
      <c r="L261" s="6">
        <v>45981</v>
      </c>
      <c r="M261" s="42" t="s">
        <v>53</v>
      </c>
      <c r="N261" s="42" t="s">
        <v>54</v>
      </c>
      <c r="O261" s="42" t="s">
        <v>41</v>
      </c>
      <c r="P261" s="30">
        <f t="shared" si="12"/>
        <v>3</v>
      </c>
      <c r="Q261" s="41">
        <v>2452.5862068965516</v>
      </c>
      <c r="R261" s="41">
        <v>5500</v>
      </c>
      <c r="S261" s="41">
        <f t="shared" si="13"/>
        <v>3047.4137931034484</v>
      </c>
    </row>
    <row r="262" spans="1:19">
      <c r="A262" s="5">
        <v>261</v>
      </c>
      <c r="B262" s="5">
        <v>2511172066</v>
      </c>
      <c r="C262" s="5" t="s">
        <v>2886</v>
      </c>
      <c r="D262" s="5" t="s">
        <v>666</v>
      </c>
      <c r="E262" s="5" t="s">
        <v>667</v>
      </c>
      <c r="F262" s="5" t="s">
        <v>87</v>
      </c>
      <c r="G262" s="5" t="s">
        <v>52</v>
      </c>
      <c r="H262" s="5" t="s">
        <v>2866</v>
      </c>
      <c r="I262" s="5">
        <v>202501986</v>
      </c>
      <c r="J262" s="5"/>
      <c r="K262" s="6">
        <v>45978</v>
      </c>
      <c r="L262" s="6">
        <v>45981</v>
      </c>
      <c r="M262" s="42" t="s">
        <v>53</v>
      </c>
      <c r="N262" s="42" t="s">
        <v>54</v>
      </c>
      <c r="O262" s="42" t="s">
        <v>41</v>
      </c>
      <c r="P262" s="30">
        <f t="shared" si="12"/>
        <v>3</v>
      </c>
      <c r="Q262" s="41">
        <v>2452.5862068965516</v>
      </c>
      <c r="R262" s="41">
        <v>5500</v>
      </c>
      <c r="S262" s="41">
        <f t="shared" si="13"/>
        <v>3047.4137931034484</v>
      </c>
    </row>
    <row r="263" spans="1:19">
      <c r="A263" s="5">
        <v>262</v>
      </c>
      <c r="B263" s="5">
        <v>2511172069</v>
      </c>
      <c r="C263" s="5" t="s">
        <v>2887</v>
      </c>
      <c r="D263" s="5" t="s">
        <v>309</v>
      </c>
      <c r="E263" s="5" t="s">
        <v>1597</v>
      </c>
      <c r="F263" s="5" t="s">
        <v>51</v>
      </c>
      <c r="G263" s="5" t="s">
        <v>52</v>
      </c>
      <c r="H263" s="5" t="s">
        <v>2866</v>
      </c>
      <c r="I263" s="5">
        <v>202501987</v>
      </c>
      <c r="J263" s="5"/>
      <c r="K263" s="6">
        <v>45978</v>
      </c>
      <c r="L263" s="6">
        <v>45981</v>
      </c>
      <c r="M263" s="42" t="s">
        <v>53</v>
      </c>
      <c r="N263" s="42" t="s">
        <v>54</v>
      </c>
      <c r="O263" s="42" t="s">
        <v>41</v>
      </c>
      <c r="P263" s="30">
        <f t="shared" si="12"/>
        <v>3</v>
      </c>
      <c r="Q263" s="41">
        <v>2452.5862068965516</v>
      </c>
      <c r="R263" s="41">
        <v>5500</v>
      </c>
      <c r="S263" s="41">
        <f t="shared" si="13"/>
        <v>3047.4137931034484</v>
      </c>
    </row>
    <row r="264" spans="1:19">
      <c r="A264" s="5">
        <v>263</v>
      </c>
      <c r="B264" s="5">
        <v>2511172071</v>
      </c>
      <c r="C264" s="5" t="s">
        <v>2888</v>
      </c>
      <c r="D264" s="5" t="s">
        <v>528</v>
      </c>
      <c r="E264" s="5" t="s">
        <v>2889</v>
      </c>
      <c r="F264" s="5" t="s">
        <v>202</v>
      </c>
      <c r="G264" s="5" t="s">
        <v>52</v>
      </c>
      <c r="H264" s="5" t="s">
        <v>2866</v>
      </c>
      <c r="I264" s="5">
        <v>202501988</v>
      </c>
      <c r="J264" s="5"/>
      <c r="K264" s="6">
        <v>45978</v>
      </c>
      <c r="L264" s="6">
        <v>45981</v>
      </c>
      <c r="M264" s="42" t="s">
        <v>53</v>
      </c>
      <c r="N264" s="42" t="s">
        <v>54</v>
      </c>
      <c r="O264" s="42" t="s">
        <v>41</v>
      </c>
      <c r="P264" s="30">
        <f t="shared" si="12"/>
        <v>3</v>
      </c>
      <c r="Q264" s="41">
        <v>2452.5862068965516</v>
      </c>
      <c r="R264" s="41">
        <v>7500</v>
      </c>
      <c r="S264" s="41">
        <f t="shared" si="13"/>
        <v>5047.4137931034484</v>
      </c>
    </row>
    <row r="265" spans="1:19">
      <c r="A265" s="5">
        <v>264</v>
      </c>
      <c r="B265" s="5">
        <v>2511170540</v>
      </c>
      <c r="C265" s="5" t="s">
        <v>2890</v>
      </c>
      <c r="D265" s="5" t="s">
        <v>40</v>
      </c>
      <c r="E265" s="5" t="s">
        <v>41</v>
      </c>
      <c r="F265" s="5" t="s">
        <v>42</v>
      </c>
      <c r="G265" s="5" t="s">
        <v>43</v>
      </c>
      <c r="H265" s="5" t="s">
        <v>2866</v>
      </c>
      <c r="I265" s="5">
        <v>202501989</v>
      </c>
      <c r="J265" s="5"/>
      <c r="K265" s="6">
        <v>45978</v>
      </c>
      <c r="L265" s="6">
        <v>45981</v>
      </c>
      <c r="M265" s="42" t="s">
        <v>53</v>
      </c>
      <c r="N265" s="42" t="s">
        <v>54</v>
      </c>
      <c r="O265" s="42" t="s">
        <v>41</v>
      </c>
      <c r="P265" s="30">
        <f t="shared" si="12"/>
        <v>3</v>
      </c>
      <c r="Q265" s="41">
        <v>2452.5862068965516</v>
      </c>
      <c r="R265" s="41">
        <v>14500</v>
      </c>
      <c r="S265" s="41">
        <f t="shared" si="13"/>
        <v>12047.413793103449</v>
      </c>
    </row>
    <row r="266" spans="1:19">
      <c r="A266" s="5">
        <v>265</v>
      </c>
      <c r="B266" s="5">
        <v>2511172074</v>
      </c>
      <c r="C266" s="5" t="s">
        <v>2891</v>
      </c>
      <c r="D266" s="5" t="s">
        <v>564</v>
      </c>
      <c r="E266" s="5" t="s">
        <v>565</v>
      </c>
      <c r="F266" s="5" t="s">
        <v>71</v>
      </c>
      <c r="G266" s="5" t="s">
        <v>75</v>
      </c>
      <c r="H266" s="5" t="s">
        <v>2866</v>
      </c>
      <c r="I266" s="5">
        <v>202501990</v>
      </c>
      <c r="J266" s="5"/>
      <c r="K266" s="6">
        <v>45978</v>
      </c>
      <c r="L266" s="6">
        <v>45981</v>
      </c>
      <c r="M266" s="42" t="s">
        <v>53</v>
      </c>
      <c r="N266" s="42" t="s">
        <v>54</v>
      </c>
      <c r="O266" s="42" t="s">
        <v>41</v>
      </c>
      <c r="P266" s="30">
        <f t="shared" si="12"/>
        <v>3</v>
      </c>
      <c r="Q266" s="41">
        <v>2452.5862068965516</v>
      </c>
      <c r="R266" s="41">
        <v>6500</v>
      </c>
      <c r="S266" s="41">
        <f t="shared" si="13"/>
        <v>4047.4137931034484</v>
      </c>
    </row>
    <row r="267" spans="1:19">
      <c r="A267" s="5">
        <v>266</v>
      </c>
      <c r="B267" s="5">
        <v>2511172076</v>
      </c>
      <c r="C267" s="5" t="s">
        <v>2892</v>
      </c>
      <c r="D267" s="5" t="s">
        <v>2555</v>
      </c>
      <c r="E267" s="5" t="s">
        <v>2556</v>
      </c>
      <c r="F267" s="5" t="s">
        <v>62</v>
      </c>
      <c r="G267" s="5" t="s">
        <v>43</v>
      </c>
      <c r="H267" s="5" t="s">
        <v>2866</v>
      </c>
      <c r="I267" s="5">
        <v>202501991</v>
      </c>
      <c r="J267" s="5"/>
      <c r="K267" s="6">
        <v>45978</v>
      </c>
      <c r="L267" s="6">
        <v>45981</v>
      </c>
      <c r="M267" s="42" t="s">
        <v>53</v>
      </c>
      <c r="N267" s="42" t="s">
        <v>54</v>
      </c>
      <c r="O267" s="42" t="s">
        <v>41</v>
      </c>
      <c r="P267" s="30">
        <f t="shared" si="12"/>
        <v>3</v>
      </c>
      <c r="Q267" s="41">
        <v>2452.5862068965516</v>
      </c>
      <c r="R267" s="41">
        <v>8000</v>
      </c>
      <c r="S267" s="41">
        <f t="shared" si="13"/>
        <v>5547.4137931034484</v>
      </c>
    </row>
    <row r="268" spans="1:19">
      <c r="A268" s="5">
        <v>267</v>
      </c>
      <c r="B268" s="5">
        <v>2511172077</v>
      </c>
      <c r="C268" s="5" t="s">
        <v>2893</v>
      </c>
      <c r="D268" s="5" t="s">
        <v>2555</v>
      </c>
      <c r="E268" s="5" t="s">
        <v>2556</v>
      </c>
      <c r="F268" s="5" t="s">
        <v>62</v>
      </c>
      <c r="G268" s="5" t="s">
        <v>52</v>
      </c>
      <c r="H268" s="5" t="s">
        <v>2866</v>
      </c>
      <c r="I268" s="5">
        <v>202501992</v>
      </c>
      <c r="J268" s="5"/>
      <c r="K268" s="6">
        <v>45978</v>
      </c>
      <c r="L268" s="6">
        <v>45981</v>
      </c>
      <c r="M268" s="42" t="s">
        <v>53</v>
      </c>
      <c r="N268" s="42" t="s">
        <v>54</v>
      </c>
      <c r="O268" s="42" t="s">
        <v>41</v>
      </c>
      <c r="P268" s="30">
        <f t="shared" si="12"/>
        <v>3</v>
      </c>
      <c r="Q268" s="41">
        <v>2452.5862068965516</v>
      </c>
      <c r="R268" s="41">
        <v>5500</v>
      </c>
      <c r="S268" s="41">
        <f t="shared" si="13"/>
        <v>3047.4137931034484</v>
      </c>
    </row>
    <row r="269" spans="1:19">
      <c r="A269" s="5">
        <v>268</v>
      </c>
      <c r="B269" s="9">
        <v>2511172079</v>
      </c>
      <c r="C269" s="9" t="s">
        <v>2894</v>
      </c>
      <c r="D269" s="9" t="s">
        <v>444</v>
      </c>
      <c r="E269" s="9" t="s">
        <v>1835</v>
      </c>
      <c r="F269" s="9" t="s">
        <v>109</v>
      </c>
      <c r="G269" s="9" t="s">
        <v>52</v>
      </c>
      <c r="H269" s="9" t="s">
        <v>2866</v>
      </c>
      <c r="I269" s="9">
        <v>202501993</v>
      </c>
      <c r="J269" s="9"/>
      <c r="K269" s="10">
        <v>45978</v>
      </c>
      <c r="L269" s="10">
        <v>45981</v>
      </c>
      <c r="M269" s="9" t="s">
        <v>45</v>
      </c>
      <c r="N269" s="9" t="s">
        <v>94</v>
      </c>
      <c r="O269" s="9" t="s">
        <v>2604</v>
      </c>
      <c r="P269" s="32">
        <f t="shared" si="12"/>
        <v>3</v>
      </c>
      <c r="Q269" s="11">
        <v>2452.5862068965516</v>
      </c>
      <c r="R269" s="11">
        <v>5950</v>
      </c>
      <c r="S269" s="11">
        <f t="shared" si="13"/>
        <v>3497.4137931034484</v>
      </c>
    </row>
    <row r="270" spans="1:19">
      <c r="A270" s="5">
        <v>269</v>
      </c>
      <c r="B270" s="5">
        <v>2511172082</v>
      </c>
      <c r="C270" s="5" t="s">
        <v>2895</v>
      </c>
      <c r="D270" s="5" t="s">
        <v>444</v>
      </c>
      <c r="E270" s="5" t="s">
        <v>670</v>
      </c>
      <c r="F270" s="5" t="s">
        <v>109</v>
      </c>
      <c r="G270" s="5" t="s">
        <v>52</v>
      </c>
      <c r="H270" s="5" t="s">
        <v>2866</v>
      </c>
      <c r="I270" s="5">
        <v>202501994</v>
      </c>
      <c r="J270" s="5"/>
      <c r="K270" s="6">
        <v>45978</v>
      </c>
      <c r="L270" s="6">
        <v>45981</v>
      </c>
      <c r="M270" s="42" t="s">
        <v>53</v>
      </c>
      <c r="N270" s="42" t="s">
        <v>54</v>
      </c>
      <c r="O270" s="42" t="s">
        <v>41</v>
      </c>
      <c r="P270" s="30">
        <f t="shared" si="12"/>
        <v>3</v>
      </c>
      <c r="Q270" s="41">
        <v>2452.5862068965516</v>
      </c>
      <c r="R270" s="41">
        <v>5950</v>
      </c>
      <c r="S270" s="41">
        <f t="shared" si="13"/>
        <v>3497.4137931034484</v>
      </c>
    </row>
    <row r="271" spans="1:19">
      <c r="A271" s="5">
        <v>270</v>
      </c>
      <c r="B271" s="5">
        <v>2511172087</v>
      </c>
      <c r="C271" s="5" t="s">
        <v>2896</v>
      </c>
      <c r="D271" s="5" t="s">
        <v>107</v>
      </c>
      <c r="E271" s="5" t="s">
        <v>205</v>
      </c>
      <c r="F271" s="5" t="s">
        <v>109</v>
      </c>
      <c r="G271" s="5" t="s">
        <v>52</v>
      </c>
      <c r="H271" s="5" t="s">
        <v>2866</v>
      </c>
      <c r="I271" s="5">
        <v>202501995</v>
      </c>
      <c r="J271" s="5"/>
      <c r="K271" s="6">
        <v>45978</v>
      </c>
      <c r="L271" s="6">
        <v>45981</v>
      </c>
      <c r="M271" s="42" t="s">
        <v>53</v>
      </c>
      <c r="N271" s="42" t="s">
        <v>54</v>
      </c>
      <c r="O271" s="42" t="s">
        <v>41</v>
      </c>
      <c r="P271" s="30">
        <f t="shared" si="12"/>
        <v>3</v>
      </c>
      <c r="Q271" s="41">
        <v>2452.5862068965516</v>
      </c>
      <c r="R271" s="41">
        <v>5500</v>
      </c>
      <c r="S271" s="41">
        <f t="shared" si="13"/>
        <v>3047.4137931034484</v>
      </c>
    </row>
    <row r="272" spans="1:19">
      <c r="A272" s="5">
        <v>271</v>
      </c>
      <c r="B272" s="13">
        <v>2511182996</v>
      </c>
      <c r="C272" s="13" t="s">
        <v>2897</v>
      </c>
      <c r="D272" s="13" t="s">
        <v>405</v>
      </c>
      <c r="E272" s="13" t="s">
        <v>2070</v>
      </c>
      <c r="F272" s="13" t="s">
        <v>202</v>
      </c>
      <c r="G272" s="13" t="s">
        <v>52</v>
      </c>
      <c r="H272" s="13" t="s">
        <v>2866</v>
      </c>
      <c r="I272" s="13">
        <v>202501997</v>
      </c>
      <c r="J272" s="13"/>
      <c r="K272" s="14">
        <v>45979</v>
      </c>
      <c r="L272" s="14">
        <v>45981</v>
      </c>
      <c r="M272" s="13" t="s">
        <v>45</v>
      </c>
      <c r="N272" s="13" t="s">
        <v>46</v>
      </c>
      <c r="O272" s="13" t="s">
        <v>2726</v>
      </c>
      <c r="P272" s="35">
        <f t="shared" si="12"/>
        <v>2</v>
      </c>
      <c r="Q272" s="15">
        <v>2452.5862068965516</v>
      </c>
      <c r="R272" s="15">
        <v>6450</v>
      </c>
      <c r="S272" s="15">
        <f t="shared" si="13"/>
        <v>3997.4137931034484</v>
      </c>
    </row>
    <row r="273" spans="1:19">
      <c r="A273" s="5">
        <v>272</v>
      </c>
      <c r="B273" s="5" t="s">
        <v>1239</v>
      </c>
      <c r="C273" s="5"/>
      <c r="D273" s="5"/>
      <c r="E273" s="5"/>
      <c r="F273" s="5"/>
      <c r="G273" s="5" t="s">
        <v>52</v>
      </c>
      <c r="H273" s="5"/>
      <c r="I273" s="5"/>
      <c r="J273" s="5"/>
      <c r="K273" s="5"/>
      <c r="L273" s="5"/>
      <c r="M273" s="5"/>
      <c r="N273" s="5"/>
      <c r="O273" s="5"/>
      <c r="P273" s="5"/>
      <c r="Q273" s="8">
        <v>2452.5862068965516</v>
      </c>
      <c r="R273" s="41">
        <v>0</v>
      </c>
      <c r="S273" s="41">
        <f t="shared" si="13"/>
        <v>-2452.5862068965516</v>
      </c>
    </row>
    <row r="274" spans="1:19">
      <c r="A274" s="5">
        <v>273</v>
      </c>
      <c r="B274" s="5" t="s">
        <v>1240</v>
      </c>
      <c r="C274" s="5"/>
      <c r="D274" s="5"/>
      <c r="E274" s="5"/>
      <c r="F274" s="5"/>
      <c r="G274" s="5" t="s">
        <v>52</v>
      </c>
      <c r="H274" s="5"/>
      <c r="I274" s="5"/>
      <c r="J274" s="5"/>
      <c r="K274" s="5"/>
      <c r="L274" s="5"/>
      <c r="M274" s="5"/>
      <c r="N274" s="5"/>
      <c r="O274" s="5"/>
      <c r="P274" s="5"/>
      <c r="Q274" s="8">
        <v>2452.5862068965516</v>
      </c>
      <c r="R274" s="41">
        <v>0</v>
      </c>
      <c r="S274" s="41">
        <f t="shared" si="13"/>
        <v>-2452.5862068965516</v>
      </c>
    </row>
    <row r="275" spans="1:19">
      <c r="A275" s="5">
        <v>274</v>
      </c>
      <c r="B275" s="133">
        <v>2510241955</v>
      </c>
      <c r="C275" s="22" t="s">
        <v>2523</v>
      </c>
      <c r="D275" s="22" t="s">
        <v>139</v>
      </c>
      <c r="E275" s="22" t="s">
        <v>140</v>
      </c>
      <c r="F275" s="22" t="s">
        <v>141</v>
      </c>
      <c r="G275" s="22" t="s">
        <v>52</v>
      </c>
      <c r="H275" s="22" t="s">
        <v>2898</v>
      </c>
      <c r="I275" s="22" t="s">
        <v>2899</v>
      </c>
      <c r="J275" s="22"/>
      <c r="K275" s="23">
        <v>45979</v>
      </c>
      <c r="L275" s="23">
        <v>45985</v>
      </c>
      <c r="M275" s="50" t="s">
        <v>53</v>
      </c>
      <c r="N275" s="50" t="s">
        <v>54</v>
      </c>
      <c r="O275" s="50" t="s">
        <v>41</v>
      </c>
      <c r="P275" s="34">
        <f t="shared" ref="P275:P304" si="14">L275-K275</f>
        <v>6</v>
      </c>
      <c r="Q275" s="24">
        <v>2225</v>
      </c>
      <c r="R275" s="24">
        <v>0</v>
      </c>
      <c r="S275" s="24">
        <f t="shared" si="13"/>
        <v>-2225</v>
      </c>
    </row>
    <row r="276" spans="1:19">
      <c r="A276" s="5">
        <v>275</v>
      </c>
      <c r="B276" s="26">
        <v>2511041246</v>
      </c>
      <c r="C276" s="26" t="s">
        <v>383</v>
      </c>
      <c r="D276" s="26" t="s">
        <v>40</v>
      </c>
      <c r="E276" s="26" t="s">
        <v>41</v>
      </c>
      <c r="F276" s="26" t="s">
        <v>42</v>
      </c>
      <c r="G276" s="26" t="s">
        <v>52</v>
      </c>
      <c r="H276" s="26" t="s">
        <v>2898</v>
      </c>
      <c r="I276" s="26" t="s">
        <v>2900</v>
      </c>
      <c r="J276" s="26"/>
      <c r="K276" s="27">
        <v>45979</v>
      </c>
      <c r="L276" s="27">
        <v>45985</v>
      </c>
      <c r="M276" s="122" t="s">
        <v>45</v>
      </c>
      <c r="N276" s="122" t="s">
        <v>163</v>
      </c>
      <c r="O276" s="122" t="s">
        <v>1523</v>
      </c>
      <c r="P276" s="33">
        <f t="shared" si="14"/>
        <v>6</v>
      </c>
      <c r="Q276" s="28">
        <v>2225</v>
      </c>
      <c r="R276" s="28">
        <v>0</v>
      </c>
      <c r="S276" s="28">
        <f t="shared" si="13"/>
        <v>-2225</v>
      </c>
    </row>
    <row r="277" spans="1:19">
      <c r="A277" s="5">
        <v>276</v>
      </c>
      <c r="B277" s="22">
        <v>2511102249</v>
      </c>
      <c r="C277" s="22" t="s">
        <v>2793</v>
      </c>
      <c r="D277" s="22" t="s">
        <v>564</v>
      </c>
      <c r="E277" s="22" t="s">
        <v>1872</v>
      </c>
      <c r="F277" s="22" t="s">
        <v>71</v>
      </c>
      <c r="G277" s="22" t="s">
        <v>75</v>
      </c>
      <c r="H277" s="22" t="s">
        <v>2898</v>
      </c>
      <c r="I277" s="22" t="s">
        <v>2901</v>
      </c>
      <c r="J277" s="22"/>
      <c r="K277" s="23">
        <v>45978</v>
      </c>
      <c r="L277" s="23">
        <v>45985</v>
      </c>
      <c r="M277" s="50" t="s">
        <v>53</v>
      </c>
      <c r="N277" s="50" t="s">
        <v>54</v>
      </c>
      <c r="O277" s="50" t="s">
        <v>41</v>
      </c>
      <c r="P277" s="34">
        <f t="shared" si="14"/>
        <v>7</v>
      </c>
      <c r="Q277" s="24">
        <v>2225</v>
      </c>
      <c r="R277" s="24">
        <v>0</v>
      </c>
      <c r="S277" s="24">
        <f t="shared" si="13"/>
        <v>-2225</v>
      </c>
    </row>
    <row r="278" spans="1:19">
      <c r="A278" s="5">
        <v>277</v>
      </c>
      <c r="B278" s="22">
        <v>2511113470</v>
      </c>
      <c r="C278" s="22" t="s">
        <v>2812</v>
      </c>
      <c r="D278" s="22" t="s">
        <v>321</v>
      </c>
      <c r="E278" s="22" t="s">
        <v>420</v>
      </c>
      <c r="F278" s="22" t="s">
        <v>202</v>
      </c>
      <c r="G278" s="22" t="s">
        <v>75</v>
      </c>
      <c r="H278" s="22" t="s">
        <v>2898</v>
      </c>
      <c r="I278" s="22" t="s">
        <v>2902</v>
      </c>
      <c r="J278" s="22"/>
      <c r="K278" s="23">
        <v>45980</v>
      </c>
      <c r="L278" s="23">
        <v>45985</v>
      </c>
      <c r="M278" s="50" t="s">
        <v>53</v>
      </c>
      <c r="N278" s="50" t="s">
        <v>54</v>
      </c>
      <c r="O278" s="50" t="s">
        <v>41</v>
      </c>
      <c r="P278" s="34">
        <f t="shared" si="14"/>
        <v>5</v>
      </c>
      <c r="Q278" s="24">
        <v>2225</v>
      </c>
      <c r="R278" s="24">
        <v>0</v>
      </c>
      <c r="S278" s="24">
        <f t="shared" si="13"/>
        <v>-2225</v>
      </c>
    </row>
    <row r="279" spans="1:19">
      <c r="A279" s="5">
        <v>278</v>
      </c>
      <c r="B279" s="22">
        <v>2511161241</v>
      </c>
      <c r="C279" s="22" t="s">
        <v>2883</v>
      </c>
      <c r="D279" s="22" t="s">
        <v>83</v>
      </c>
      <c r="E279" s="22" t="s">
        <v>84</v>
      </c>
      <c r="F279" s="22" t="s">
        <v>62</v>
      </c>
      <c r="G279" s="22" t="s">
        <v>52</v>
      </c>
      <c r="H279" s="22" t="s">
        <v>2898</v>
      </c>
      <c r="I279" s="22" t="s">
        <v>2903</v>
      </c>
      <c r="J279" s="22"/>
      <c r="K279" s="23">
        <v>45978</v>
      </c>
      <c r="L279" s="23">
        <v>45985</v>
      </c>
      <c r="M279" s="50" t="s">
        <v>53</v>
      </c>
      <c r="N279" s="50" t="s">
        <v>54</v>
      </c>
      <c r="O279" s="50" t="s">
        <v>41</v>
      </c>
      <c r="P279" s="34">
        <f t="shared" si="14"/>
        <v>7</v>
      </c>
      <c r="Q279" s="24">
        <v>2225</v>
      </c>
      <c r="R279" s="24">
        <v>0</v>
      </c>
      <c r="S279" s="24">
        <f t="shared" si="13"/>
        <v>-2225</v>
      </c>
    </row>
    <row r="280" spans="1:19">
      <c r="A280" s="5">
        <v>279</v>
      </c>
      <c r="B280" s="13">
        <v>2511172079</v>
      </c>
      <c r="C280" s="13" t="s">
        <v>2894</v>
      </c>
      <c r="D280" s="13" t="s">
        <v>444</v>
      </c>
      <c r="E280" s="13" t="s">
        <v>1835</v>
      </c>
      <c r="F280" s="13" t="s">
        <v>109</v>
      </c>
      <c r="G280" s="13" t="s">
        <v>52</v>
      </c>
      <c r="H280" s="13" t="s">
        <v>2898</v>
      </c>
      <c r="I280" s="13" t="s">
        <v>2904</v>
      </c>
      <c r="J280" s="13"/>
      <c r="K280" s="14">
        <v>45978</v>
      </c>
      <c r="L280" s="14">
        <v>45985</v>
      </c>
      <c r="M280" s="118" t="s">
        <v>45</v>
      </c>
      <c r="N280" s="118" t="s">
        <v>46</v>
      </c>
      <c r="O280" s="118" t="s">
        <v>2604</v>
      </c>
      <c r="P280" s="35">
        <f t="shared" si="14"/>
        <v>7</v>
      </c>
      <c r="Q280" s="15">
        <v>2225</v>
      </c>
      <c r="R280" s="15">
        <v>0</v>
      </c>
      <c r="S280" s="15">
        <f t="shared" si="13"/>
        <v>-2225</v>
      </c>
    </row>
    <row r="281" spans="1:19">
      <c r="A281" s="5">
        <v>280</v>
      </c>
      <c r="B281" s="5">
        <v>2511172089</v>
      </c>
      <c r="C281" s="5" t="s">
        <v>2905</v>
      </c>
      <c r="D281" s="5" t="s">
        <v>83</v>
      </c>
      <c r="E281" s="5" t="s">
        <v>84</v>
      </c>
      <c r="F281" s="5" t="s">
        <v>62</v>
      </c>
      <c r="G281" s="5" t="s">
        <v>43</v>
      </c>
      <c r="H281" s="5" t="s">
        <v>2898</v>
      </c>
      <c r="I281" s="5">
        <v>202501996</v>
      </c>
      <c r="J281" s="5"/>
      <c r="K281" s="6">
        <v>45978</v>
      </c>
      <c r="L281" s="6">
        <v>45985</v>
      </c>
      <c r="M281" s="42" t="s">
        <v>53</v>
      </c>
      <c r="N281" s="42" t="s">
        <v>54</v>
      </c>
      <c r="O281" s="42" t="s">
        <v>41</v>
      </c>
      <c r="P281" s="30">
        <f t="shared" si="14"/>
        <v>7</v>
      </c>
      <c r="Q281" s="41">
        <v>2225</v>
      </c>
      <c r="R281" s="41">
        <v>9000</v>
      </c>
      <c r="S281" s="41">
        <f t="shared" si="13"/>
        <v>6775</v>
      </c>
    </row>
    <row r="282" spans="1:19">
      <c r="A282" s="5">
        <v>281</v>
      </c>
      <c r="B282" s="5">
        <v>2511183006</v>
      </c>
      <c r="C282" s="5" t="s">
        <v>2906</v>
      </c>
      <c r="D282" s="5" t="s">
        <v>631</v>
      </c>
      <c r="E282" s="5" t="s">
        <v>2907</v>
      </c>
      <c r="F282" s="5" t="s">
        <v>87</v>
      </c>
      <c r="G282" s="5" t="s">
        <v>52</v>
      </c>
      <c r="H282" s="5" t="s">
        <v>2898</v>
      </c>
      <c r="I282" s="5">
        <v>202501999</v>
      </c>
      <c r="J282" s="5"/>
      <c r="K282" s="6">
        <v>45979</v>
      </c>
      <c r="L282" s="6">
        <v>45985</v>
      </c>
      <c r="M282" s="42" t="s">
        <v>53</v>
      </c>
      <c r="N282" s="42" t="s">
        <v>54</v>
      </c>
      <c r="O282" s="42" t="s">
        <v>41</v>
      </c>
      <c r="P282" s="30">
        <f t="shared" si="14"/>
        <v>6</v>
      </c>
      <c r="Q282" s="41">
        <v>2225</v>
      </c>
      <c r="R282" s="41">
        <v>8000</v>
      </c>
      <c r="S282" s="41">
        <f t="shared" si="13"/>
        <v>5775</v>
      </c>
    </row>
    <row r="283" spans="1:19">
      <c r="A283" s="5">
        <v>282</v>
      </c>
      <c r="B283" s="5">
        <v>2511183015</v>
      </c>
      <c r="C283" s="5" t="s">
        <v>2908</v>
      </c>
      <c r="D283" s="5" t="s">
        <v>528</v>
      </c>
      <c r="E283" s="5" t="s">
        <v>2161</v>
      </c>
      <c r="F283" s="5" t="s">
        <v>202</v>
      </c>
      <c r="G283" s="5" t="s">
        <v>75</v>
      </c>
      <c r="H283" s="5" t="s">
        <v>2898</v>
      </c>
      <c r="I283" s="5">
        <v>202502000</v>
      </c>
      <c r="J283" s="5"/>
      <c r="K283" s="6">
        <v>45979</v>
      </c>
      <c r="L283" s="6">
        <v>45985</v>
      </c>
      <c r="M283" s="42" t="s">
        <v>53</v>
      </c>
      <c r="N283" s="42" t="s">
        <v>54</v>
      </c>
      <c r="O283" s="42" t="s">
        <v>41</v>
      </c>
      <c r="P283" s="30">
        <f t="shared" si="14"/>
        <v>6</v>
      </c>
      <c r="Q283" s="41">
        <v>2225</v>
      </c>
      <c r="R283" s="41">
        <v>4500</v>
      </c>
      <c r="S283" s="41">
        <f t="shared" si="13"/>
        <v>2275</v>
      </c>
    </row>
    <row r="284" spans="1:19">
      <c r="A284" s="5">
        <v>283</v>
      </c>
      <c r="B284" s="5">
        <v>2511180660</v>
      </c>
      <c r="C284" s="5" t="s">
        <v>2909</v>
      </c>
      <c r="D284" s="5" t="s">
        <v>40</v>
      </c>
      <c r="E284" s="5" t="s">
        <v>41</v>
      </c>
      <c r="F284" s="5" t="s">
        <v>42</v>
      </c>
      <c r="G284" s="5" t="s">
        <v>75</v>
      </c>
      <c r="H284" s="5" t="s">
        <v>2898</v>
      </c>
      <c r="I284" s="5">
        <v>202502001</v>
      </c>
      <c r="J284" s="5"/>
      <c r="K284" s="6">
        <v>45979</v>
      </c>
      <c r="L284" s="6">
        <v>45985</v>
      </c>
      <c r="M284" s="42" t="s">
        <v>53</v>
      </c>
      <c r="N284" s="42" t="s">
        <v>54</v>
      </c>
      <c r="O284" s="42" t="s">
        <v>41</v>
      </c>
      <c r="P284" s="30">
        <f t="shared" si="14"/>
        <v>6</v>
      </c>
      <c r="Q284" s="41">
        <v>2225</v>
      </c>
      <c r="R284" s="41">
        <v>6500</v>
      </c>
      <c r="S284" s="41">
        <f t="shared" si="13"/>
        <v>4275</v>
      </c>
    </row>
    <row r="285" spans="1:19">
      <c r="A285" s="5">
        <v>284</v>
      </c>
      <c r="B285" s="9">
        <v>2511183021</v>
      </c>
      <c r="C285" s="9" t="s">
        <v>2910</v>
      </c>
      <c r="D285" s="9" t="s">
        <v>2430</v>
      </c>
      <c r="E285" s="9" t="s">
        <v>2823</v>
      </c>
      <c r="F285" s="9" t="s">
        <v>66</v>
      </c>
      <c r="G285" s="9" t="s">
        <v>75</v>
      </c>
      <c r="H285" s="9" t="s">
        <v>2898</v>
      </c>
      <c r="I285" s="9">
        <v>202502002</v>
      </c>
      <c r="J285" s="9"/>
      <c r="K285" s="10">
        <v>45979</v>
      </c>
      <c r="L285" s="10">
        <v>45985</v>
      </c>
      <c r="M285" s="54" t="s">
        <v>45</v>
      </c>
      <c r="N285" s="54" t="s">
        <v>94</v>
      </c>
      <c r="O285" s="54" t="s">
        <v>2689</v>
      </c>
      <c r="P285" s="32">
        <f t="shared" si="14"/>
        <v>6</v>
      </c>
      <c r="Q285" s="11">
        <v>2225</v>
      </c>
      <c r="R285" s="11">
        <v>4500</v>
      </c>
      <c r="S285" s="11">
        <f t="shared" si="13"/>
        <v>2275</v>
      </c>
    </row>
    <row r="286" spans="1:19">
      <c r="A286" s="5">
        <v>285</v>
      </c>
      <c r="B286" s="5">
        <v>2511193224</v>
      </c>
      <c r="C286" s="5" t="s">
        <v>2911</v>
      </c>
      <c r="D286" s="5" t="s">
        <v>733</v>
      </c>
      <c r="E286" s="5" t="s">
        <v>2912</v>
      </c>
      <c r="F286" s="5" t="s">
        <v>51</v>
      </c>
      <c r="G286" s="5" t="s">
        <v>52</v>
      </c>
      <c r="H286" s="5" t="s">
        <v>2898</v>
      </c>
      <c r="I286" s="5">
        <v>202502003</v>
      </c>
      <c r="J286" s="5"/>
      <c r="K286" s="6">
        <v>45980</v>
      </c>
      <c r="L286" s="6">
        <v>45985</v>
      </c>
      <c r="M286" s="42" t="s">
        <v>53</v>
      </c>
      <c r="N286" s="42" t="s">
        <v>480</v>
      </c>
      <c r="O286" s="42" t="s">
        <v>446</v>
      </c>
      <c r="P286" s="30">
        <f>L286-K286</f>
        <v>5</v>
      </c>
      <c r="Q286" s="41">
        <v>2225</v>
      </c>
      <c r="R286" s="41">
        <v>5300</v>
      </c>
      <c r="S286" s="41">
        <f t="shared" si="13"/>
        <v>3075</v>
      </c>
    </row>
    <row r="287" spans="1:19">
      <c r="A287" s="5">
        <v>286</v>
      </c>
      <c r="B287" s="13">
        <v>2511193238</v>
      </c>
      <c r="C287" s="13" t="s">
        <v>2913</v>
      </c>
      <c r="D287" s="13" t="s">
        <v>711</v>
      </c>
      <c r="E287" s="13" t="s">
        <v>712</v>
      </c>
      <c r="F287" s="13" t="s">
        <v>71</v>
      </c>
      <c r="G287" s="13" t="s">
        <v>190</v>
      </c>
      <c r="H287" s="13" t="s">
        <v>2898</v>
      </c>
      <c r="I287" s="13">
        <v>202502004</v>
      </c>
      <c r="J287" s="13"/>
      <c r="K287" s="14">
        <v>45980</v>
      </c>
      <c r="L287" s="14">
        <v>45985</v>
      </c>
      <c r="M287" s="118" t="s">
        <v>45</v>
      </c>
      <c r="N287" s="118" t="s">
        <v>46</v>
      </c>
      <c r="O287" s="118" t="s">
        <v>1523</v>
      </c>
      <c r="P287" s="35">
        <f>L287-K287</f>
        <v>5</v>
      </c>
      <c r="Q287" s="15">
        <v>2225</v>
      </c>
      <c r="R287" s="15">
        <v>11500</v>
      </c>
      <c r="S287" s="15">
        <f t="shared" si="13"/>
        <v>9275</v>
      </c>
    </row>
    <row r="288" spans="1:19">
      <c r="A288" s="5">
        <v>287</v>
      </c>
      <c r="B288" s="5">
        <v>2511193243</v>
      </c>
      <c r="C288" s="5" t="s">
        <v>2914</v>
      </c>
      <c r="D288" s="5" t="s">
        <v>1183</v>
      </c>
      <c r="E288" s="5" t="s">
        <v>41</v>
      </c>
      <c r="F288" s="5" t="s">
        <v>141</v>
      </c>
      <c r="G288" s="5" t="s">
        <v>52</v>
      </c>
      <c r="H288" s="5" t="s">
        <v>2898</v>
      </c>
      <c r="I288" s="5">
        <v>202502005</v>
      </c>
      <c r="J288" s="5"/>
      <c r="K288" s="6">
        <v>45980</v>
      </c>
      <c r="L288" s="6">
        <v>45985</v>
      </c>
      <c r="M288" s="42" t="s">
        <v>53</v>
      </c>
      <c r="N288" s="42" t="s">
        <v>54</v>
      </c>
      <c r="O288" s="42" t="s">
        <v>41</v>
      </c>
      <c r="P288" s="30">
        <f>L288-K288</f>
        <v>5</v>
      </c>
      <c r="Q288" s="41">
        <v>2225</v>
      </c>
      <c r="R288" s="41">
        <v>6500</v>
      </c>
      <c r="S288" s="41">
        <f t="shared" si="13"/>
        <v>4275</v>
      </c>
    </row>
    <row r="289" spans="1:19">
      <c r="A289" s="5">
        <v>288</v>
      </c>
      <c r="B289" s="5">
        <v>2511193247</v>
      </c>
      <c r="C289" s="5" t="s">
        <v>2915</v>
      </c>
      <c r="D289" s="5" t="s">
        <v>2853</v>
      </c>
      <c r="E289" s="5" t="s">
        <v>2916</v>
      </c>
      <c r="F289" s="5" t="s">
        <v>71</v>
      </c>
      <c r="G289" s="5" t="s">
        <v>52</v>
      </c>
      <c r="H289" s="5" t="s">
        <v>2898</v>
      </c>
      <c r="I289" s="5">
        <v>202502006</v>
      </c>
      <c r="J289" s="5"/>
      <c r="K289" s="6">
        <v>45980</v>
      </c>
      <c r="L289" s="6">
        <v>45985</v>
      </c>
      <c r="M289" s="42" t="s">
        <v>53</v>
      </c>
      <c r="N289" s="42" t="s">
        <v>54</v>
      </c>
      <c r="O289" s="42" t="s">
        <v>41</v>
      </c>
      <c r="P289" s="30">
        <f>L289-K289</f>
        <v>5</v>
      </c>
      <c r="Q289" s="41">
        <v>2225</v>
      </c>
      <c r="R289" s="41">
        <v>7500</v>
      </c>
      <c r="S289" s="41">
        <f t="shared" si="13"/>
        <v>5275</v>
      </c>
    </row>
    <row r="290" spans="1:19">
      <c r="A290" s="5">
        <v>289</v>
      </c>
      <c r="B290" s="5">
        <v>2511191475</v>
      </c>
      <c r="C290" s="5" t="s">
        <v>2917</v>
      </c>
      <c r="D290" s="5" t="s">
        <v>40</v>
      </c>
      <c r="E290" s="5" t="s">
        <v>41</v>
      </c>
      <c r="F290" s="5" t="s">
        <v>42</v>
      </c>
      <c r="G290" s="5" t="s">
        <v>43</v>
      </c>
      <c r="H290" s="5" t="s">
        <v>2898</v>
      </c>
      <c r="I290" s="5">
        <v>202502007</v>
      </c>
      <c r="J290" s="5"/>
      <c r="K290" s="6">
        <v>45980</v>
      </c>
      <c r="L290" s="6">
        <v>45985</v>
      </c>
      <c r="M290" s="42" t="s">
        <v>53</v>
      </c>
      <c r="N290" s="42" t="s">
        <v>54</v>
      </c>
      <c r="O290" s="42" t="s">
        <v>41</v>
      </c>
      <c r="P290" s="30">
        <f>L290-K290</f>
        <v>5</v>
      </c>
      <c r="Q290" s="41">
        <v>2225</v>
      </c>
      <c r="R290" s="41">
        <v>14500</v>
      </c>
      <c r="S290" s="41">
        <f t="shared" si="13"/>
        <v>12275</v>
      </c>
    </row>
    <row r="291" spans="1:19">
      <c r="A291" s="5">
        <v>290</v>
      </c>
      <c r="B291" s="9">
        <v>2511193252</v>
      </c>
      <c r="C291" s="9" t="s">
        <v>2918</v>
      </c>
      <c r="D291" s="9" t="s">
        <v>564</v>
      </c>
      <c r="E291" s="9" t="s">
        <v>1827</v>
      </c>
      <c r="F291" s="9" t="s">
        <v>71</v>
      </c>
      <c r="G291" s="9" t="s">
        <v>75</v>
      </c>
      <c r="H291" s="9" t="s">
        <v>2898</v>
      </c>
      <c r="I291" s="9">
        <v>202502008</v>
      </c>
      <c r="J291" s="9"/>
      <c r="K291" s="10">
        <v>45980</v>
      </c>
      <c r="L291" s="10">
        <v>45985</v>
      </c>
      <c r="M291" s="54" t="s">
        <v>45</v>
      </c>
      <c r="N291" s="54" t="s">
        <v>94</v>
      </c>
      <c r="O291" s="54" t="s">
        <v>2689</v>
      </c>
      <c r="P291" s="32">
        <f>L291-K291</f>
        <v>5</v>
      </c>
      <c r="Q291" s="11">
        <v>2225</v>
      </c>
      <c r="R291" s="11">
        <v>6500</v>
      </c>
      <c r="S291" s="11">
        <f t="shared" si="13"/>
        <v>4275</v>
      </c>
    </row>
    <row r="292" spans="1:19">
      <c r="A292" s="5">
        <v>291</v>
      </c>
      <c r="B292" s="5">
        <v>2511193255</v>
      </c>
      <c r="C292" s="5" t="s">
        <v>2919</v>
      </c>
      <c r="D292" s="5" t="s">
        <v>564</v>
      </c>
      <c r="E292" s="5" t="s">
        <v>1827</v>
      </c>
      <c r="F292" s="5" t="s">
        <v>71</v>
      </c>
      <c r="G292" s="5" t="s">
        <v>75</v>
      </c>
      <c r="H292" s="5" t="s">
        <v>2898</v>
      </c>
      <c r="I292" s="5">
        <v>202502009</v>
      </c>
      <c r="J292" s="5"/>
      <c r="K292" s="6">
        <v>45980</v>
      </c>
      <c r="L292" s="6">
        <v>45985</v>
      </c>
      <c r="M292" s="42" t="s">
        <v>53</v>
      </c>
      <c r="N292" s="42" t="s">
        <v>54</v>
      </c>
      <c r="O292" s="42" t="s">
        <v>41</v>
      </c>
      <c r="P292" s="30">
        <f>L292-K292</f>
        <v>5</v>
      </c>
      <c r="Q292" s="41">
        <v>2225</v>
      </c>
      <c r="R292" s="41">
        <v>6500</v>
      </c>
      <c r="S292" s="41">
        <f t="shared" si="13"/>
        <v>4275</v>
      </c>
    </row>
    <row r="293" spans="1:19">
      <c r="A293" s="5">
        <v>292</v>
      </c>
      <c r="B293" s="9">
        <v>2511193265</v>
      </c>
      <c r="C293" s="9" t="s">
        <v>2920</v>
      </c>
      <c r="D293" s="9" t="s">
        <v>321</v>
      </c>
      <c r="E293" s="9" t="s">
        <v>2001</v>
      </c>
      <c r="F293" s="9" t="s">
        <v>202</v>
      </c>
      <c r="G293" s="9" t="s">
        <v>75</v>
      </c>
      <c r="H293" s="9" t="s">
        <v>2898</v>
      </c>
      <c r="I293" s="9">
        <v>202502010</v>
      </c>
      <c r="J293" s="9"/>
      <c r="K293" s="10">
        <v>45980</v>
      </c>
      <c r="L293" s="10">
        <v>45985</v>
      </c>
      <c r="M293" s="54" t="s">
        <v>45</v>
      </c>
      <c r="N293" s="54" t="s">
        <v>94</v>
      </c>
      <c r="O293" s="54" t="s">
        <v>2689</v>
      </c>
      <c r="P293" s="32">
        <f>L293-K293</f>
        <v>5</v>
      </c>
      <c r="Q293" s="11">
        <v>2225</v>
      </c>
      <c r="R293" s="11">
        <v>4900</v>
      </c>
      <c r="S293" s="11">
        <f t="shared" si="13"/>
        <v>2675</v>
      </c>
    </row>
    <row r="294" spans="1:19">
      <c r="A294" s="5">
        <v>293</v>
      </c>
      <c r="B294" s="9">
        <v>2511203198</v>
      </c>
      <c r="C294" s="9" t="s">
        <v>2921</v>
      </c>
      <c r="D294" s="9" t="s">
        <v>1692</v>
      </c>
      <c r="E294" s="9" t="s">
        <v>2922</v>
      </c>
      <c r="F294" s="9" t="s">
        <v>457</v>
      </c>
      <c r="G294" s="9" t="s">
        <v>52</v>
      </c>
      <c r="H294" s="9" t="s">
        <v>2898</v>
      </c>
      <c r="I294" s="9">
        <v>202502011</v>
      </c>
      <c r="J294" s="9"/>
      <c r="K294" s="10">
        <v>45981</v>
      </c>
      <c r="L294" s="10">
        <v>45985</v>
      </c>
      <c r="M294" s="54" t="s">
        <v>45</v>
      </c>
      <c r="N294" s="54" t="s">
        <v>94</v>
      </c>
      <c r="O294" s="54" t="s">
        <v>2604</v>
      </c>
      <c r="P294" s="32">
        <f>L294-K294</f>
        <v>4</v>
      </c>
      <c r="Q294" s="11">
        <v>2225</v>
      </c>
      <c r="R294" s="11">
        <v>5200</v>
      </c>
      <c r="S294" s="11">
        <f t="shared" si="13"/>
        <v>2975</v>
      </c>
    </row>
    <row r="295" spans="1:19">
      <c r="A295" s="5">
        <v>294</v>
      </c>
      <c r="B295" s="5">
        <v>2511203199</v>
      </c>
      <c r="C295" s="5" t="s">
        <v>2923</v>
      </c>
      <c r="D295" s="5" t="s">
        <v>64</v>
      </c>
      <c r="E295" s="5" t="s">
        <v>1498</v>
      </c>
      <c r="F295" s="5" t="s">
        <v>66</v>
      </c>
      <c r="G295" s="5" t="s">
        <v>52</v>
      </c>
      <c r="H295" s="5" t="s">
        <v>2898</v>
      </c>
      <c r="I295" s="5">
        <v>202502012</v>
      </c>
      <c r="J295" s="5"/>
      <c r="K295" s="6">
        <v>45981</v>
      </c>
      <c r="L295" s="6">
        <v>45985</v>
      </c>
      <c r="M295" s="42" t="s">
        <v>53</v>
      </c>
      <c r="N295" s="42" t="s">
        <v>54</v>
      </c>
      <c r="O295" s="42" t="s">
        <v>41</v>
      </c>
      <c r="P295" s="30">
        <f t="shared" si="14"/>
        <v>4</v>
      </c>
      <c r="Q295" s="41">
        <v>2225</v>
      </c>
      <c r="R295" s="41">
        <v>5500</v>
      </c>
      <c r="S295" s="41">
        <f t="shared" si="13"/>
        <v>3275</v>
      </c>
    </row>
    <row r="296" spans="1:19">
      <c r="A296" s="5">
        <v>295</v>
      </c>
      <c r="B296" s="5">
        <v>2511203201</v>
      </c>
      <c r="C296" s="5" t="s">
        <v>2924</v>
      </c>
      <c r="D296" s="5" t="s">
        <v>733</v>
      </c>
      <c r="E296" s="5" t="s">
        <v>2925</v>
      </c>
      <c r="F296" s="5" t="s">
        <v>51</v>
      </c>
      <c r="G296" s="5" t="s">
        <v>75</v>
      </c>
      <c r="H296" s="5" t="s">
        <v>2898</v>
      </c>
      <c r="I296" s="5">
        <v>202502013</v>
      </c>
      <c r="J296" s="5"/>
      <c r="K296" s="6">
        <v>45981</v>
      </c>
      <c r="L296" s="6">
        <v>45985</v>
      </c>
      <c r="M296" s="42" t="s">
        <v>53</v>
      </c>
      <c r="N296" s="42" t="s">
        <v>54</v>
      </c>
      <c r="O296" s="42" t="s">
        <v>41</v>
      </c>
      <c r="P296" s="30">
        <f t="shared" si="14"/>
        <v>4</v>
      </c>
      <c r="Q296" s="41">
        <v>2225</v>
      </c>
      <c r="R296" s="41">
        <v>2600</v>
      </c>
      <c r="S296" s="41">
        <f t="shared" si="13"/>
        <v>375</v>
      </c>
    </row>
    <row r="297" spans="1:19">
      <c r="A297" s="5">
        <v>296</v>
      </c>
      <c r="B297" s="5">
        <v>2511203202</v>
      </c>
      <c r="C297" s="5" t="s">
        <v>2926</v>
      </c>
      <c r="D297" s="5" t="s">
        <v>564</v>
      </c>
      <c r="E297" s="5" t="s">
        <v>1827</v>
      </c>
      <c r="F297" s="5" t="s">
        <v>71</v>
      </c>
      <c r="G297" s="5" t="s">
        <v>75</v>
      </c>
      <c r="H297" s="5" t="s">
        <v>2898</v>
      </c>
      <c r="I297" s="5">
        <v>202502014</v>
      </c>
      <c r="J297" s="5"/>
      <c r="K297" s="6">
        <v>45981</v>
      </c>
      <c r="L297" s="6">
        <v>45985</v>
      </c>
      <c r="M297" s="42" t="s">
        <v>53</v>
      </c>
      <c r="N297" s="42" t="s">
        <v>54</v>
      </c>
      <c r="O297" s="42" t="s">
        <v>41</v>
      </c>
      <c r="P297" s="30">
        <f t="shared" si="14"/>
        <v>4</v>
      </c>
      <c r="Q297" s="41">
        <v>2225</v>
      </c>
      <c r="R297" s="41">
        <v>6500</v>
      </c>
      <c r="S297" s="41">
        <f t="shared" si="13"/>
        <v>4275</v>
      </c>
    </row>
    <row r="298" spans="1:19">
      <c r="A298" s="5">
        <v>297</v>
      </c>
      <c r="B298" s="5">
        <v>2511203203</v>
      </c>
      <c r="C298" s="5" t="s">
        <v>2927</v>
      </c>
      <c r="D298" s="5" t="s">
        <v>881</v>
      </c>
      <c r="E298" s="5" t="s">
        <v>882</v>
      </c>
      <c r="F298" s="5" t="s">
        <v>457</v>
      </c>
      <c r="G298" s="5" t="s">
        <v>75</v>
      </c>
      <c r="H298" s="5" t="s">
        <v>2898</v>
      </c>
      <c r="I298" s="5">
        <v>202502015</v>
      </c>
      <c r="J298" s="5"/>
      <c r="K298" s="6">
        <v>45981</v>
      </c>
      <c r="L298" s="6">
        <v>45985</v>
      </c>
      <c r="M298" s="42" t="s">
        <v>53</v>
      </c>
      <c r="N298" s="42" t="s">
        <v>54</v>
      </c>
      <c r="O298" s="42" t="s">
        <v>41</v>
      </c>
      <c r="P298" s="30">
        <f t="shared" si="14"/>
        <v>4</v>
      </c>
      <c r="Q298" s="41">
        <v>2225</v>
      </c>
      <c r="R298" s="41">
        <v>4500</v>
      </c>
      <c r="S298" s="41">
        <f t="shared" si="13"/>
        <v>2275</v>
      </c>
    </row>
    <row r="299" spans="1:19">
      <c r="A299" s="5">
        <v>298</v>
      </c>
      <c r="B299" s="5">
        <v>2511203206</v>
      </c>
      <c r="C299" s="5" t="s">
        <v>2928</v>
      </c>
      <c r="D299" s="5" t="s">
        <v>528</v>
      </c>
      <c r="E299" s="5" t="s">
        <v>2161</v>
      </c>
      <c r="F299" s="5" t="s">
        <v>202</v>
      </c>
      <c r="G299" s="5" t="s">
        <v>75</v>
      </c>
      <c r="H299" s="5" t="s">
        <v>2898</v>
      </c>
      <c r="I299" s="5">
        <v>202502016</v>
      </c>
      <c r="J299" s="5"/>
      <c r="K299" s="6">
        <v>45981</v>
      </c>
      <c r="L299" s="6">
        <v>45985</v>
      </c>
      <c r="M299" s="42" t="s">
        <v>53</v>
      </c>
      <c r="N299" s="42" t="s">
        <v>54</v>
      </c>
      <c r="O299" s="42" t="s">
        <v>41</v>
      </c>
      <c r="P299" s="30">
        <f t="shared" si="14"/>
        <v>4</v>
      </c>
      <c r="Q299" s="41">
        <v>2225</v>
      </c>
      <c r="R299" s="41">
        <v>4500</v>
      </c>
      <c r="S299" s="41">
        <f t="shared" si="13"/>
        <v>2275</v>
      </c>
    </row>
    <row r="300" spans="1:19">
      <c r="A300" s="5">
        <v>299</v>
      </c>
      <c r="B300" s="5">
        <v>2511203209</v>
      </c>
      <c r="C300" s="5" t="s">
        <v>2929</v>
      </c>
      <c r="D300" s="5" t="s">
        <v>334</v>
      </c>
      <c r="E300" s="5" t="s">
        <v>335</v>
      </c>
      <c r="F300" s="5" t="s">
        <v>71</v>
      </c>
      <c r="G300" s="5" t="s">
        <v>52</v>
      </c>
      <c r="H300" s="5" t="s">
        <v>2898</v>
      </c>
      <c r="I300" s="5">
        <v>202502017</v>
      </c>
      <c r="J300" s="5"/>
      <c r="K300" s="6">
        <v>45981</v>
      </c>
      <c r="L300" s="6">
        <v>45985</v>
      </c>
      <c r="M300" s="42" t="s">
        <v>53</v>
      </c>
      <c r="N300" s="42" t="s">
        <v>54</v>
      </c>
      <c r="O300" s="42" t="s">
        <v>41</v>
      </c>
      <c r="P300" s="30">
        <f t="shared" si="14"/>
        <v>4</v>
      </c>
      <c r="Q300" s="41">
        <v>2225</v>
      </c>
      <c r="R300" s="41">
        <v>5950</v>
      </c>
      <c r="S300" s="41">
        <f t="shared" si="13"/>
        <v>3725</v>
      </c>
    </row>
    <row r="301" spans="1:19">
      <c r="A301" s="5">
        <v>300</v>
      </c>
      <c r="B301" s="5">
        <v>2511201230</v>
      </c>
      <c r="C301" s="5" t="s">
        <v>2930</v>
      </c>
      <c r="D301" s="5" t="s">
        <v>40</v>
      </c>
      <c r="E301" s="5" t="s">
        <v>41</v>
      </c>
      <c r="F301" s="5" t="s">
        <v>42</v>
      </c>
      <c r="G301" s="5" t="s">
        <v>43</v>
      </c>
      <c r="H301" s="5" t="s">
        <v>2898</v>
      </c>
      <c r="I301" s="5">
        <v>202502018</v>
      </c>
      <c r="J301" s="5"/>
      <c r="K301" s="6">
        <v>45981</v>
      </c>
      <c r="L301" s="6">
        <v>45985</v>
      </c>
      <c r="M301" s="42" t="s">
        <v>53</v>
      </c>
      <c r="N301" s="42" t="s">
        <v>54</v>
      </c>
      <c r="O301" s="42" t="s">
        <v>41</v>
      </c>
      <c r="P301" s="30">
        <f t="shared" si="14"/>
        <v>4</v>
      </c>
      <c r="Q301" s="41">
        <v>2225</v>
      </c>
      <c r="R301" s="41">
        <v>14500</v>
      </c>
      <c r="S301" s="41">
        <f t="shared" si="13"/>
        <v>12275</v>
      </c>
    </row>
    <row r="302" spans="1:19">
      <c r="A302" s="5">
        <v>301</v>
      </c>
      <c r="B302" s="5">
        <v>2511203212</v>
      </c>
      <c r="C302" s="5" t="s">
        <v>2931</v>
      </c>
      <c r="D302" s="5" t="s">
        <v>564</v>
      </c>
      <c r="E302" s="5" t="s">
        <v>771</v>
      </c>
      <c r="F302" s="5" t="s">
        <v>71</v>
      </c>
      <c r="G302" s="5" t="s">
        <v>75</v>
      </c>
      <c r="H302" s="5" t="s">
        <v>2898</v>
      </c>
      <c r="I302" s="5">
        <v>202502019</v>
      </c>
      <c r="J302" s="5"/>
      <c r="K302" s="6">
        <v>45981</v>
      </c>
      <c r="L302" s="6">
        <v>45985</v>
      </c>
      <c r="M302" s="42" t="s">
        <v>53</v>
      </c>
      <c r="N302" s="42" t="s">
        <v>54</v>
      </c>
      <c r="O302" s="42" t="s">
        <v>41</v>
      </c>
      <c r="P302" s="30">
        <f t="shared" si="14"/>
        <v>4</v>
      </c>
      <c r="Q302" s="41">
        <v>2225</v>
      </c>
      <c r="R302" s="41">
        <v>6500</v>
      </c>
      <c r="S302" s="41">
        <f t="shared" si="13"/>
        <v>4275</v>
      </c>
    </row>
    <row r="303" spans="1:19">
      <c r="A303" s="5">
        <v>302</v>
      </c>
      <c r="B303" s="5">
        <v>2511203215</v>
      </c>
      <c r="C303" s="5" t="s">
        <v>2932</v>
      </c>
      <c r="D303" s="5" t="s">
        <v>1438</v>
      </c>
      <c r="E303" s="5" t="s">
        <v>2881</v>
      </c>
      <c r="F303" s="5" t="s">
        <v>202</v>
      </c>
      <c r="G303" s="5" t="s">
        <v>43</v>
      </c>
      <c r="H303" s="5" t="s">
        <v>2898</v>
      </c>
      <c r="I303" s="5">
        <v>202502020</v>
      </c>
      <c r="J303" s="5"/>
      <c r="K303" s="6">
        <v>45981</v>
      </c>
      <c r="L303" s="6">
        <v>45985</v>
      </c>
      <c r="M303" s="42" t="s">
        <v>53</v>
      </c>
      <c r="N303" s="42" t="s">
        <v>54</v>
      </c>
      <c r="O303" s="42" t="s">
        <v>41</v>
      </c>
      <c r="P303" s="30">
        <f t="shared" si="14"/>
        <v>4</v>
      </c>
      <c r="Q303" s="41">
        <v>2225</v>
      </c>
      <c r="R303" s="41">
        <v>13000</v>
      </c>
      <c r="S303" s="41">
        <f t="shared" si="13"/>
        <v>10775</v>
      </c>
    </row>
    <row r="304" spans="1:19">
      <c r="A304" s="5">
        <v>303</v>
      </c>
      <c r="B304" s="5">
        <v>2511203221</v>
      </c>
      <c r="C304" s="5" t="s">
        <v>2933</v>
      </c>
      <c r="D304" s="5" t="s">
        <v>444</v>
      </c>
      <c r="E304" s="5" t="s">
        <v>670</v>
      </c>
      <c r="F304" s="5" t="s">
        <v>109</v>
      </c>
      <c r="G304" s="5" t="s">
        <v>52</v>
      </c>
      <c r="H304" s="5" t="s">
        <v>2898</v>
      </c>
      <c r="I304" s="5">
        <v>202502021</v>
      </c>
      <c r="J304" s="5"/>
      <c r="K304" s="6">
        <v>45981</v>
      </c>
      <c r="L304" s="6">
        <v>45985</v>
      </c>
      <c r="M304" s="42" t="s">
        <v>53</v>
      </c>
      <c r="N304" s="42" t="s">
        <v>54</v>
      </c>
      <c r="O304" s="42" t="s">
        <v>41</v>
      </c>
      <c r="P304" s="30">
        <f t="shared" si="14"/>
        <v>4</v>
      </c>
      <c r="Q304" s="41">
        <v>2225</v>
      </c>
      <c r="R304" s="41">
        <v>5950</v>
      </c>
      <c r="S304" s="41">
        <f t="shared" si="13"/>
        <v>3725</v>
      </c>
    </row>
    <row r="305" spans="1:19">
      <c r="A305" s="5">
        <v>304</v>
      </c>
      <c r="B305" s="5" t="s">
        <v>1239</v>
      </c>
      <c r="C305" s="5"/>
      <c r="D305" s="5"/>
      <c r="E305" s="5"/>
      <c r="F305" s="5"/>
      <c r="G305" s="5" t="s">
        <v>52</v>
      </c>
      <c r="H305" s="5"/>
      <c r="I305" s="5"/>
      <c r="J305" s="5"/>
      <c r="K305" s="5"/>
      <c r="L305" s="5"/>
      <c r="M305" s="5"/>
      <c r="N305" s="5"/>
      <c r="O305" s="5"/>
      <c r="P305" s="5"/>
      <c r="Q305" s="8">
        <v>2225</v>
      </c>
      <c r="R305" s="41">
        <v>0</v>
      </c>
      <c r="S305" s="41">
        <f t="shared" si="13"/>
        <v>-2225</v>
      </c>
    </row>
    <row r="306" spans="1:19">
      <c r="A306" s="5">
        <v>305</v>
      </c>
      <c r="B306" s="5" t="s">
        <v>1240</v>
      </c>
      <c r="C306" s="5"/>
      <c r="D306" s="5"/>
      <c r="E306" s="5"/>
      <c r="F306" s="5"/>
      <c r="G306" s="5" t="s">
        <v>52</v>
      </c>
      <c r="H306" s="5"/>
      <c r="I306" s="5"/>
      <c r="J306" s="5"/>
      <c r="K306" s="5"/>
      <c r="L306" s="5"/>
      <c r="M306" s="5"/>
      <c r="N306" s="5"/>
      <c r="O306" s="5"/>
      <c r="P306" s="5"/>
      <c r="Q306" s="8">
        <v>2225</v>
      </c>
      <c r="R306" s="41">
        <v>0</v>
      </c>
      <c r="S306" s="41">
        <f t="shared" si="13"/>
        <v>-2225</v>
      </c>
    </row>
    <row r="307" spans="1:19">
      <c r="A307" s="5">
        <v>306</v>
      </c>
      <c r="B307" s="22">
        <v>2511063068</v>
      </c>
      <c r="C307" s="22" t="s">
        <v>2739</v>
      </c>
      <c r="D307" s="22" t="s">
        <v>49</v>
      </c>
      <c r="E307" s="22" t="s">
        <v>2125</v>
      </c>
      <c r="F307" s="22" t="s">
        <v>51</v>
      </c>
      <c r="G307" s="22" t="s">
        <v>75</v>
      </c>
      <c r="H307" s="22" t="s">
        <v>2934</v>
      </c>
      <c r="I307" s="22" t="s">
        <v>2935</v>
      </c>
      <c r="J307" s="22"/>
      <c r="K307" s="23">
        <v>45983</v>
      </c>
      <c r="L307" s="23">
        <v>45987</v>
      </c>
      <c r="M307" s="50" t="s">
        <v>53</v>
      </c>
      <c r="N307" s="50" t="s">
        <v>54</v>
      </c>
      <c r="O307" s="50" t="s">
        <v>41</v>
      </c>
      <c r="P307" s="34">
        <f t="shared" ref="P307:P338" si="15">L307-K307</f>
        <v>4</v>
      </c>
      <c r="Q307" s="24">
        <v>2095.5882352941176</v>
      </c>
      <c r="R307" s="24">
        <v>0</v>
      </c>
      <c r="S307" s="24">
        <f t="shared" si="13"/>
        <v>-2095.5882352941176</v>
      </c>
    </row>
    <row r="308" spans="1:19">
      <c r="A308" s="5">
        <v>307</v>
      </c>
      <c r="B308" s="26">
        <v>2511070459</v>
      </c>
      <c r="C308" s="26" t="s">
        <v>2750</v>
      </c>
      <c r="D308" s="26" t="s">
        <v>40</v>
      </c>
      <c r="E308" s="26" t="s">
        <v>41</v>
      </c>
      <c r="F308" s="26" t="s">
        <v>42</v>
      </c>
      <c r="G308" s="26" t="s">
        <v>75</v>
      </c>
      <c r="H308" s="26" t="s">
        <v>2934</v>
      </c>
      <c r="I308" s="26" t="s">
        <v>2936</v>
      </c>
      <c r="J308" s="26"/>
      <c r="K308" s="27">
        <v>45983</v>
      </c>
      <c r="L308" s="27">
        <v>45987</v>
      </c>
      <c r="M308" s="122" t="s">
        <v>45</v>
      </c>
      <c r="N308" s="122" t="s">
        <v>163</v>
      </c>
      <c r="O308" s="122" t="s">
        <v>1523</v>
      </c>
      <c r="P308" s="33">
        <f t="shared" si="15"/>
        <v>4</v>
      </c>
      <c r="Q308" s="28">
        <v>2095.5882352941176</v>
      </c>
      <c r="R308" s="28">
        <v>0</v>
      </c>
      <c r="S308" s="28">
        <f t="shared" si="13"/>
        <v>-2095.5882352941176</v>
      </c>
    </row>
    <row r="309" spans="1:19">
      <c r="A309" s="5">
        <v>308</v>
      </c>
      <c r="B309" s="9">
        <v>2511123628</v>
      </c>
      <c r="C309" s="9" t="s">
        <v>2818</v>
      </c>
      <c r="D309" s="9" t="s">
        <v>405</v>
      </c>
      <c r="E309" s="9" t="s">
        <v>2819</v>
      </c>
      <c r="F309" s="9" t="s">
        <v>202</v>
      </c>
      <c r="G309" s="9" t="s">
        <v>52</v>
      </c>
      <c r="H309" s="9" t="s">
        <v>2934</v>
      </c>
      <c r="I309" s="9" t="s">
        <v>2937</v>
      </c>
      <c r="J309" s="9"/>
      <c r="K309" s="10">
        <v>45983</v>
      </c>
      <c r="L309" s="10">
        <v>45987</v>
      </c>
      <c r="M309" s="54" t="s">
        <v>45</v>
      </c>
      <c r="N309" s="54" t="s">
        <v>94</v>
      </c>
      <c r="O309" s="54" t="s">
        <v>2604</v>
      </c>
      <c r="P309" s="32">
        <f t="shared" si="15"/>
        <v>4</v>
      </c>
      <c r="Q309" s="11">
        <v>2095.5882352941176</v>
      </c>
      <c r="R309" s="11">
        <v>0</v>
      </c>
      <c r="S309" s="11">
        <f t="shared" si="13"/>
        <v>-2095.5882352941176</v>
      </c>
    </row>
    <row r="310" spans="1:19">
      <c r="A310" s="5">
        <v>309</v>
      </c>
      <c r="B310" s="9">
        <v>2511183021</v>
      </c>
      <c r="C310" s="9" t="s">
        <v>2910</v>
      </c>
      <c r="D310" s="9" t="s">
        <v>2430</v>
      </c>
      <c r="E310" s="9" t="s">
        <v>2823</v>
      </c>
      <c r="F310" s="9" t="s">
        <v>66</v>
      </c>
      <c r="G310" s="9" t="s">
        <v>75</v>
      </c>
      <c r="H310" s="9" t="s">
        <v>2934</v>
      </c>
      <c r="I310" s="9" t="s">
        <v>2938</v>
      </c>
      <c r="J310" s="9"/>
      <c r="K310" s="10">
        <v>45979</v>
      </c>
      <c r="L310" s="10">
        <v>45987</v>
      </c>
      <c r="M310" s="54" t="s">
        <v>45</v>
      </c>
      <c r="N310" s="54" t="s">
        <v>94</v>
      </c>
      <c r="O310" s="54" t="s">
        <v>2689</v>
      </c>
      <c r="P310" s="32">
        <f t="shared" si="15"/>
        <v>8</v>
      </c>
      <c r="Q310" s="11">
        <v>2095.5882352941176</v>
      </c>
      <c r="R310" s="11">
        <v>0</v>
      </c>
      <c r="S310" s="11">
        <f t="shared" si="13"/>
        <v>-2095.5882352941176</v>
      </c>
    </row>
    <row r="311" spans="1:19">
      <c r="A311" s="5">
        <v>310</v>
      </c>
      <c r="B311" s="22">
        <v>2511193252</v>
      </c>
      <c r="C311" s="22" t="s">
        <v>2918</v>
      </c>
      <c r="D311" s="22" t="s">
        <v>564</v>
      </c>
      <c r="E311" s="22" t="s">
        <v>1827</v>
      </c>
      <c r="F311" s="22" t="s">
        <v>71</v>
      </c>
      <c r="G311" s="22" t="s">
        <v>75</v>
      </c>
      <c r="H311" s="22" t="s">
        <v>2934</v>
      </c>
      <c r="I311" s="22" t="s">
        <v>2939</v>
      </c>
      <c r="J311" s="22"/>
      <c r="K311" s="23">
        <v>45980</v>
      </c>
      <c r="L311" s="23">
        <v>45987</v>
      </c>
      <c r="M311" s="50" t="s">
        <v>53</v>
      </c>
      <c r="N311" s="50" t="s">
        <v>54</v>
      </c>
      <c r="O311" s="50" t="s">
        <v>41</v>
      </c>
      <c r="P311" s="34">
        <f t="shared" si="15"/>
        <v>7</v>
      </c>
      <c r="Q311" s="24">
        <v>2095.5882352941176</v>
      </c>
      <c r="R311" s="24">
        <v>0</v>
      </c>
      <c r="S311" s="24">
        <f t="shared" si="13"/>
        <v>-2095.5882352941176</v>
      </c>
    </row>
    <row r="312" spans="1:19">
      <c r="A312" s="5">
        <v>311</v>
      </c>
      <c r="B312" s="13">
        <v>2511193265</v>
      </c>
      <c r="C312" s="13" t="s">
        <v>2920</v>
      </c>
      <c r="D312" s="13" t="s">
        <v>321</v>
      </c>
      <c r="E312" s="13" t="s">
        <v>2001</v>
      </c>
      <c r="F312" s="13" t="s">
        <v>202</v>
      </c>
      <c r="G312" s="13" t="s">
        <v>75</v>
      </c>
      <c r="H312" s="13" t="s">
        <v>2934</v>
      </c>
      <c r="I312" s="13" t="s">
        <v>2940</v>
      </c>
      <c r="J312" s="13"/>
      <c r="K312" s="14">
        <v>45980</v>
      </c>
      <c r="L312" s="14">
        <v>45987</v>
      </c>
      <c r="M312" s="118" t="s">
        <v>45</v>
      </c>
      <c r="N312" s="118" t="s">
        <v>46</v>
      </c>
      <c r="O312" s="118" t="s">
        <v>2689</v>
      </c>
      <c r="P312" s="35">
        <f t="shared" si="15"/>
        <v>7</v>
      </c>
      <c r="Q312" s="15">
        <v>2095.5882352941176</v>
      </c>
      <c r="R312" s="15">
        <v>0</v>
      </c>
      <c r="S312" s="15">
        <f t="shared" si="13"/>
        <v>-2095.5882352941176</v>
      </c>
    </row>
    <row r="313" spans="1:19">
      <c r="A313" s="5">
        <v>312</v>
      </c>
      <c r="B313" s="22">
        <v>2511203198</v>
      </c>
      <c r="C313" s="22" t="s">
        <v>2921</v>
      </c>
      <c r="D313" s="22" t="s">
        <v>1692</v>
      </c>
      <c r="E313" s="22" t="s">
        <v>2922</v>
      </c>
      <c r="F313" s="22" t="s">
        <v>457</v>
      </c>
      <c r="G313" s="22" t="s">
        <v>52</v>
      </c>
      <c r="H313" s="22" t="s">
        <v>2934</v>
      </c>
      <c r="I313" s="22" t="s">
        <v>2941</v>
      </c>
      <c r="J313" s="22"/>
      <c r="K313" s="23">
        <v>45981</v>
      </c>
      <c r="L313" s="23">
        <v>45987</v>
      </c>
      <c r="M313" s="50" t="s">
        <v>53</v>
      </c>
      <c r="N313" s="50" t="s">
        <v>54</v>
      </c>
      <c r="O313" s="50" t="s">
        <v>41</v>
      </c>
      <c r="P313" s="34">
        <f t="shared" si="15"/>
        <v>6</v>
      </c>
      <c r="Q313" s="24">
        <v>2095.5882352941176</v>
      </c>
      <c r="R313" s="24">
        <v>0</v>
      </c>
      <c r="S313" s="24">
        <f t="shared" si="13"/>
        <v>-2095.5882352941176</v>
      </c>
    </row>
    <row r="314" spans="1:19">
      <c r="A314" s="5">
        <v>313</v>
      </c>
      <c r="B314" s="9">
        <v>2511203218</v>
      </c>
      <c r="C314" s="9" t="s">
        <v>2942</v>
      </c>
      <c r="D314" s="9" t="s">
        <v>83</v>
      </c>
      <c r="E314" s="9" t="s">
        <v>84</v>
      </c>
      <c r="F314" s="9" t="s">
        <v>62</v>
      </c>
      <c r="G314" s="9" t="s">
        <v>43</v>
      </c>
      <c r="H314" s="9" t="s">
        <v>2934</v>
      </c>
      <c r="I314" s="9">
        <v>202502022</v>
      </c>
      <c r="J314" s="9"/>
      <c r="K314" s="10">
        <v>45981</v>
      </c>
      <c r="L314" s="10">
        <v>45987</v>
      </c>
      <c r="M314" s="54" t="s">
        <v>45</v>
      </c>
      <c r="N314" s="54" t="s">
        <v>94</v>
      </c>
      <c r="O314" s="54" t="s">
        <v>2736</v>
      </c>
      <c r="P314" s="32">
        <f t="shared" si="15"/>
        <v>6</v>
      </c>
      <c r="Q314" s="11">
        <v>2095.5882352941176</v>
      </c>
      <c r="R314" s="11">
        <v>9000</v>
      </c>
      <c r="S314" s="11">
        <f t="shared" si="13"/>
        <v>6904.4117647058829</v>
      </c>
    </row>
    <row r="315" spans="1:19">
      <c r="A315" s="5">
        <v>314</v>
      </c>
      <c r="B315" s="5">
        <v>2511203225</v>
      </c>
      <c r="C315" s="5" t="s">
        <v>2943</v>
      </c>
      <c r="D315" s="5" t="s">
        <v>1638</v>
      </c>
      <c r="E315" s="5" t="s">
        <v>2033</v>
      </c>
      <c r="F315" s="5" t="s">
        <v>202</v>
      </c>
      <c r="G315" s="5" t="s">
        <v>52</v>
      </c>
      <c r="H315" s="5" t="s">
        <v>2934</v>
      </c>
      <c r="I315" s="5">
        <v>202502023</v>
      </c>
      <c r="J315" s="5"/>
      <c r="K315" s="6">
        <v>45981</v>
      </c>
      <c r="L315" s="6">
        <v>45987</v>
      </c>
      <c r="M315" s="42" t="s">
        <v>53</v>
      </c>
      <c r="N315" s="42" t="s">
        <v>54</v>
      </c>
      <c r="O315" s="42" t="s">
        <v>41</v>
      </c>
      <c r="P315" s="30">
        <f t="shared" si="15"/>
        <v>6</v>
      </c>
      <c r="Q315" s="41">
        <v>2095.5882352941176</v>
      </c>
      <c r="R315" s="41">
        <v>8000</v>
      </c>
      <c r="S315" s="41">
        <f t="shared" si="13"/>
        <v>5904.4117647058829</v>
      </c>
    </row>
    <row r="316" spans="1:19">
      <c r="A316" s="5">
        <v>315</v>
      </c>
      <c r="B316" s="5">
        <v>2511213125</v>
      </c>
      <c r="C316" s="5" t="s">
        <v>2944</v>
      </c>
      <c r="D316" s="5" t="s">
        <v>64</v>
      </c>
      <c r="E316" s="5" t="s">
        <v>65</v>
      </c>
      <c r="F316" s="5" t="s">
        <v>66</v>
      </c>
      <c r="G316" s="5" t="s">
        <v>52</v>
      </c>
      <c r="H316" s="5" t="s">
        <v>2934</v>
      </c>
      <c r="I316" s="5">
        <v>202502024</v>
      </c>
      <c r="J316" s="5"/>
      <c r="K316" s="6">
        <v>45982</v>
      </c>
      <c r="L316" s="6">
        <v>45987</v>
      </c>
      <c r="M316" s="42" t="s">
        <v>53</v>
      </c>
      <c r="N316" s="42" t="s">
        <v>54</v>
      </c>
      <c r="O316" s="42" t="s">
        <v>41</v>
      </c>
      <c r="P316" s="30">
        <f t="shared" si="15"/>
        <v>5</v>
      </c>
      <c r="Q316" s="41">
        <v>2095.5882352941176</v>
      </c>
      <c r="R316" s="41">
        <v>5500</v>
      </c>
      <c r="S316" s="41">
        <f t="shared" si="13"/>
        <v>3404.4117647058824</v>
      </c>
    </row>
    <row r="317" spans="1:19">
      <c r="A317" s="5">
        <v>316</v>
      </c>
      <c r="B317" s="5">
        <v>2511213126</v>
      </c>
      <c r="C317" s="5" t="s">
        <v>2945</v>
      </c>
      <c r="D317" s="5" t="s">
        <v>881</v>
      </c>
      <c r="E317" s="5" t="s">
        <v>882</v>
      </c>
      <c r="F317" s="5" t="s">
        <v>457</v>
      </c>
      <c r="G317" s="5" t="s">
        <v>75</v>
      </c>
      <c r="H317" s="5" t="s">
        <v>2934</v>
      </c>
      <c r="I317" s="5">
        <v>202502025</v>
      </c>
      <c r="J317" s="5"/>
      <c r="K317" s="6">
        <v>45982</v>
      </c>
      <c r="L317" s="6">
        <v>45987</v>
      </c>
      <c r="M317" s="42" t="s">
        <v>53</v>
      </c>
      <c r="N317" s="42" t="s">
        <v>54</v>
      </c>
      <c r="O317" s="42" t="s">
        <v>41</v>
      </c>
      <c r="P317" s="30">
        <f t="shared" si="15"/>
        <v>5</v>
      </c>
      <c r="Q317" s="41">
        <v>2095.5882352941176</v>
      </c>
      <c r="R317" s="41">
        <v>4500</v>
      </c>
      <c r="S317" s="41">
        <f t="shared" si="13"/>
        <v>2404.4117647058824</v>
      </c>
    </row>
    <row r="318" spans="1:19">
      <c r="A318" s="5">
        <v>317</v>
      </c>
      <c r="B318" s="5">
        <v>2511213127</v>
      </c>
      <c r="C318" s="5" t="s">
        <v>2946</v>
      </c>
      <c r="D318" s="5" t="s">
        <v>528</v>
      </c>
      <c r="E318" s="5" t="s">
        <v>2947</v>
      </c>
      <c r="F318" s="5" t="s">
        <v>202</v>
      </c>
      <c r="G318" s="5" t="s">
        <v>52</v>
      </c>
      <c r="H318" s="5" t="s">
        <v>2934</v>
      </c>
      <c r="I318" s="5">
        <v>202502026</v>
      </c>
      <c r="J318" s="5"/>
      <c r="K318" s="6">
        <v>45982</v>
      </c>
      <c r="L318" s="6">
        <v>45987</v>
      </c>
      <c r="M318" s="42" t="s">
        <v>53</v>
      </c>
      <c r="N318" s="42" t="s">
        <v>54</v>
      </c>
      <c r="O318" s="42" t="s">
        <v>41</v>
      </c>
      <c r="P318" s="30">
        <f t="shared" si="15"/>
        <v>5</v>
      </c>
      <c r="Q318" s="41">
        <v>2095.5882352941176</v>
      </c>
      <c r="R318" s="41">
        <v>7500</v>
      </c>
      <c r="S318" s="41">
        <f t="shared" si="13"/>
        <v>5404.4117647058829</v>
      </c>
    </row>
    <row r="319" spans="1:19">
      <c r="A319" s="5">
        <v>318</v>
      </c>
      <c r="B319" s="5">
        <v>2511213128</v>
      </c>
      <c r="C319" s="5" t="s">
        <v>2948</v>
      </c>
      <c r="D319" s="5" t="s">
        <v>2430</v>
      </c>
      <c r="E319" s="5" t="s">
        <v>2949</v>
      </c>
      <c r="F319" s="5" t="s">
        <v>66</v>
      </c>
      <c r="G319" s="5" t="s">
        <v>52</v>
      </c>
      <c r="H319" s="5" t="s">
        <v>2934</v>
      </c>
      <c r="I319" s="5">
        <v>202502027</v>
      </c>
      <c r="J319" s="5"/>
      <c r="K319" s="6">
        <v>45982</v>
      </c>
      <c r="L319" s="6">
        <v>45987</v>
      </c>
      <c r="M319" s="42" t="s">
        <v>53</v>
      </c>
      <c r="N319" s="42" t="s">
        <v>54</v>
      </c>
      <c r="O319" s="42" t="s">
        <v>41</v>
      </c>
      <c r="P319" s="30">
        <f t="shared" si="15"/>
        <v>5</v>
      </c>
      <c r="Q319" s="41">
        <v>2095.5882352941176</v>
      </c>
      <c r="R319" s="41">
        <v>5000</v>
      </c>
      <c r="S319" s="41">
        <f t="shared" si="13"/>
        <v>2904.4117647058824</v>
      </c>
    </row>
    <row r="320" spans="1:19">
      <c r="A320" s="5">
        <v>319</v>
      </c>
      <c r="B320" s="5">
        <v>2511213129</v>
      </c>
      <c r="C320" s="5" t="s">
        <v>2950</v>
      </c>
      <c r="D320" s="5" t="s">
        <v>77</v>
      </c>
      <c r="E320" s="5" t="s">
        <v>78</v>
      </c>
      <c r="F320" s="5" t="s">
        <v>79</v>
      </c>
      <c r="G320" s="5" t="s">
        <v>52</v>
      </c>
      <c r="H320" s="5" t="s">
        <v>2934</v>
      </c>
      <c r="I320" s="5">
        <v>202502028</v>
      </c>
      <c r="J320" s="5"/>
      <c r="K320" s="6">
        <v>45982</v>
      </c>
      <c r="L320" s="6">
        <v>45987</v>
      </c>
      <c r="M320" s="42" t="s">
        <v>53</v>
      </c>
      <c r="N320" s="42" t="s">
        <v>54</v>
      </c>
      <c r="O320" s="42" t="s">
        <v>41</v>
      </c>
      <c r="P320" s="30">
        <f t="shared" si="15"/>
        <v>5</v>
      </c>
      <c r="Q320" s="41">
        <v>2095.5882352941176</v>
      </c>
      <c r="R320" s="41">
        <v>5500</v>
      </c>
      <c r="S320" s="41">
        <f t="shared" si="13"/>
        <v>3404.4117647058824</v>
      </c>
    </row>
    <row r="321" spans="1:19">
      <c r="A321" s="5">
        <v>320</v>
      </c>
      <c r="B321" s="5">
        <v>2511213130</v>
      </c>
      <c r="C321" s="5" t="s">
        <v>2951</v>
      </c>
      <c r="D321" s="5" t="s">
        <v>564</v>
      </c>
      <c r="E321" s="5" t="s">
        <v>771</v>
      </c>
      <c r="F321" s="5" t="s">
        <v>71</v>
      </c>
      <c r="G321" s="5" t="s">
        <v>75</v>
      </c>
      <c r="H321" s="5" t="s">
        <v>2934</v>
      </c>
      <c r="I321" s="5">
        <v>202502029</v>
      </c>
      <c r="J321" s="5"/>
      <c r="K321" s="6">
        <v>45982</v>
      </c>
      <c r="L321" s="6">
        <v>45987</v>
      </c>
      <c r="M321" s="42" t="s">
        <v>53</v>
      </c>
      <c r="N321" s="42" t="s">
        <v>54</v>
      </c>
      <c r="O321" s="42" t="s">
        <v>41</v>
      </c>
      <c r="P321" s="30">
        <f t="shared" si="15"/>
        <v>5</v>
      </c>
      <c r="Q321" s="41">
        <v>2095.5882352941176</v>
      </c>
      <c r="R321" s="41">
        <v>6500</v>
      </c>
      <c r="S321" s="41">
        <f t="shared" si="13"/>
        <v>4404.4117647058829</v>
      </c>
    </row>
    <row r="322" spans="1:19">
      <c r="A322" s="5">
        <v>321</v>
      </c>
      <c r="B322" s="9">
        <v>2511213131</v>
      </c>
      <c r="C322" s="9" t="s">
        <v>2952</v>
      </c>
      <c r="D322" s="9" t="s">
        <v>1514</v>
      </c>
      <c r="E322" s="9" t="s">
        <v>1515</v>
      </c>
      <c r="F322" s="9" t="s">
        <v>71</v>
      </c>
      <c r="G322" s="9" t="s">
        <v>52</v>
      </c>
      <c r="H322" s="9" t="s">
        <v>2934</v>
      </c>
      <c r="I322" s="9">
        <v>202502030</v>
      </c>
      <c r="J322" s="9"/>
      <c r="K322" s="10">
        <v>45982</v>
      </c>
      <c r="L322" s="10">
        <v>45987</v>
      </c>
      <c r="M322" s="54" t="s">
        <v>45</v>
      </c>
      <c r="N322" s="54" t="s">
        <v>94</v>
      </c>
      <c r="O322" s="54" t="s">
        <v>2604</v>
      </c>
      <c r="P322" s="32">
        <f t="shared" si="15"/>
        <v>5</v>
      </c>
      <c r="Q322" s="11">
        <v>2095.5882352941176</v>
      </c>
      <c r="R322" s="11">
        <v>8500</v>
      </c>
      <c r="S322" s="11">
        <f t="shared" ref="S322:S385" si="16">R322-Q322</f>
        <v>6404.4117647058829</v>
      </c>
    </row>
    <row r="323" spans="1:19">
      <c r="A323" s="5">
        <v>322</v>
      </c>
      <c r="B323" s="5">
        <v>2511221410</v>
      </c>
      <c r="C323" s="5" t="s">
        <v>2953</v>
      </c>
      <c r="D323" s="5" t="s">
        <v>1475</v>
      </c>
      <c r="E323" s="5" t="s">
        <v>1476</v>
      </c>
      <c r="F323" s="5" t="s">
        <v>362</v>
      </c>
      <c r="G323" s="5" t="s">
        <v>75</v>
      </c>
      <c r="H323" s="5" t="s">
        <v>2934</v>
      </c>
      <c r="I323" s="5">
        <v>202502031</v>
      </c>
      <c r="J323" s="5"/>
      <c r="K323" s="6">
        <v>45983</v>
      </c>
      <c r="L323" s="6">
        <v>45987</v>
      </c>
      <c r="M323" s="42" t="s">
        <v>53</v>
      </c>
      <c r="N323" s="42" t="s">
        <v>54</v>
      </c>
      <c r="O323" s="42" t="s">
        <v>41</v>
      </c>
      <c r="P323" s="30">
        <f t="shared" si="15"/>
        <v>4</v>
      </c>
      <c r="Q323" s="41">
        <v>2095.5882352941176</v>
      </c>
      <c r="R323" s="41">
        <v>4500</v>
      </c>
      <c r="S323" s="41">
        <f t="shared" si="16"/>
        <v>2404.4117647058824</v>
      </c>
    </row>
    <row r="324" spans="1:19">
      <c r="A324" s="5">
        <v>323</v>
      </c>
      <c r="B324" s="9">
        <v>2511221414</v>
      </c>
      <c r="C324" s="9" t="s">
        <v>2954</v>
      </c>
      <c r="D324" s="9" t="s">
        <v>1765</v>
      </c>
      <c r="E324" s="9" t="s">
        <v>1766</v>
      </c>
      <c r="F324" s="9" t="s">
        <v>51</v>
      </c>
      <c r="G324" s="9" t="s">
        <v>52</v>
      </c>
      <c r="H324" s="9" t="s">
        <v>2934</v>
      </c>
      <c r="I324" s="9">
        <v>202502032</v>
      </c>
      <c r="J324" s="9"/>
      <c r="K324" s="10">
        <v>45983</v>
      </c>
      <c r="L324" s="10">
        <v>45987</v>
      </c>
      <c r="M324" s="54" t="s">
        <v>45</v>
      </c>
      <c r="N324" s="54" t="s">
        <v>94</v>
      </c>
      <c r="O324" s="54" t="s">
        <v>2604</v>
      </c>
      <c r="P324" s="32">
        <f t="shared" si="15"/>
        <v>4</v>
      </c>
      <c r="Q324" s="11">
        <v>2095.5882352941176</v>
      </c>
      <c r="R324" s="11">
        <v>5500</v>
      </c>
      <c r="S324" s="11">
        <f t="shared" si="16"/>
        <v>3404.4117647058824</v>
      </c>
    </row>
    <row r="325" spans="1:19">
      <c r="A325" s="5">
        <v>324</v>
      </c>
      <c r="B325" s="5">
        <v>2511220018</v>
      </c>
      <c r="C325" s="5" t="s">
        <v>2955</v>
      </c>
      <c r="D325" s="5" t="s">
        <v>40</v>
      </c>
      <c r="E325" s="5" t="s">
        <v>41</v>
      </c>
      <c r="F325" s="5" t="s">
        <v>42</v>
      </c>
      <c r="G325" s="5" t="s">
        <v>52</v>
      </c>
      <c r="H325" s="5" t="s">
        <v>2934</v>
      </c>
      <c r="I325" s="5">
        <v>202502033</v>
      </c>
      <c r="J325" s="5"/>
      <c r="K325" s="6">
        <v>45983</v>
      </c>
      <c r="L325" s="6">
        <v>45987</v>
      </c>
      <c r="M325" s="42" t="s">
        <v>53</v>
      </c>
      <c r="N325" s="42" t="s">
        <v>54</v>
      </c>
      <c r="O325" s="42" t="s">
        <v>41</v>
      </c>
      <c r="P325" s="30">
        <f t="shared" si="15"/>
        <v>4</v>
      </c>
      <c r="Q325" s="41">
        <v>2095.5882352941176</v>
      </c>
      <c r="R325" s="41">
        <v>9500</v>
      </c>
      <c r="S325" s="41">
        <f t="shared" si="16"/>
        <v>7404.4117647058829</v>
      </c>
    </row>
    <row r="326" spans="1:19">
      <c r="A326" s="5">
        <v>325</v>
      </c>
      <c r="B326" s="13">
        <v>2511221421</v>
      </c>
      <c r="C326" s="13" t="s">
        <v>2956</v>
      </c>
      <c r="D326" s="13" t="s">
        <v>631</v>
      </c>
      <c r="E326" s="13" t="s">
        <v>2907</v>
      </c>
      <c r="F326" s="13" t="s">
        <v>87</v>
      </c>
      <c r="G326" s="13" t="s">
        <v>52</v>
      </c>
      <c r="H326" s="13" t="s">
        <v>2934</v>
      </c>
      <c r="I326" s="13">
        <v>202502034</v>
      </c>
      <c r="J326" s="13"/>
      <c r="K326" s="14">
        <v>45983</v>
      </c>
      <c r="L326" s="14">
        <v>45987</v>
      </c>
      <c r="M326" s="118" t="s">
        <v>45</v>
      </c>
      <c r="N326" s="118" t="s">
        <v>46</v>
      </c>
      <c r="O326" s="118" t="s">
        <v>2726</v>
      </c>
      <c r="P326" s="35">
        <f t="shared" si="15"/>
        <v>4</v>
      </c>
      <c r="Q326" s="15">
        <v>2095.5882352941176</v>
      </c>
      <c r="R326" s="15">
        <v>8000</v>
      </c>
      <c r="S326" s="15">
        <f t="shared" si="16"/>
        <v>5904.4117647058829</v>
      </c>
    </row>
    <row r="327" spans="1:19">
      <c r="A327" s="5">
        <v>326</v>
      </c>
      <c r="B327" s="5">
        <v>2511221427</v>
      </c>
      <c r="C327" s="5" t="s">
        <v>2957</v>
      </c>
      <c r="D327" s="5" t="s">
        <v>103</v>
      </c>
      <c r="E327" s="5" t="s">
        <v>1123</v>
      </c>
      <c r="F327" s="5" t="s">
        <v>51</v>
      </c>
      <c r="G327" s="5" t="s">
        <v>52</v>
      </c>
      <c r="H327" s="5" t="s">
        <v>2934</v>
      </c>
      <c r="I327" s="5">
        <v>202502035</v>
      </c>
      <c r="J327" s="5"/>
      <c r="K327" s="6">
        <v>45983</v>
      </c>
      <c r="L327" s="6">
        <v>45987</v>
      </c>
      <c r="M327" s="42" t="s">
        <v>53</v>
      </c>
      <c r="N327" s="42" t="s">
        <v>54</v>
      </c>
      <c r="O327" s="42" t="s">
        <v>41</v>
      </c>
      <c r="P327" s="30">
        <f t="shared" si="15"/>
        <v>4</v>
      </c>
      <c r="Q327" s="41">
        <v>2095.5882352941176</v>
      </c>
      <c r="R327" s="41">
        <v>8000</v>
      </c>
      <c r="S327" s="41">
        <f t="shared" si="16"/>
        <v>5904.4117647058829</v>
      </c>
    </row>
    <row r="328" spans="1:19">
      <c r="A328" s="5">
        <v>327</v>
      </c>
      <c r="B328" s="13">
        <v>2511221434</v>
      </c>
      <c r="C328" s="13" t="s">
        <v>2958</v>
      </c>
      <c r="D328" s="13" t="s">
        <v>528</v>
      </c>
      <c r="E328" s="13" t="s">
        <v>1917</v>
      </c>
      <c r="F328" s="13" t="s">
        <v>202</v>
      </c>
      <c r="G328" s="13" t="s">
        <v>52</v>
      </c>
      <c r="H328" s="13" t="s">
        <v>2934</v>
      </c>
      <c r="I328" s="13">
        <v>202502036</v>
      </c>
      <c r="J328" s="13"/>
      <c r="K328" s="14">
        <v>45983</v>
      </c>
      <c r="L328" s="14">
        <v>45987</v>
      </c>
      <c r="M328" s="118" t="s">
        <v>45</v>
      </c>
      <c r="N328" s="118" t="s">
        <v>46</v>
      </c>
      <c r="O328" s="118" t="s">
        <v>2726</v>
      </c>
      <c r="P328" s="35">
        <f t="shared" si="15"/>
        <v>4</v>
      </c>
      <c r="Q328" s="15">
        <v>2095.5882352941176</v>
      </c>
      <c r="R328" s="15">
        <v>7500</v>
      </c>
      <c r="S328" s="15">
        <f t="shared" si="16"/>
        <v>5404.4117647058829</v>
      </c>
    </row>
    <row r="329" spans="1:19">
      <c r="A329" s="5">
        <v>328</v>
      </c>
      <c r="B329" s="9">
        <v>2511221439</v>
      </c>
      <c r="C329" s="9" t="s">
        <v>2959</v>
      </c>
      <c r="D329" s="9" t="s">
        <v>1173</v>
      </c>
      <c r="E329" s="9" t="s">
        <v>1267</v>
      </c>
      <c r="F329" s="9" t="s">
        <v>58</v>
      </c>
      <c r="G329" s="9" t="s">
        <v>75</v>
      </c>
      <c r="H329" s="9" t="s">
        <v>2934</v>
      </c>
      <c r="I329" s="9">
        <v>202502037</v>
      </c>
      <c r="J329" s="9"/>
      <c r="K329" s="10">
        <v>45983</v>
      </c>
      <c r="L329" s="10">
        <v>45987</v>
      </c>
      <c r="M329" s="54" t="s">
        <v>45</v>
      </c>
      <c r="N329" s="54" t="s">
        <v>94</v>
      </c>
      <c r="O329" s="54" t="s">
        <v>2689</v>
      </c>
      <c r="P329" s="32">
        <f t="shared" si="15"/>
        <v>4</v>
      </c>
      <c r="Q329" s="11">
        <v>2095.5882352941176</v>
      </c>
      <c r="R329" s="11">
        <v>4900</v>
      </c>
      <c r="S329" s="11">
        <f t="shared" si="16"/>
        <v>2804.4117647058824</v>
      </c>
    </row>
    <row r="330" spans="1:19">
      <c r="A330" s="5">
        <v>329</v>
      </c>
      <c r="B330" s="9">
        <v>2511221443</v>
      </c>
      <c r="C330" s="9" t="s">
        <v>2960</v>
      </c>
      <c r="D330" s="9" t="s">
        <v>564</v>
      </c>
      <c r="E330" s="9" t="s">
        <v>1485</v>
      </c>
      <c r="F330" s="9" t="s">
        <v>71</v>
      </c>
      <c r="G330" s="9" t="s">
        <v>52</v>
      </c>
      <c r="H330" s="9" t="s">
        <v>2934</v>
      </c>
      <c r="I330" s="9">
        <v>202502038</v>
      </c>
      <c r="J330" s="9"/>
      <c r="K330" s="10">
        <v>45983</v>
      </c>
      <c r="L330" s="10">
        <v>45987</v>
      </c>
      <c r="M330" s="54" t="s">
        <v>45</v>
      </c>
      <c r="N330" s="54" t="s">
        <v>94</v>
      </c>
      <c r="O330" s="54" t="s">
        <v>2604</v>
      </c>
      <c r="P330" s="32">
        <f t="shared" si="15"/>
        <v>4</v>
      </c>
      <c r="Q330" s="11">
        <v>2095.5882352941176</v>
      </c>
      <c r="R330" s="11">
        <v>8500</v>
      </c>
      <c r="S330" s="11">
        <f t="shared" si="16"/>
        <v>6404.4117647058829</v>
      </c>
    </row>
    <row r="331" spans="1:19">
      <c r="A331" s="5">
        <v>330</v>
      </c>
      <c r="B331" s="5">
        <v>2511222413</v>
      </c>
      <c r="C331" s="5" t="s">
        <v>2961</v>
      </c>
      <c r="D331" s="5" t="s">
        <v>2350</v>
      </c>
      <c r="E331" s="5" t="s">
        <v>2351</v>
      </c>
      <c r="F331" s="5" t="s">
        <v>66</v>
      </c>
      <c r="G331" s="5" t="s">
        <v>52</v>
      </c>
      <c r="H331" s="5" t="s">
        <v>2934</v>
      </c>
      <c r="I331" s="5">
        <v>202502039</v>
      </c>
      <c r="J331" s="5"/>
      <c r="K331" s="6">
        <v>45983</v>
      </c>
      <c r="L331" s="6">
        <v>45987</v>
      </c>
      <c r="M331" s="42" t="s">
        <v>53</v>
      </c>
      <c r="N331" s="42" t="s">
        <v>54</v>
      </c>
      <c r="O331" s="42" t="s">
        <v>41</v>
      </c>
      <c r="P331" s="30">
        <f t="shared" si="15"/>
        <v>4</v>
      </c>
      <c r="Q331" s="41">
        <v>2095.5882352941176</v>
      </c>
      <c r="R331" s="41">
        <v>5000</v>
      </c>
      <c r="S331" s="41">
        <f t="shared" si="16"/>
        <v>2904.4117647058824</v>
      </c>
    </row>
    <row r="332" spans="1:19">
      <c r="A332" s="5">
        <v>331</v>
      </c>
      <c r="B332" s="5">
        <v>2511222414</v>
      </c>
      <c r="C332" s="5" t="s">
        <v>2962</v>
      </c>
      <c r="D332" s="5" t="s">
        <v>86</v>
      </c>
      <c r="E332" s="5" t="s">
        <v>699</v>
      </c>
      <c r="F332" s="5" t="s">
        <v>87</v>
      </c>
      <c r="G332" s="5" t="s">
        <v>75</v>
      </c>
      <c r="H332" s="5" t="s">
        <v>2934</v>
      </c>
      <c r="I332" s="5">
        <v>202502040</v>
      </c>
      <c r="J332" s="5"/>
      <c r="K332" s="6">
        <v>45983</v>
      </c>
      <c r="L332" s="6">
        <v>45987</v>
      </c>
      <c r="M332" s="42" t="s">
        <v>53</v>
      </c>
      <c r="N332" s="42" t="s">
        <v>54</v>
      </c>
      <c r="O332" s="42" t="s">
        <v>41</v>
      </c>
      <c r="P332" s="30">
        <f t="shared" si="15"/>
        <v>4</v>
      </c>
      <c r="Q332" s="41">
        <v>2095.5882352941176</v>
      </c>
      <c r="R332" s="41">
        <v>4500</v>
      </c>
      <c r="S332" s="41">
        <f t="shared" si="16"/>
        <v>2404.4117647058824</v>
      </c>
    </row>
    <row r="333" spans="1:19">
      <c r="A333" s="5">
        <v>332</v>
      </c>
      <c r="B333" s="5">
        <v>2511222417</v>
      </c>
      <c r="C333" s="5" t="s">
        <v>2963</v>
      </c>
      <c r="D333" s="5" t="s">
        <v>528</v>
      </c>
      <c r="E333" s="5" t="s">
        <v>1917</v>
      </c>
      <c r="F333" s="5" t="s">
        <v>202</v>
      </c>
      <c r="G333" s="5" t="s">
        <v>52</v>
      </c>
      <c r="H333" s="5" t="s">
        <v>2934</v>
      </c>
      <c r="I333" s="5">
        <v>202502041</v>
      </c>
      <c r="J333" s="5"/>
      <c r="K333" s="6">
        <v>45983</v>
      </c>
      <c r="L333" s="6">
        <v>45987</v>
      </c>
      <c r="M333" s="42" t="s">
        <v>53</v>
      </c>
      <c r="N333" s="42" t="s">
        <v>54</v>
      </c>
      <c r="O333" s="42" t="s">
        <v>41</v>
      </c>
      <c r="P333" s="30">
        <f t="shared" si="15"/>
        <v>4</v>
      </c>
      <c r="Q333" s="41">
        <v>2095.5882352941176</v>
      </c>
      <c r="R333" s="41">
        <v>7500</v>
      </c>
      <c r="S333" s="41">
        <f t="shared" si="16"/>
        <v>5404.4117647058829</v>
      </c>
    </row>
    <row r="334" spans="1:19">
      <c r="A334" s="5">
        <v>333</v>
      </c>
      <c r="B334" s="5">
        <v>2511222420</v>
      </c>
      <c r="C334" s="5" t="s">
        <v>2964</v>
      </c>
      <c r="D334" s="5" t="s">
        <v>83</v>
      </c>
      <c r="E334" s="5" t="s">
        <v>2965</v>
      </c>
      <c r="F334" s="5" t="s">
        <v>62</v>
      </c>
      <c r="G334" s="5" t="s">
        <v>43</v>
      </c>
      <c r="H334" s="5" t="s">
        <v>2934</v>
      </c>
      <c r="I334" s="5">
        <v>202502042</v>
      </c>
      <c r="J334" s="5"/>
      <c r="K334" s="6">
        <v>45983</v>
      </c>
      <c r="L334" s="6">
        <v>45987</v>
      </c>
      <c r="M334" s="42" t="s">
        <v>53</v>
      </c>
      <c r="N334" s="42" t="s">
        <v>54</v>
      </c>
      <c r="O334" s="42" t="s">
        <v>41</v>
      </c>
      <c r="P334" s="30">
        <f t="shared" si="15"/>
        <v>4</v>
      </c>
      <c r="Q334" s="41">
        <v>2095.5882352941176</v>
      </c>
      <c r="R334" s="41">
        <v>9000</v>
      </c>
      <c r="S334" s="41">
        <f t="shared" si="16"/>
        <v>6904.4117647058829</v>
      </c>
    </row>
    <row r="335" spans="1:19">
      <c r="A335" s="5">
        <v>334</v>
      </c>
      <c r="B335" s="9">
        <v>2511222422</v>
      </c>
      <c r="C335" s="9" t="s">
        <v>2966</v>
      </c>
      <c r="D335" s="9" t="s">
        <v>1629</v>
      </c>
      <c r="E335" s="9" t="s">
        <v>1630</v>
      </c>
      <c r="F335" s="9" t="s">
        <v>141</v>
      </c>
      <c r="G335" s="9" t="s">
        <v>52</v>
      </c>
      <c r="H335" s="9" t="s">
        <v>2934</v>
      </c>
      <c r="I335" s="9">
        <v>202502043</v>
      </c>
      <c r="J335" s="9"/>
      <c r="K335" s="10">
        <v>45983</v>
      </c>
      <c r="L335" s="10">
        <v>45987</v>
      </c>
      <c r="M335" s="54" t="s">
        <v>53</v>
      </c>
      <c r="N335" s="54" t="s">
        <v>94</v>
      </c>
      <c r="O335" s="54" t="s">
        <v>2099</v>
      </c>
      <c r="P335" s="32">
        <f t="shared" si="15"/>
        <v>4</v>
      </c>
      <c r="Q335" s="11">
        <v>2095.5882352941176</v>
      </c>
      <c r="R335" s="11">
        <v>5500</v>
      </c>
      <c r="S335" s="11">
        <f t="shared" si="16"/>
        <v>3404.4117647058824</v>
      </c>
    </row>
    <row r="336" spans="1:19">
      <c r="A336" s="5">
        <v>335</v>
      </c>
      <c r="B336" s="5">
        <v>2511222424</v>
      </c>
      <c r="C336" s="5" t="s">
        <v>2967</v>
      </c>
      <c r="D336" s="5" t="s">
        <v>2430</v>
      </c>
      <c r="E336" s="5" t="s">
        <v>2968</v>
      </c>
      <c r="F336" s="5" t="s">
        <v>66</v>
      </c>
      <c r="G336" s="5" t="s">
        <v>75</v>
      </c>
      <c r="H336" s="5" t="s">
        <v>2934</v>
      </c>
      <c r="I336" s="5">
        <v>202502044</v>
      </c>
      <c r="J336" s="5"/>
      <c r="K336" s="6">
        <v>45983</v>
      </c>
      <c r="L336" s="6">
        <v>45987</v>
      </c>
      <c r="M336" s="42" t="s">
        <v>53</v>
      </c>
      <c r="N336" s="42" t="s">
        <v>54</v>
      </c>
      <c r="O336" s="42" t="s">
        <v>41</v>
      </c>
      <c r="P336" s="30">
        <f t="shared" si="15"/>
        <v>4</v>
      </c>
      <c r="Q336" s="41">
        <v>2095.5882352941176</v>
      </c>
      <c r="R336" s="41">
        <v>4500</v>
      </c>
      <c r="S336" s="41">
        <f t="shared" si="16"/>
        <v>2404.4117647058824</v>
      </c>
    </row>
    <row r="337" spans="1:19">
      <c r="A337" s="5">
        <v>336</v>
      </c>
      <c r="B337" s="5">
        <v>2511230123</v>
      </c>
      <c r="C337" s="5" t="s">
        <v>2969</v>
      </c>
      <c r="D337" s="5" t="s">
        <v>1130</v>
      </c>
      <c r="E337" s="5" t="s">
        <v>1970</v>
      </c>
      <c r="F337" s="5" t="s">
        <v>141</v>
      </c>
      <c r="G337" s="5" t="s">
        <v>43</v>
      </c>
      <c r="H337" s="5" t="s">
        <v>2934</v>
      </c>
      <c r="I337" s="5">
        <v>202502045</v>
      </c>
      <c r="J337" s="5"/>
      <c r="K337" s="6">
        <v>45984</v>
      </c>
      <c r="L337" s="6">
        <v>45987</v>
      </c>
      <c r="M337" s="42" t="s">
        <v>53</v>
      </c>
      <c r="N337" s="42" t="s">
        <v>54</v>
      </c>
      <c r="O337" s="42" t="s">
        <v>41</v>
      </c>
      <c r="P337" s="30">
        <f t="shared" si="15"/>
        <v>3</v>
      </c>
      <c r="Q337" s="41">
        <v>2095.5882352941176</v>
      </c>
      <c r="R337" s="41">
        <v>11000</v>
      </c>
      <c r="S337" s="41">
        <f t="shared" si="16"/>
        <v>8904.4117647058829</v>
      </c>
    </row>
    <row r="338" spans="1:19">
      <c r="A338" s="5">
        <v>337</v>
      </c>
      <c r="B338" s="5">
        <v>2511230131</v>
      </c>
      <c r="C338" s="5" t="s">
        <v>2970</v>
      </c>
      <c r="D338" s="5" t="s">
        <v>64</v>
      </c>
      <c r="E338" s="5" t="s">
        <v>65</v>
      </c>
      <c r="F338" s="5" t="s">
        <v>66</v>
      </c>
      <c r="G338" s="5" t="s">
        <v>52</v>
      </c>
      <c r="H338" s="5" t="s">
        <v>2934</v>
      </c>
      <c r="I338" s="5">
        <v>202502046</v>
      </c>
      <c r="J338" s="5"/>
      <c r="K338" s="6">
        <v>45984</v>
      </c>
      <c r="L338" s="6">
        <v>45987</v>
      </c>
      <c r="M338" s="42" t="s">
        <v>53</v>
      </c>
      <c r="N338" s="42" t="s">
        <v>54</v>
      </c>
      <c r="O338" s="42" t="s">
        <v>41</v>
      </c>
      <c r="P338" s="30">
        <f t="shared" si="15"/>
        <v>3</v>
      </c>
      <c r="Q338" s="41">
        <v>2095.5882352941176</v>
      </c>
      <c r="R338" s="41">
        <v>5500</v>
      </c>
      <c r="S338" s="41">
        <f t="shared" si="16"/>
        <v>3404.4117647058824</v>
      </c>
    </row>
    <row r="339" spans="1:19">
      <c r="A339" s="5">
        <v>338</v>
      </c>
      <c r="B339" s="5" t="s">
        <v>1239</v>
      </c>
      <c r="C339" s="5"/>
      <c r="D339" s="5"/>
      <c r="E339" s="5"/>
      <c r="F339" s="5"/>
      <c r="G339" s="5" t="s">
        <v>52</v>
      </c>
      <c r="H339" s="5"/>
      <c r="I339" s="5"/>
      <c r="J339" s="5"/>
      <c r="K339" s="5"/>
      <c r="L339" s="5"/>
      <c r="M339" s="5"/>
      <c r="N339" s="5"/>
      <c r="O339" s="5"/>
      <c r="P339" s="5"/>
      <c r="Q339" s="8">
        <v>2095.5882352941176</v>
      </c>
      <c r="R339" s="41">
        <v>0</v>
      </c>
      <c r="S339" s="41">
        <f t="shared" si="16"/>
        <v>-2095.5882352941176</v>
      </c>
    </row>
    <row r="340" spans="1:19">
      <c r="A340" s="5">
        <v>339</v>
      </c>
      <c r="B340" s="5" t="s">
        <v>1240</v>
      </c>
      <c r="C340" s="5"/>
      <c r="D340" s="5"/>
      <c r="E340" s="5"/>
      <c r="F340" s="5"/>
      <c r="G340" s="5" t="s">
        <v>52</v>
      </c>
      <c r="H340" s="5"/>
      <c r="I340" s="5"/>
      <c r="J340" s="5"/>
      <c r="K340" s="5"/>
      <c r="L340" s="5"/>
      <c r="M340" s="5"/>
      <c r="N340" s="5"/>
      <c r="O340" s="5"/>
      <c r="P340" s="5"/>
      <c r="Q340" s="8">
        <v>2095.5882352941176</v>
      </c>
      <c r="R340" s="41">
        <v>0</v>
      </c>
      <c r="S340" s="41">
        <f t="shared" si="16"/>
        <v>-2095.5882352941176</v>
      </c>
    </row>
    <row r="341" spans="1:19">
      <c r="A341" s="5">
        <v>340</v>
      </c>
      <c r="B341" s="22">
        <v>2511063008</v>
      </c>
      <c r="C341" s="22" t="s">
        <v>2725</v>
      </c>
      <c r="D341" s="22" t="s">
        <v>64</v>
      </c>
      <c r="E341" s="22" t="s">
        <v>1498</v>
      </c>
      <c r="F341" s="22" t="s">
        <v>66</v>
      </c>
      <c r="G341" s="22" t="s">
        <v>52</v>
      </c>
      <c r="H341" s="22" t="s">
        <v>2971</v>
      </c>
      <c r="I341" s="22" t="s">
        <v>2972</v>
      </c>
      <c r="J341" s="22"/>
      <c r="K341" s="23">
        <v>45985</v>
      </c>
      <c r="L341" s="23">
        <v>45989</v>
      </c>
      <c r="M341" s="50" t="s">
        <v>53</v>
      </c>
      <c r="N341" s="50" t="s">
        <v>54</v>
      </c>
      <c r="O341" s="50" t="s">
        <v>41</v>
      </c>
      <c r="P341" s="34">
        <f t="shared" ref="P341:P369" si="17">L341-K341</f>
        <v>4</v>
      </c>
      <c r="Q341" s="24">
        <v>2295.9677419354839</v>
      </c>
      <c r="R341" s="24">
        <f>0</f>
        <v>0</v>
      </c>
      <c r="S341" s="24">
        <f t="shared" si="16"/>
        <v>-2295.9677419354839</v>
      </c>
    </row>
    <row r="342" spans="1:19">
      <c r="A342" s="5">
        <v>341</v>
      </c>
      <c r="B342" s="22">
        <v>2511102240</v>
      </c>
      <c r="C342" s="22" t="s">
        <v>2791</v>
      </c>
      <c r="D342" s="22" t="s">
        <v>2353</v>
      </c>
      <c r="E342" s="22" t="s">
        <v>2354</v>
      </c>
      <c r="F342" s="22" t="s">
        <v>109</v>
      </c>
      <c r="G342" s="22" t="s">
        <v>75</v>
      </c>
      <c r="H342" s="22" t="s">
        <v>2971</v>
      </c>
      <c r="I342" s="22" t="s">
        <v>2973</v>
      </c>
      <c r="J342" s="22"/>
      <c r="K342" s="23">
        <v>45985</v>
      </c>
      <c r="L342" s="23">
        <v>45989</v>
      </c>
      <c r="M342" s="50" t="s">
        <v>53</v>
      </c>
      <c r="N342" s="50" t="s">
        <v>54</v>
      </c>
      <c r="O342" s="50" t="s">
        <v>41</v>
      </c>
      <c r="P342" s="34">
        <f t="shared" si="17"/>
        <v>4</v>
      </c>
      <c r="Q342" s="24">
        <v>2295.9677419354839</v>
      </c>
      <c r="R342" s="24">
        <f>0</f>
        <v>0</v>
      </c>
      <c r="S342" s="24">
        <f t="shared" si="16"/>
        <v>-2295.9677419354839</v>
      </c>
    </row>
    <row r="343" spans="1:19">
      <c r="A343" s="5">
        <v>342</v>
      </c>
      <c r="B343" s="26">
        <v>2511123628</v>
      </c>
      <c r="C343" s="26" t="s">
        <v>2818</v>
      </c>
      <c r="D343" s="26" t="s">
        <v>405</v>
      </c>
      <c r="E343" s="26" t="s">
        <v>2819</v>
      </c>
      <c r="F343" s="26" t="s">
        <v>202</v>
      </c>
      <c r="G343" s="26" t="s">
        <v>52</v>
      </c>
      <c r="H343" s="26" t="s">
        <v>2971</v>
      </c>
      <c r="I343" s="26" t="s">
        <v>2974</v>
      </c>
      <c r="J343" s="26"/>
      <c r="K343" s="27">
        <v>45983</v>
      </c>
      <c r="L343" s="27">
        <v>45989</v>
      </c>
      <c r="M343" s="122" t="s">
        <v>45</v>
      </c>
      <c r="N343" s="122" t="s">
        <v>163</v>
      </c>
      <c r="O343" s="122" t="s">
        <v>2604</v>
      </c>
      <c r="P343" s="33">
        <f t="shared" si="17"/>
        <v>6</v>
      </c>
      <c r="Q343" s="28">
        <v>2295.9677419354839</v>
      </c>
      <c r="R343" s="28">
        <f>0</f>
        <v>0</v>
      </c>
      <c r="S343" s="28">
        <f t="shared" si="16"/>
        <v>-2295.9677419354839</v>
      </c>
    </row>
    <row r="344" spans="1:19">
      <c r="A344" s="5">
        <v>343</v>
      </c>
      <c r="B344" s="22">
        <v>2511183021</v>
      </c>
      <c r="C344" s="22" t="s">
        <v>2910</v>
      </c>
      <c r="D344" s="22" t="s">
        <v>2430</v>
      </c>
      <c r="E344" s="22" t="s">
        <v>2823</v>
      </c>
      <c r="F344" s="22" t="s">
        <v>66</v>
      </c>
      <c r="G344" s="22" t="s">
        <v>75</v>
      </c>
      <c r="H344" s="22" t="s">
        <v>2971</v>
      </c>
      <c r="I344" s="22" t="s">
        <v>2975</v>
      </c>
      <c r="J344" s="22"/>
      <c r="K344" s="23">
        <v>45979</v>
      </c>
      <c r="L344" s="23">
        <v>45989</v>
      </c>
      <c r="M344" s="50" t="s">
        <v>53</v>
      </c>
      <c r="N344" s="50" t="s">
        <v>54</v>
      </c>
      <c r="O344" s="50" t="s">
        <v>41</v>
      </c>
      <c r="P344" s="34">
        <f t="shared" si="17"/>
        <v>10</v>
      </c>
      <c r="Q344" s="24">
        <v>2295.9677419354839</v>
      </c>
      <c r="R344" s="24">
        <f>0</f>
        <v>0</v>
      </c>
      <c r="S344" s="24">
        <f t="shared" si="16"/>
        <v>-2295.9677419354839</v>
      </c>
    </row>
    <row r="345" spans="1:19">
      <c r="A345" s="5">
        <v>344</v>
      </c>
      <c r="B345" s="22">
        <v>2511203218</v>
      </c>
      <c r="C345" s="22" t="s">
        <v>2942</v>
      </c>
      <c r="D345" s="22" t="s">
        <v>83</v>
      </c>
      <c r="E345" s="22" t="s">
        <v>84</v>
      </c>
      <c r="F345" s="22" t="s">
        <v>62</v>
      </c>
      <c r="G345" s="22" t="s">
        <v>43</v>
      </c>
      <c r="H345" s="22" t="s">
        <v>2971</v>
      </c>
      <c r="I345" s="22" t="s">
        <v>2976</v>
      </c>
      <c r="J345" s="22"/>
      <c r="K345" s="23">
        <v>45981</v>
      </c>
      <c r="L345" s="23">
        <v>45989</v>
      </c>
      <c r="M345" s="50" t="s">
        <v>53</v>
      </c>
      <c r="N345" s="50" t="s">
        <v>54</v>
      </c>
      <c r="O345" s="50" t="s">
        <v>41</v>
      </c>
      <c r="P345" s="34">
        <f t="shared" si="17"/>
        <v>8</v>
      </c>
      <c r="Q345" s="24">
        <v>2295.9677419354839</v>
      </c>
      <c r="R345" s="24">
        <f>0</f>
        <v>0</v>
      </c>
      <c r="S345" s="24">
        <f t="shared" si="16"/>
        <v>-2295.9677419354839</v>
      </c>
    </row>
    <row r="346" spans="1:19">
      <c r="A346" s="5">
        <v>345</v>
      </c>
      <c r="B346" s="22">
        <v>2511213131</v>
      </c>
      <c r="C346" s="22" t="s">
        <v>2952</v>
      </c>
      <c r="D346" s="22" t="s">
        <v>1514</v>
      </c>
      <c r="E346" s="22" t="s">
        <v>1515</v>
      </c>
      <c r="F346" s="22" t="s">
        <v>71</v>
      </c>
      <c r="G346" s="22" t="s">
        <v>52</v>
      </c>
      <c r="H346" s="22" t="s">
        <v>2971</v>
      </c>
      <c r="I346" s="22" t="s">
        <v>2977</v>
      </c>
      <c r="J346" s="22"/>
      <c r="K346" s="23">
        <v>45982</v>
      </c>
      <c r="L346" s="23">
        <v>45989</v>
      </c>
      <c r="M346" s="50" t="s">
        <v>53</v>
      </c>
      <c r="N346" s="50" t="s">
        <v>54</v>
      </c>
      <c r="O346" s="50" t="s">
        <v>41</v>
      </c>
      <c r="P346" s="34">
        <f t="shared" si="17"/>
        <v>7</v>
      </c>
      <c r="Q346" s="24">
        <v>2295.9677419354839</v>
      </c>
      <c r="R346" s="24">
        <f>0</f>
        <v>0</v>
      </c>
      <c r="S346" s="24">
        <f t="shared" si="16"/>
        <v>-2295.9677419354839</v>
      </c>
    </row>
    <row r="347" spans="1:19">
      <c r="A347" s="5">
        <v>346</v>
      </c>
      <c r="B347" s="9">
        <v>2511221414</v>
      </c>
      <c r="C347" s="9" t="s">
        <v>2954</v>
      </c>
      <c r="D347" s="9" t="s">
        <v>1765</v>
      </c>
      <c r="E347" s="9" t="s">
        <v>1766</v>
      </c>
      <c r="F347" s="9" t="s">
        <v>51</v>
      </c>
      <c r="G347" s="9" t="s">
        <v>52</v>
      </c>
      <c r="H347" s="9" t="s">
        <v>2971</v>
      </c>
      <c r="I347" s="9" t="s">
        <v>2978</v>
      </c>
      <c r="J347" s="9"/>
      <c r="K347" s="10">
        <v>45983</v>
      </c>
      <c r="L347" s="10">
        <v>45989</v>
      </c>
      <c r="M347" s="54" t="s">
        <v>45</v>
      </c>
      <c r="N347" s="54" t="s">
        <v>94</v>
      </c>
      <c r="O347" s="54" t="s">
        <v>2726</v>
      </c>
      <c r="P347" s="32">
        <f t="shared" si="17"/>
        <v>6</v>
      </c>
      <c r="Q347" s="11">
        <v>2295.9677419354839</v>
      </c>
      <c r="R347" s="11">
        <f>0</f>
        <v>0</v>
      </c>
      <c r="S347" s="11">
        <f t="shared" si="16"/>
        <v>-2295.9677419354839</v>
      </c>
    </row>
    <row r="348" spans="1:19">
      <c r="A348" s="5">
        <v>347</v>
      </c>
      <c r="B348" s="22">
        <v>2511221439</v>
      </c>
      <c r="C348" s="22" t="s">
        <v>2959</v>
      </c>
      <c r="D348" s="22" t="s">
        <v>1173</v>
      </c>
      <c r="E348" s="22" t="s">
        <v>1267</v>
      </c>
      <c r="F348" s="22" t="s">
        <v>58</v>
      </c>
      <c r="G348" s="22" t="s">
        <v>75</v>
      </c>
      <c r="H348" s="22" t="s">
        <v>2971</v>
      </c>
      <c r="I348" s="22" t="s">
        <v>2979</v>
      </c>
      <c r="J348" s="22"/>
      <c r="K348" s="23">
        <v>45983</v>
      </c>
      <c r="L348" s="23">
        <v>45989</v>
      </c>
      <c r="M348" s="50" t="s">
        <v>53</v>
      </c>
      <c r="N348" s="50" t="s">
        <v>54</v>
      </c>
      <c r="O348" s="50" t="s">
        <v>41</v>
      </c>
      <c r="P348" s="34">
        <f t="shared" si="17"/>
        <v>6</v>
      </c>
      <c r="Q348" s="24">
        <v>2295.9677419354839</v>
      </c>
      <c r="R348" s="24">
        <f>0</f>
        <v>0</v>
      </c>
      <c r="S348" s="24">
        <f t="shared" si="16"/>
        <v>-2295.9677419354839</v>
      </c>
    </row>
    <row r="349" spans="1:19">
      <c r="A349" s="5">
        <v>348</v>
      </c>
      <c r="B349" s="22">
        <v>2511221443</v>
      </c>
      <c r="C349" s="22" t="s">
        <v>2960</v>
      </c>
      <c r="D349" s="22" t="s">
        <v>564</v>
      </c>
      <c r="E349" s="22" t="s">
        <v>1485</v>
      </c>
      <c r="F349" s="22" t="s">
        <v>71</v>
      </c>
      <c r="G349" s="22" t="s">
        <v>52</v>
      </c>
      <c r="H349" s="22" t="s">
        <v>2971</v>
      </c>
      <c r="I349" s="22" t="s">
        <v>2980</v>
      </c>
      <c r="J349" s="22"/>
      <c r="K349" s="23">
        <v>45983</v>
      </c>
      <c r="L349" s="23">
        <v>45989</v>
      </c>
      <c r="M349" s="50" t="s">
        <v>53</v>
      </c>
      <c r="N349" s="50" t="s">
        <v>54</v>
      </c>
      <c r="O349" s="50" t="s">
        <v>41</v>
      </c>
      <c r="P349" s="34">
        <f t="shared" si="17"/>
        <v>6</v>
      </c>
      <c r="Q349" s="24">
        <v>2295.9677419354839</v>
      </c>
      <c r="R349" s="24">
        <f>0</f>
        <v>0</v>
      </c>
      <c r="S349" s="24">
        <f t="shared" si="16"/>
        <v>-2295.9677419354839</v>
      </c>
    </row>
    <row r="350" spans="1:19">
      <c r="A350" s="5">
        <v>349</v>
      </c>
      <c r="B350" s="13">
        <v>2511222422</v>
      </c>
      <c r="C350" s="13" t="s">
        <v>2966</v>
      </c>
      <c r="D350" s="13" t="s">
        <v>1629</v>
      </c>
      <c r="E350" s="13" t="s">
        <v>1630</v>
      </c>
      <c r="F350" s="13" t="s">
        <v>141</v>
      </c>
      <c r="G350" s="13" t="s">
        <v>52</v>
      </c>
      <c r="H350" s="13" t="s">
        <v>2971</v>
      </c>
      <c r="I350" s="13" t="s">
        <v>2981</v>
      </c>
      <c r="J350" s="13"/>
      <c r="K350" s="14">
        <v>45983</v>
      </c>
      <c r="L350" s="14">
        <v>45989</v>
      </c>
      <c r="M350" s="118" t="s">
        <v>53</v>
      </c>
      <c r="N350" s="118" t="s">
        <v>46</v>
      </c>
      <c r="O350" s="118" t="s">
        <v>2099</v>
      </c>
      <c r="P350" s="35">
        <f t="shared" si="17"/>
        <v>6</v>
      </c>
      <c r="Q350" s="15">
        <v>2295.9677419354839</v>
      </c>
      <c r="R350" s="15">
        <f>0</f>
        <v>0</v>
      </c>
      <c r="S350" s="15">
        <f t="shared" si="16"/>
        <v>-2295.9677419354839</v>
      </c>
    </row>
    <row r="351" spans="1:19">
      <c r="A351" s="5">
        <v>350</v>
      </c>
      <c r="B351" s="5">
        <v>2511230140</v>
      </c>
      <c r="C351" s="5" t="s">
        <v>2982</v>
      </c>
      <c r="D351" s="5" t="s">
        <v>293</v>
      </c>
      <c r="E351" s="5" t="s">
        <v>2131</v>
      </c>
      <c r="F351" s="5" t="s">
        <v>51</v>
      </c>
      <c r="G351" s="5" t="s">
        <v>52</v>
      </c>
      <c r="H351" s="5" t="s">
        <v>2971</v>
      </c>
      <c r="I351" s="5">
        <v>202502047</v>
      </c>
      <c r="J351" s="5"/>
      <c r="K351" s="6">
        <v>45984</v>
      </c>
      <c r="L351" s="6">
        <v>45989</v>
      </c>
      <c r="M351" s="42" t="s">
        <v>53</v>
      </c>
      <c r="N351" s="42" t="s">
        <v>54</v>
      </c>
      <c r="O351" s="42" t="s">
        <v>41</v>
      </c>
      <c r="P351" s="30">
        <f t="shared" si="17"/>
        <v>5</v>
      </c>
      <c r="Q351" s="41">
        <v>2295.9677419354839</v>
      </c>
      <c r="R351" s="41">
        <v>6000</v>
      </c>
      <c r="S351" s="41">
        <f t="shared" si="16"/>
        <v>3704.0322580645161</v>
      </c>
    </row>
    <row r="352" spans="1:19">
      <c r="A352" s="5">
        <v>351</v>
      </c>
      <c r="B352" s="5">
        <v>2511231351</v>
      </c>
      <c r="C352" s="5" t="s">
        <v>2983</v>
      </c>
      <c r="D352" s="5" t="s">
        <v>77</v>
      </c>
      <c r="E352" s="5" t="s">
        <v>78</v>
      </c>
      <c r="F352" s="5" t="s">
        <v>79</v>
      </c>
      <c r="G352" s="5" t="s">
        <v>75</v>
      </c>
      <c r="H352" s="5" t="s">
        <v>2971</v>
      </c>
      <c r="I352" s="5">
        <v>202502048</v>
      </c>
      <c r="J352" s="5"/>
      <c r="K352" s="6">
        <v>45984</v>
      </c>
      <c r="L352" s="6">
        <v>45989</v>
      </c>
      <c r="M352" s="42" t="s">
        <v>53</v>
      </c>
      <c r="N352" s="42" t="s">
        <v>54</v>
      </c>
      <c r="O352" s="42" t="s">
        <v>41</v>
      </c>
      <c r="P352" s="30">
        <f t="shared" si="17"/>
        <v>5</v>
      </c>
      <c r="Q352" s="41">
        <v>2295.9677419354839</v>
      </c>
      <c r="R352" s="41">
        <v>4500</v>
      </c>
      <c r="S352" s="41">
        <f t="shared" si="16"/>
        <v>2204.0322580645161</v>
      </c>
    </row>
    <row r="353" spans="1:19">
      <c r="A353" s="5">
        <v>352</v>
      </c>
      <c r="B353" s="5">
        <v>2511231355</v>
      </c>
      <c r="C353" s="5" t="s">
        <v>2984</v>
      </c>
      <c r="D353" s="5" t="s">
        <v>2430</v>
      </c>
      <c r="E353" s="5" t="s">
        <v>2968</v>
      </c>
      <c r="F353" s="5" t="s">
        <v>66</v>
      </c>
      <c r="G353" s="5" t="s">
        <v>75</v>
      </c>
      <c r="H353" s="5" t="s">
        <v>2971</v>
      </c>
      <c r="I353" s="5">
        <v>202502049</v>
      </c>
      <c r="J353" s="5"/>
      <c r="K353" s="6">
        <v>45984</v>
      </c>
      <c r="L353" s="6">
        <v>45989</v>
      </c>
      <c r="M353" s="42" t="s">
        <v>53</v>
      </c>
      <c r="N353" s="42" t="s">
        <v>54</v>
      </c>
      <c r="O353" s="42" t="s">
        <v>41</v>
      </c>
      <c r="P353" s="30">
        <f t="shared" si="17"/>
        <v>5</v>
      </c>
      <c r="Q353" s="41">
        <v>2295.9677419354839</v>
      </c>
      <c r="R353" s="41">
        <v>4500</v>
      </c>
      <c r="S353" s="41">
        <f t="shared" si="16"/>
        <v>2204.0322580645161</v>
      </c>
    </row>
    <row r="354" spans="1:19">
      <c r="A354" s="5">
        <v>353</v>
      </c>
      <c r="B354" s="5">
        <v>2511231359</v>
      </c>
      <c r="C354" s="5" t="s">
        <v>2985</v>
      </c>
      <c r="D354" s="5" t="s">
        <v>153</v>
      </c>
      <c r="E354" s="5" t="s">
        <v>154</v>
      </c>
      <c r="F354" s="5" t="s">
        <v>141</v>
      </c>
      <c r="G354" s="5" t="s">
        <v>52</v>
      </c>
      <c r="H354" s="5" t="s">
        <v>2971</v>
      </c>
      <c r="I354" s="5">
        <v>202502050</v>
      </c>
      <c r="J354" s="5"/>
      <c r="K354" s="6">
        <v>45984</v>
      </c>
      <c r="L354" s="6">
        <v>45989</v>
      </c>
      <c r="M354" s="42" t="s">
        <v>53</v>
      </c>
      <c r="N354" s="42" t="s">
        <v>54</v>
      </c>
      <c r="O354" s="42" t="s">
        <v>41</v>
      </c>
      <c r="P354" s="30">
        <f t="shared" si="17"/>
        <v>5</v>
      </c>
      <c r="Q354" s="41">
        <v>2295.9677419354839</v>
      </c>
      <c r="R354" s="41">
        <v>5500</v>
      </c>
      <c r="S354" s="41">
        <f t="shared" si="16"/>
        <v>3204.0322580645161</v>
      </c>
    </row>
    <row r="355" spans="1:19">
      <c r="A355" s="5">
        <v>354</v>
      </c>
      <c r="B355" s="9">
        <v>2511231360</v>
      </c>
      <c r="C355" s="9" t="s">
        <v>2986</v>
      </c>
      <c r="D355" s="9" t="s">
        <v>153</v>
      </c>
      <c r="E355" s="9" t="s">
        <v>154</v>
      </c>
      <c r="F355" s="9" t="s">
        <v>141</v>
      </c>
      <c r="G355" s="9" t="s">
        <v>52</v>
      </c>
      <c r="H355" s="9" t="s">
        <v>2971</v>
      </c>
      <c r="I355" s="9">
        <v>202502051</v>
      </c>
      <c r="J355" s="9"/>
      <c r="K355" s="10">
        <v>45984</v>
      </c>
      <c r="L355" s="10">
        <v>45989</v>
      </c>
      <c r="M355" s="54" t="s">
        <v>53</v>
      </c>
      <c r="N355" s="54" t="s">
        <v>94</v>
      </c>
      <c r="O355" s="54" t="s">
        <v>1844</v>
      </c>
      <c r="P355" s="32">
        <f t="shared" si="17"/>
        <v>5</v>
      </c>
      <c r="Q355" s="11">
        <v>2295.9677419354839</v>
      </c>
      <c r="R355" s="11">
        <v>5500</v>
      </c>
      <c r="S355" s="11">
        <f t="shared" si="16"/>
        <v>3204.0322580645161</v>
      </c>
    </row>
    <row r="356" spans="1:19">
      <c r="A356" s="5">
        <v>355</v>
      </c>
      <c r="B356" s="5">
        <v>2511240009</v>
      </c>
      <c r="C356" s="5" t="s">
        <v>2987</v>
      </c>
      <c r="D356" s="5" t="s">
        <v>440</v>
      </c>
      <c r="E356" s="5" t="s">
        <v>441</v>
      </c>
      <c r="F356" s="5" t="s">
        <v>169</v>
      </c>
      <c r="G356" s="5" t="s">
        <v>52</v>
      </c>
      <c r="H356" s="5" t="s">
        <v>2971</v>
      </c>
      <c r="I356" s="5">
        <v>202502052</v>
      </c>
      <c r="J356" s="5"/>
      <c r="K356" s="6">
        <v>45985</v>
      </c>
      <c r="L356" s="6">
        <v>45989</v>
      </c>
      <c r="M356" s="42" t="s">
        <v>53</v>
      </c>
      <c r="N356" s="42" t="s">
        <v>54</v>
      </c>
      <c r="O356" s="42" t="s">
        <v>41</v>
      </c>
      <c r="P356" s="30">
        <f t="shared" si="17"/>
        <v>4</v>
      </c>
      <c r="Q356" s="41">
        <v>2295.9677419354839</v>
      </c>
      <c r="R356" s="41">
        <v>5500</v>
      </c>
      <c r="S356" s="41">
        <f t="shared" si="16"/>
        <v>3204.0322580645161</v>
      </c>
    </row>
    <row r="357" spans="1:19">
      <c r="A357" s="5">
        <v>356</v>
      </c>
      <c r="B357" s="5">
        <v>2511242098</v>
      </c>
      <c r="C357" s="5" t="s">
        <v>2988</v>
      </c>
      <c r="D357" s="5" t="s">
        <v>1662</v>
      </c>
      <c r="E357" s="5" t="s">
        <v>2009</v>
      </c>
      <c r="F357" s="5" t="s">
        <v>58</v>
      </c>
      <c r="G357" s="5" t="s">
        <v>52</v>
      </c>
      <c r="H357" s="5" t="s">
        <v>2971</v>
      </c>
      <c r="I357" s="5">
        <v>202502053</v>
      </c>
      <c r="J357" s="5"/>
      <c r="K357" s="6">
        <v>45985</v>
      </c>
      <c r="L357" s="6">
        <v>45989</v>
      </c>
      <c r="M357" s="42" t="s">
        <v>53</v>
      </c>
      <c r="N357" s="42" t="s">
        <v>54</v>
      </c>
      <c r="O357" s="42" t="s">
        <v>41</v>
      </c>
      <c r="P357" s="30">
        <f t="shared" si="17"/>
        <v>4</v>
      </c>
      <c r="Q357" s="41">
        <v>2295.9677419354839</v>
      </c>
      <c r="R357" s="41">
        <v>5500</v>
      </c>
      <c r="S357" s="41">
        <f t="shared" si="16"/>
        <v>3204.0322580645161</v>
      </c>
    </row>
    <row r="358" spans="1:19">
      <c r="A358" s="5">
        <v>357</v>
      </c>
      <c r="B358" s="5">
        <v>2511242101</v>
      </c>
      <c r="C358" s="5" t="s">
        <v>2989</v>
      </c>
      <c r="D358" s="5" t="s">
        <v>309</v>
      </c>
      <c r="E358" s="5" t="s">
        <v>1597</v>
      </c>
      <c r="F358" s="5" t="s">
        <v>51</v>
      </c>
      <c r="G358" s="5" t="s">
        <v>52</v>
      </c>
      <c r="H358" s="5" t="s">
        <v>2971</v>
      </c>
      <c r="I358" s="5">
        <v>202502054</v>
      </c>
      <c r="J358" s="5"/>
      <c r="K358" s="6">
        <v>45985</v>
      </c>
      <c r="L358" s="6">
        <v>45989</v>
      </c>
      <c r="M358" s="42" t="s">
        <v>53</v>
      </c>
      <c r="N358" s="42" t="s">
        <v>54</v>
      </c>
      <c r="O358" s="42" t="s">
        <v>41</v>
      </c>
      <c r="P358" s="30">
        <f t="shared" si="17"/>
        <v>4</v>
      </c>
      <c r="Q358" s="41">
        <v>2295.9677419354839</v>
      </c>
      <c r="R358" s="41">
        <v>5500</v>
      </c>
      <c r="S358" s="41">
        <f t="shared" si="16"/>
        <v>3204.0322580645161</v>
      </c>
    </row>
    <row r="359" spans="1:19">
      <c r="A359" s="5">
        <v>358</v>
      </c>
      <c r="B359" s="9">
        <v>2511242105</v>
      </c>
      <c r="C359" s="9" t="s">
        <v>2990</v>
      </c>
      <c r="D359" s="9" t="s">
        <v>855</v>
      </c>
      <c r="E359" s="9" t="s">
        <v>2068</v>
      </c>
      <c r="F359" s="9" t="s">
        <v>51</v>
      </c>
      <c r="G359" s="9" t="s">
        <v>52</v>
      </c>
      <c r="H359" s="9" t="s">
        <v>2971</v>
      </c>
      <c r="I359" s="9">
        <v>202502055</v>
      </c>
      <c r="J359" s="9"/>
      <c r="K359" s="10">
        <v>45985</v>
      </c>
      <c r="L359" s="10">
        <v>45989</v>
      </c>
      <c r="M359" s="54" t="s">
        <v>53</v>
      </c>
      <c r="N359" s="54" t="s">
        <v>94</v>
      </c>
      <c r="O359" s="54" t="s">
        <v>2099</v>
      </c>
      <c r="P359" s="32">
        <f t="shared" si="17"/>
        <v>4</v>
      </c>
      <c r="Q359" s="11">
        <v>2295.9677419354839</v>
      </c>
      <c r="R359" s="11">
        <v>5500</v>
      </c>
      <c r="S359" s="11">
        <f t="shared" si="16"/>
        <v>3204.0322580645161</v>
      </c>
    </row>
    <row r="360" spans="1:19">
      <c r="A360" s="5">
        <v>359</v>
      </c>
      <c r="B360" s="5">
        <v>2511242110</v>
      </c>
      <c r="C360" s="5" t="s">
        <v>2991</v>
      </c>
      <c r="D360" s="5" t="s">
        <v>564</v>
      </c>
      <c r="E360" s="5" t="s">
        <v>1872</v>
      </c>
      <c r="F360" s="5" t="s">
        <v>71</v>
      </c>
      <c r="G360" s="5" t="s">
        <v>75</v>
      </c>
      <c r="H360" s="5" t="s">
        <v>2971</v>
      </c>
      <c r="I360" s="5">
        <v>202502056</v>
      </c>
      <c r="J360" s="5"/>
      <c r="K360" s="6">
        <v>45985</v>
      </c>
      <c r="L360" s="6">
        <v>45989</v>
      </c>
      <c r="M360" s="42" t="s">
        <v>53</v>
      </c>
      <c r="N360" s="42" t="s">
        <v>54</v>
      </c>
      <c r="O360" s="42" t="s">
        <v>41</v>
      </c>
      <c r="P360" s="30">
        <f t="shared" si="17"/>
        <v>4</v>
      </c>
      <c r="Q360" s="41">
        <v>2295.9677419354839</v>
      </c>
      <c r="R360" s="41">
        <v>6500</v>
      </c>
      <c r="S360" s="41">
        <f t="shared" si="16"/>
        <v>4204.0322580645161</v>
      </c>
    </row>
    <row r="361" spans="1:19">
      <c r="A361" s="5">
        <v>360</v>
      </c>
      <c r="B361" s="5">
        <v>2511242113</v>
      </c>
      <c r="C361" s="5" t="s">
        <v>2992</v>
      </c>
      <c r="D361" s="5" t="s">
        <v>564</v>
      </c>
      <c r="E361" s="5" t="s">
        <v>1872</v>
      </c>
      <c r="F361" s="5" t="s">
        <v>71</v>
      </c>
      <c r="G361" s="5" t="s">
        <v>75</v>
      </c>
      <c r="H361" s="5" t="s">
        <v>2971</v>
      </c>
      <c r="I361" s="5">
        <v>202502057</v>
      </c>
      <c r="J361" s="5"/>
      <c r="K361" s="6">
        <v>45985</v>
      </c>
      <c r="L361" s="6">
        <v>45989</v>
      </c>
      <c r="M361" s="42" t="s">
        <v>53</v>
      </c>
      <c r="N361" s="42" t="s">
        <v>54</v>
      </c>
      <c r="O361" s="42" t="s">
        <v>41</v>
      </c>
      <c r="P361" s="30">
        <f t="shared" si="17"/>
        <v>4</v>
      </c>
      <c r="Q361" s="41">
        <v>2295.9677419354839</v>
      </c>
      <c r="R361" s="41">
        <v>6500</v>
      </c>
      <c r="S361" s="41">
        <f t="shared" si="16"/>
        <v>4204.0322580645161</v>
      </c>
    </row>
    <row r="362" spans="1:19">
      <c r="A362" s="5">
        <v>361</v>
      </c>
      <c r="B362" s="5">
        <v>2511242116</v>
      </c>
      <c r="C362" s="5" t="s">
        <v>2993</v>
      </c>
      <c r="D362" s="5" t="s">
        <v>1638</v>
      </c>
      <c r="E362" s="5" t="s">
        <v>394</v>
      </c>
      <c r="F362" s="5" t="s">
        <v>202</v>
      </c>
      <c r="G362" s="5" t="s">
        <v>43</v>
      </c>
      <c r="H362" s="5" t="s">
        <v>2971</v>
      </c>
      <c r="I362" s="5">
        <v>202502058</v>
      </c>
      <c r="J362" s="5"/>
      <c r="K362" s="6">
        <v>45985</v>
      </c>
      <c r="L362" s="6">
        <v>45989</v>
      </c>
      <c r="M362" s="42" t="s">
        <v>53</v>
      </c>
      <c r="N362" s="42" t="s">
        <v>54</v>
      </c>
      <c r="O362" s="42" t="s">
        <v>41</v>
      </c>
      <c r="P362" s="30">
        <f t="shared" si="17"/>
        <v>4</v>
      </c>
      <c r="Q362" s="41">
        <v>2295.9677419354839</v>
      </c>
      <c r="R362" s="41">
        <v>13500</v>
      </c>
      <c r="S362" s="41">
        <f t="shared" si="16"/>
        <v>11204.032258064515</v>
      </c>
    </row>
    <row r="363" spans="1:19">
      <c r="A363" s="5">
        <v>362</v>
      </c>
      <c r="B363" s="5">
        <v>2511242121</v>
      </c>
      <c r="C363" s="5" t="s">
        <v>2994</v>
      </c>
      <c r="D363" s="5" t="s">
        <v>964</v>
      </c>
      <c r="E363" s="5" t="s">
        <v>965</v>
      </c>
      <c r="F363" s="5" t="s">
        <v>109</v>
      </c>
      <c r="G363" s="5" t="s">
        <v>43</v>
      </c>
      <c r="H363" s="5" t="s">
        <v>2971</v>
      </c>
      <c r="I363" s="5">
        <v>202502059</v>
      </c>
      <c r="J363" s="5"/>
      <c r="K363" s="6">
        <v>45985</v>
      </c>
      <c r="L363" s="6">
        <v>45989</v>
      </c>
      <c r="M363" s="42" t="s">
        <v>53</v>
      </c>
      <c r="N363" s="42" t="s">
        <v>54</v>
      </c>
      <c r="O363" s="42" t="s">
        <v>41</v>
      </c>
      <c r="P363" s="30">
        <f t="shared" si="17"/>
        <v>4</v>
      </c>
      <c r="Q363" s="41">
        <v>2295.9677419354839</v>
      </c>
      <c r="R363" s="41">
        <v>11000</v>
      </c>
      <c r="S363" s="41">
        <f t="shared" si="16"/>
        <v>8704.0322580645152</v>
      </c>
    </row>
    <row r="364" spans="1:19">
      <c r="A364" s="5">
        <v>363</v>
      </c>
      <c r="B364" s="5">
        <v>2511242127</v>
      </c>
      <c r="C364" s="5" t="s">
        <v>2995</v>
      </c>
      <c r="D364" s="5" t="s">
        <v>2996</v>
      </c>
      <c r="E364" s="5" t="s">
        <v>2997</v>
      </c>
      <c r="F364" s="5" t="s">
        <v>66</v>
      </c>
      <c r="G364" s="5" t="s">
        <v>75</v>
      </c>
      <c r="H364" s="5" t="s">
        <v>2971</v>
      </c>
      <c r="I364" s="5">
        <v>202502060</v>
      </c>
      <c r="J364" s="5"/>
      <c r="K364" s="6">
        <v>45985</v>
      </c>
      <c r="L364" s="6">
        <v>45989</v>
      </c>
      <c r="M364" s="42" t="s">
        <v>53</v>
      </c>
      <c r="N364" s="42" t="s">
        <v>54</v>
      </c>
      <c r="O364" s="42" t="s">
        <v>41</v>
      </c>
      <c r="P364" s="30">
        <f t="shared" si="17"/>
        <v>4</v>
      </c>
      <c r="Q364" s="41">
        <v>2295.9677419354839</v>
      </c>
      <c r="R364" s="41">
        <v>4500</v>
      </c>
      <c r="S364" s="41">
        <f t="shared" si="16"/>
        <v>2204.0322580645161</v>
      </c>
    </row>
    <row r="365" spans="1:19">
      <c r="A365" s="5">
        <v>364</v>
      </c>
      <c r="B365" s="5">
        <v>2511242133</v>
      </c>
      <c r="C365" s="5" t="s">
        <v>2998</v>
      </c>
      <c r="D365" s="5" t="s">
        <v>2795</v>
      </c>
      <c r="E365" s="5" t="s">
        <v>2556</v>
      </c>
      <c r="F365" s="5" t="s">
        <v>62</v>
      </c>
      <c r="G365" s="5" t="s">
        <v>52</v>
      </c>
      <c r="H365" s="5" t="s">
        <v>2971</v>
      </c>
      <c r="I365" s="5">
        <v>202502061</v>
      </c>
      <c r="J365" s="5"/>
      <c r="K365" s="6">
        <v>45985</v>
      </c>
      <c r="L365" s="6">
        <v>45989</v>
      </c>
      <c r="M365" s="42" t="s">
        <v>53</v>
      </c>
      <c r="N365" s="42" t="s">
        <v>54</v>
      </c>
      <c r="O365" s="42" t="s">
        <v>41</v>
      </c>
      <c r="P365" s="30">
        <f t="shared" si="17"/>
        <v>4</v>
      </c>
      <c r="Q365" s="41">
        <v>2295.9677419354839</v>
      </c>
      <c r="R365" s="41">
        <v>5500</v>
      </c>
      <c r="S365" s="41">
        <f t="shared" si="16"/>
        <v>3204.0322580645161</v>
      </c>
    </row>
    <row r="366" spans="1:19">
      <c r="A366" s="5">
        <v>365</v>
      </c>
      <c r="B366" s="5">
        <v>2511252995</v>
      </c>
      <c r="C366" s="5" t="s">
        <v>2999</v>
      </c>
      <c r="D366" s="5" t="s">
        <v>321</v>
      </c>
      <c r="E366" s="5" t="s">
        <v>1740</v>
      </c>
      <c r="F366" s="5" t="s">
        <v>202</v>
      </c>
      <c r="G366" s="5" t="s">
        <v>75</v>
      </c>
      <c r="H366" s="5" t="s">
        <v>2971</v>
      </c>
      <c r="I366" s="5">
        <v>202502062</v>
      </c>
      <c r="J366" s="5"/>
      <c r="K366" s="6">
        <v>45986</v>
      </c>
      <c r="L366" s="6">
        <v>45989</v>
      </c>
      <c r="M366" s="42" t="s">
        <v>53</v>
      </c>
      <c r="N366" s="42" t="s">
        <v>54</v>
      </c>
      <c r="O366" s="42" t="s">
        <v>41</v>
      </c>
      <c r="P366" s="30">
        <f t="shared" si="17"/>
        <v>3</v>
      </c>
      <c r="Q366" s="41">
        <v>2295.9677419354839</v>
      </c>
      <c r="R366" s="41">
        <v>4500</v>
      </c>
      <c r="S366" s="41">
        <f t="shared" si="16"/>
        <v>2204.0322580645161</v>
      </c>
    </row>
    <row r="367" spans="1:19">
      <c r="A367" s="5">
        <v>366</v>
      </c>
      <c r="B367" s="5">
        <v>2511253000</v>
      </c>
      <c r="C367" s="5" t="s">
        <v>3000</v>
      </c>
      <c r="D367" s="5" t="s">
        <v>309</v>
      </c>
      <c r="E367" s="5" t="s">
        <v>1597</v>
      </c>
      <c r="F367" s="5" t="s">
        <v>51</v>
      </c>
      <c r="G367" s="5" t="s">
        <v>52</v>
      </c>
      <c r="H367" s="5" t="s">
        <v>2971</v>
      </c>
      <c r="I367" s="5">
        <v>202502063</v>
      </c>
      <c r="J367" s="5"/>
      <c r="K367" s="6">
        <v>45986</v>
      </c>
      <c r="L367" s="6">
        <v>45989</v>
      </c>
      <c r="M367" s="42" t="s">
        <v>53</v>
      </c>
      <c r="N367" s="42" t="s">
        <v>54</v>
      </c>
      <c r="O367" s="42" t="s">
        <v>41</v>
      </c>
      <c r="P367" s="30">
        <f t="shared" si="17"/>
        <v>3</v>
      </c>
      <c r="Q367" s="41">
        <v>2295.9677419354839</v>
      </c>
      <c r="R367" s="41">
        <v>5500</v>
      </c>
      <c r="S367" s="41">
        <f t="shared" si="16"/>
        <v>3204.0322580645161</v>
      </c>
    </row>
    <row r="368" spans="1:19">
      <c r="A368" s="5">
        <v>367</v>
      </c>
      <c r="B368" s="9">
        <v>2511253004</v>
      </c>
      <c r="C368" s="9" t="s">
        <v>3001</v>
      </c>
      <c r="D368" s="9" t="s">
        <v>564</v>
      </c>
      <c r="E368" s="9" t="s">
        <v>485</v>
      </c>
      <c r="F368" s="9" t="s">
        <v>71</v>
      </c>
      <c r="G368" s="9" t="s">
        <v>52</v>
      </c>
      <c r="H368" s="9" t="s">
        <v>2971</v>
      </c>
      <c r="I368" s="9">
        <v>202502064</v>
      </c>
      <c r="J368" s="9"/>
      <c r="K368" s="10">
        <v>45986</v>
      </c>
      <c r="L368" s="10">
        <v>45989</v>
      </c>
      <c r="M368" s="54" t="s">
        <v>45</v>
      </c>
      <c r="N368" s="54" t="s">
        <v>94</v>
      </c>
      <c r="O368" s="54" t="s">
        <v>2726</v>
      </c>
      <c r="P368" s="32">
        <f t="shared" si="17"/>
        <v>3</v>
      </c>
      <c r="Q368" s="11">
        <v>2295.9677419354839</v>
      </c>
      <c r="R368" s="11">
        <v>6450</v>
      </c>
      <c r="S368" s="11">
        <f t="shared" si="16"/>
        <v>4154.0322580645161</v>
      </c>
    </row>
    <row r="369" spans="1:19">
      <c r="A369" s="5">
        <v>368</v>
      </c>
      <c r="B369" s="5">
        <v>2511253011</v>
      </c>
      <c r="C369" s="5" t="s">
        <v>3002</v>
      </c>
      <c r="D369" s="5" t="s">
        <v>1638</v>
      </c>
      <c r="E369" s="5" t="s">
        <v>2632</v>
      </c>
      <c r="F369" s="5" t="s">
        <v>202</v>
      </c>
      <c r="G369" s="5" t="s">
        <v>52</v>
      </c>
      <c r="H369" s="5" t="s">
        <v>2971</v>
      </c>
      <c r="I369" s="5">
        <v>202502065</v>
      </c>
      <c r="J369" s="5"/>
      <c r="K369" s="6">
        <v>45986</v>
      </c>
      <c r="L369" s="6">
        <v>45989</v>
      </c>
      <c r="M369" s="42" t="s">
        <v>53</v>
      </c>
      <c r="N369" s="42" t="s">
        <v>54</v>
      </c>
      <c r="O369" s="42" t="s">
        <v>41</v>
      </c>
      <c r="P369" s="30">
        <f t="shared" si="17"/>
        <v>3</v>
      </c>
      <c r="Q369" s="41">
        <v>2295.9677419354839</v>
      </c>
      <c r="R369" s="41">
        <v>8000</v>
      </c>
      <c r="S369" s="41">
        <f t="shared" si="16"/>
        <v>5704.0322580645161</v>
      </c>
    </row>
    <row r="370" spans="1:19">
      <c r="A370" s="5">
        <v>369</v>
      </c>
      <c r="B370" s="5" t="s">
        <v>1239</v>
      </c>
      <c r="C370" s="5"/>
      <c r="D370" s="5"/>
      <c r="E370" s="5"/>
      <c r="F370" s="5"/>
      <c r="G370" s="5" t="s">
        <v>52</v>
      </c>
      <c r="H370" s="5"/>
      <c r="I370" s="5"/>
      <c r="J370" s="5"/>
      <c r="K370" s="5"/>
      <c r="L370" s="5"/>
      <c r="M370" s="5"/>
      <c r="N370" s="5"/>
      <c r="O370" s="5"/>
      <c r="P370" s="5"/>
      <c r="Q370" s="8">
        <v>2295.9677419354839</v>
      </c>
      <c r="R370" s="41">
        <v>0</v>
      </c>
      <c r="S370" s="41">
        <f t="shared" si="16"/>
        <v>-2295.9677419354839</v>
      </c>
    </row>
    <row r="371" spans="1:19">
      <c r="A371" s="5">
        <v>370</v>
      </c>
      <c r="B371" s="5" t="s">
        <v>1240</v>
      </c>
      <c r="C371" s="5"/>
      <c r="D371" s="5"/>
      <c r="E371" s="5"/>
      <c r="F371" s="5"/>
      <c r="G371" s="5" t="s">
        <v>52</v>
      </c>
      <c r="H371" s="5"/>
      <c r="I371" s="5"/>
      <c r="J371" s="5"/>
      <c r="K371" s="5"/>
      <c r="L371" s="5"/>
      <c r="M371" s="5"/>
      <c r="N371" s="5"/>
      <c r="O371" s="5"/>
      <c r="P371" s="5"/>
      <c r="Q371" s="8">
        <v>2295.9677419354839</v>
      </c>
      <c r="R371" s="41">
        <v>0</v>
      </c>
      <c r="S371" s="41">
        <f t="shared" si="16"/>
        <v>-2295.9677419354839</v>
      </c>
    </row>
    <row r="372" spans="1:19">
      <c r="A372" s="5">
        <v>371</v>
      </c>
      <c r="B372" s="22">
        <v>2511050799</v>
      </c>
      <c r="C372" s="22" t="s">
        <v>2710</v>
      </c>
      <c r="D372" s="22" t="s">
        <v>64</v>
      </c>
      <c r="E372" s="22" t="s">
        <v>65</v>
      </c>
      <c r="F372" s="22" t="s">
        <v>66</v>
      </c>
      <c r="G372" s="22" t="s">
        <v>52</v>
      </c>
      <c r="H372" s="22" t="s">
        <v>3003</v>
      </c>
      <c r="I372" s="22" t="s">
        <v>3004</v>
      </c>
      <c r="J372" s="22"/>
      <c r="K372" s="23">
        <v>45987</v>
      </c>
      <c r="L372" s="23">
        <v>45991</v>
      </c>
      <c r="M372" s="50" t="s">
        <v>53</v>
      </c>
      <c r="N372" s="50" t="s">
        <v>54</v>
      </c>
      <c r="O372" s="50" t="s">
        <v>41</v>
      </c>
      <c r="P372" s="34">
        <f t="shared" ref="P372:P400" si="18">L372-K372</f>
        <v>4</v>
      </c>
      <c r="Q372" s="24">
        <v>2295.9677419354839</v>
      </c>
      <c r="R372" s="24">
        <v>0</v>
      </c>
      <c r="S372" s="24">
        <f t="shared" si="16"/>
        <v>-2295.9677419354839</v>
      </c>
    </row>
    <row r="373" spans="1:19">
      <c r="A373" s="5">
        <v>372</v>
      </c>
      <c r="B373" s="22">
        <v>2511133113</v>
      </c>
      <c r="C373" s="22" t="s">
        <v>2835</v>
      </c>
      <c r="D373" s="22" t="s">
        <v>599</v>
      </c>
      <c r="E373" s="22" t="s">
        <v>2836</v>
      </c>
      <c r="F373" s="22" t="s">
        <v>169</v>
      </c>
      <c r="G373" s="22" t="s">
        <v>52</v>
      </c>
      <c r="H373" s="22" t="s">
        <v>3003</v>
      </c>
      <c r="I373" s="22" t="s">
        <v>3005</v>
      </c>
      <c r="J373" s="22"/>
      <c r="K373" s="23">
        <v>45987</v>
      </c>
      <c r="L373" s="23">
        <v>45991</v>
      </c>
      <c r="M373" s="50" t="s">
        <v>53</v>
      </c>
      <c r="N373" s="50" t="s">
        <v>54</v>
      </c>
      <c r="O373" s="50" t="s">
        <v>41</v>
      </c>
      <c r="P373" s="34">
        <f t="shared" si="18"/>
        <v>4</v>
      </c>
      <c r="Q373" s="24">
        <v>2295.9677419354839</v>
      </c>
      <c r="R373" s="24">
        <v>0</v>
      </c>
      <c r="S373" s="24">
        <f t="shared" si="16"/>
        <v>-2295.9677419354839</v>
      </c>
    </row>
    <row r="374" spans="1:19">
      <c r="A374" s="5">
        <v>373</v>
      </c>
      <c r="B374" s="22">
        <v>2511172079</v>
      </c>
      <c r="C374" s="22" t="s">
        <v>2894</v>
      </c>
      <c r="D374" s="22" t="s">
        <v>444</v>
      </c>
      <c r="E374" s="22" t="s">
        <v>1835</v>
      </c>
      <c r="F374" s="22" t="s">
        <v>109</v>
      </c>
      <c r="G374" s="22" t="s">
        <v>52</v>
      </c>
      <c r="H374" s="22" t="s">
        <v>3003</v>
      </c>
      <c r="I374" s="22" t="s">
        <v>3006</v>
      </c>
      <c r="J374" s="22"/>
      <c r="K374" s="23">
        <v>45986</v>
      </c>
      <c r="L374" s="23">
        <v>45991</v>
      </c>
      <c r="M374" s="50" t="s">
        <v>53</v>
      </c>
      <c r="N374" s="50" t="s">
        <v>54</v>
      </c>
      <c r="O374" s="50" t="s">
        <v>41</v>
      </c>
      <c r="P374" s="34">
        <f t="shared" si="18"/>
        <v>5</v>
      </c>
      <c r="Q374" s="24">
        <v>2295.9677419354839</v>
      </c>
      <c r="R374" s="24">
        <v>0</v>
      </c>
      <c r="S374" s="24">
        <f t="shared" si="16"/>
        <v>-2295.9677419354839</v>
      </c>
    </row>
    <row r="375" spans="1:19">
      <c r="A375" s="5">
        <v>374</v>
      </c>
      <c r="B375" s="22">
        <v>2511193238</v>
      </c>
      <c r="C375" s="22" t="s">
        <v>2913</v>
      </c>
      <c r="D375" s="22" t="s">
        <v>711</v>
      </c>
      <c r="E375" s="22" t="s">
        <v>712</v>
      </c>
      <c r="F375" s="22" t="s">
        <v>71</v>
      </c>
      <c r="G375" s="22" t="s">
        <v>190</v>
      </c>
      <c r="H375" s="22" t="s">
        <v>3003</v>
      </c>
      <c r="I375" s="22" t="s">
        <v>3007</v>
      </c>
      <c r="J375" s="22"/>
      <c r="K375" s="23">
        <v>45987</v>
      </c>
      <c r="L375" s="23">
        <v>45991</v>
      </c>
      <c r="M375" s="50" t="s">
        <v>53</v>
      </c>
      <c r="N375" s="50" t="s">
        <v>54</v>
      </c>
      <c r="O375" s="50" t="s">
        <v>41</v>
      </c>
      <c r="P375" s="34">
        <f t="shared" si="18"/>
        <v>4</v>
      </c>
      <c r="Q375" s="24">
        <v>2295.9677419354839</v>
      </c>
      <c r="R375" s="24">
        <v>0</v>
      </c>
      <c r="S375" s="24">
        <f t="shared" si="16"/>
        <v>-2295.9677419354839</v>
      </c>
    </row>
    <row r="376" spans="1:19">
      <c r="A376" s="5">
        <v>375</v>
      </c>
      <c r="B376" s="22">
        <v>2511221414</v>
      </c>
      <c r="C376" s="22" t="s">
        <v>2954</v>
      </c>
      <c r="D376" s="22" t="s">
        <v>1765</v>
      </c>
      <c r="E376" s="22" t="s">
        <v>1766</v>
      </c>
      <c r="F376" s="22" t="s">
        <v>51</v>
      </c>
      <c r="G376" s="22" t="s">
        <v>52</v>
      </c>
      <c r="H376" s="22" t="s">
        <v>3003</v>
      </c>
      <c r="I376" s="22" t="s">
        <v>3008</v>
      </c>
      <c r="J376" s="22"/>
      <c r="K376" s="23">
        <v>45983</v>
      </c>
      <c r="L376" s="23">
        <v>45991</v>
      </c>
      <c r="M376" s="50" t="s">
        <v>53</v>
      </c>
      <c r="N376" s="50" t="s">
        <v>54</v>
      </c>
      <c r="O376" s="50" t="s">
        <v>41</v>
      </c>
      <c r="P376" s="34">
        <f t="shared" si="18"/>
        <v>8</v>
      </c>
      <c r="Q376" s="24">
        <v>2295.9677419354839</v>
      </c>
      <c r="R376" s="24">
        <v>0</v>
      </c>
      <c r="S376" s="24">
        <f t="shared" si="16"/>
        <v>-2295.9677419354839</v>
      </c>
    </row>
    <row r="377" spans="1:19">
      <c r="A377" s="5">
        <v>376</v>
      </c>
      <c r="B377" s="22">
        <v>2511231360</v>
      </c>
      <c r="C377" s="22" t="s">
        <v>2986</v>
      </c>
      <c r="D377" s="22" t="s">
        <v>153</v>
      </c>
      <c r="E377" s="22" t="s">
        <v>154</v>
      </c>
      <c r="F377" s="22" t="s">
        <v>141</v>
      </c>
      <c r="G377" s="22" t="s">
        <v>52</v>
      </c>
      <c r="H377" s="22" t="s">
        <v>3003</v>
      </c>
      <c r="I377" s="22" t="s">
        <v>3009</v>
      </c>
      <c r="J377" s="22"/>
      <c r="K377" s="23">
        <v>45984</v>
      </c>
      <c r="L377" s="23">
        <v>45991</v>
      </c>
      <c r="M377" s="50" t="s">
        <v>53</v>
      </c>
      <c r="N377" s="50" t="s">
        <v>54</v>
      </c>
      <c r="O377" s="50" t="s">
        <v>41</v>
      </c>
      <c r="P377" s="34">
        <f t="shared" si="18"/>
        <v>7</v>
      </c>
      <c r="Q377" s="24">
        <v>2295.9677419354839</v>
      </c>
      <c r="R377" s="24">
        <v>0</v>
      </c>
      <c r="S377" s="24">
        <f t="shared" si="16"/>
        <v>-2295.9677419354839</v>
      </c>
    </row>
    <row r="378" spans="1:19">
      <c r="A378" s="5">
        <v>377</v>
      </c>
      <c r="B378" s="22">
        <v>2511242105</v>
      </c>
      <c r="C378" s="22" t="s">
        <v>2990</v>
      </c>
      <c r="D378" s="22" t="s">
        <v>855</v>
      </c>
      <c r="E378" s="22" t="s">
        <v>2068</v>
      </c>
      <c r="F378" s="22" t="s">
        <v>51</v>
      </c>
      <c r="G378" s="22" t="s">
        <v>52</v>
      </c>
      <c r="H378" s="22" t="s">
        <v>3003</v>
      </c>
      <c r="I378" s="22" t="s">
        <v>3010</v>
      </c>
      <c r="J378" s="22"/>
      <c r="K378" s="23">
        <v>45985</v>
      </c>
      <c r="L378" s="23">
        <v>45991</v>
      </c>
      <c r="M378" s="50" t="s">
        <v>53</v>
      </c>
      <c r="N378" s="50" t="s">
        <v>54</v>
      </c>
      <c r="O378" s="50" t="s">
        <v>41</v>
      </c>
      <c r="P378" s="34">
        <f t="shared" si="18"/>
        <v>6</v>
      </c>
      <c r="Q378" s="24">
        <v>2295.9677419354839</v>
      </c>
      <c r="R378" s="24">
        <v>0</v>
      </c>
      <c r="S378" s="24">
        <f t="shared" si="16"/>
        <v>-2295.9677419354839</v>
      </c>
    </row>
    <row r="379" spans="1:19">
      <c r="A379" s="5">
        <v>378</v>
      </c>
      <c r="B379" s="22">
        <v>2511253004</v>
      </c>
      <c r="C379" s="22" t="s">
        <v>3001</v>
      </c>
      <c r="D379" s="22" t="s">
        <v>564</v>
      </c>
      <c r="E379" s="22" t="s">
        <v>485</v>
      </c>
      <c r="F379" s="22" t="s">
        <v>71</v>
      </c>
      <c r="G379" s="22" t="s">
        <v>52</v>
      </c>
      <c r="H379" s="22" t="s">
        <v>3003</v>
      </c>
      <c r="I379" s="22" t="s">
        <v>3011</v>
      </c>
      <c r="J379" s="22"/>
      <c r="K379" s="23">
        <v>45986</v>
      </c>
      <c r="L379" s="23">
        <v>45991</v>
      </c>
      <c r="M379" s="50" t="s">
        <v>53</v>
      </c>
      <c r="N379" s="50" t="s">
        <v>54</v>
      </c>
      <c r="O379" s="50" t="s">
        <v>41</v>
      </c>
      <c r="P379" s="34">
        <f t="shared" si="18"/>
        <v>5</v>
      </c>
      <c r="Q379" s="24">
        <v>2295.9677419354839</v>
      </c>
      <c r="R379" s="24">
        <v>0</v>
      </c>
      <c r="S379" s="24">
        <f t="shared" si="16"/>
        <v>-2295.9677419354839</v>
      </c>
    </row>
    <row r="380" spans="1:19">
      <c r="A380" s="5">
        <v>379</v>
      </c>
      <c r="B380" s="5">
        <v>2511253030</v>
      </c>
      <c r="C380" s="5" t="s">
        <v>3012</v>
      </c>
      <c r="D380" s="5" t="s">
        <v>1261</v>
      </c>
      <c r="E380" s="5" t="s">
        <v>1262</v>
      </c>
      <c r="F380" s="5" t="s">
        <v>71</v>
      </c>
      <c r="G380" s="5" t="s">
        <v>75</v>
      </c>
      <c r="H380" s="5" t="s">
        <v>3003</v>
      </c>
      <c r="I380" s="5">
        <v>202502066</v>
      </c>
      <c r="J380" s="5"/>
      <c r="K380" s="6">
        <v>45986</v>
      </c>
      <c r="L380" s="6">
        <v>45991</v>
      </c>
      <c r="M380" s="42" t="s">
        <v>53</v>
      </c>
      <c r="N380" s="42" t="s">
        <v>54</v>
      </c>
      <c r="O380" s="42" t="s">
        <v>41</v>
      </c>
      <c r="P380" s="30">
        <f t="shared" si="18"/>
        <v>5</v>
      </c>
      <c r="Q380" s="41">
        <v>2295.9677419354839</v>
      </c>
      <c r="R380" s="41">
        <v>4500</v>
      </c>
      <c r="S380" s="41">
        <f t="shared" si="16"/>
        <v>2204.0322580645161</v>
      </c>
    </row>
    <row r="381" spans="1:19">
      <c r="A381" s="5">
        <v>380</v>
      </c>
      <c r="B381" s="5">
        <v>2511251513</v>
      </c>
      <c r="C381" s="5" t="s">
        <v>3013</v>
      </c>
      <c r="D381" s="5" t="s">
        <v>40</v>
      </c>
      <c r="E381" s="5" t="s">
        <v>41</v>
      </c>
      <c r="F381" s="5" t="s">
        <v>42</v>
      </c>
      <c r="G381" s="5" t="s">
        <v>43</v>
      </c>
      <c r="H381" s="5" t="s">
        <v>3003</v>
      </c>
      <c r="I381" s="5">
        <v>202502067</v>
      </c>
      <c r="J381" s="5"/>
      <c r="K381" s="6">
        <v>45986</v>
      </c>
      <c r="L381" s="6">
        <v>45991</v>
      </c>
      <c r="M381" s="42" t="s">
        <v>53</v>
      </c>
      <c r="N381" s="42" t="s">
        <v>54</v>
      </c>
      <c r="O381" s="42" t="s">
        <v>41</v>
      </c>
      <c r="P381" s="30">
        <f t="shared" si="18"/>
        <v>5</v>
      </c>
      <c r="Q381" s="41">
        <v>2295.9677419354839</v>
      </c>
      <c r="R381" s="41">
        <v>14500</v>
      </c>
      <c r="S381" s="41">
        <f t="shared" si="16"/>
        <v>12204.032258064515</v>
      </c>
    </row>
    <row r="382" spans="1:19">
      <c r="A382" s="5">
        <v>381</v>
      </c>
      <c r="B382" s="5">
        <v>2511253033</v>
      </c>
      <c r="C382" s="5" t="s">
        <v>3014</v>
      </c>
      <c r="D382" s="5" t="s">
        <v>440</v>
      </c>
      <c r="E382" s="5" t="s">
        <v>441</v>
      </c>
      <c r="F382" s="5" t="s">
        <v>169</v>
      </c>
      <c r="G382" s="5" t="s">
        <v>52</v>
      </c>
      <c r="H382" s="5" t="s">
        <v>3003</v>
      </c>
      <c r="I382" s="5">
        <v>202502068</v>
      </c>
      <c r="J382" s="5"/>
      <c r="K382" s="6">
        <v>45986</v>
      </c>
      <c r="L382" s="6">
        <v>45991</v>
      </c>
      <c r="M382" s="42" t="s">
        <v>53</v>
      </c>
      <c r="N382" s="42" t="s">
        <v>54</v>
      </c>
      <c r="O382" s="42" t="s">
        <v>41</v>
      </c>
      <c r="P382" s="30">
        <f t="shared" si="18"/>
        <v>5</v>
      </c>
      <c r="Q382" s="41">
        <v>2295.9677419354839</v>
      </c>
      <c r="R382" s="41">
        <v>5500</v>
      </c>
      <c r="S382" s="41">
        <f t="shared" si="16"/>
        <v>3204.0322580645161</v>
      </c>
    </row>
    <row r="383" spans="1:19">
      <c r="A383" s="5">
        <v>382</v>
      </c>
      <c r="B383" s="5">
        <v>2511262957</v>
      </c>
      <c r="C383" s="5" t="s">
        <v>3015</v>
      </c>
      <c r="D383" s="5" t="s">
        <v>64</v>
      </c>
      <c r="E383" s="5" t="s">
        <v>1498</v>
      </c>
      <c r="F383" s="5" t="s">
        <v>66</v>
      </c>
      <c r="G383" s="5" t="s">
        <v>52</v>
      </c>
      <c r="H383" s="5" t="s">
        <v>3003</v>
      </c>
      <c r="I383" s="5">
        <v>202502069</v>
      </c>
      <c r="J383" s="5"/>
      <c r="K383" s="6">
        <v>45987</v>
      </c>
      <c r="L383" s="6">
        <v>45991</v>
      </c>
      <c r="M383" s="42" t="s">
        <v>53</v>
      </c>
      <c r="N383" s="42" t="s">
        <v>54</v>
      </c>
      <c r="O383" s="42" t="s">
        <v>41</v>
      </c>
      <c r="P383" s="30">
        <f t="shared" si="18"/>
        <v>4</v>
      </c>
      <c r="Q383" s="41">
        <v>2295.9677419354839</v>
      </c>
      <c r="R383" s="41">
        <v>5500</v>
      </c>
      <c r="S383" s="41">
        <f t="shared" si="16"/>
        <v>3204.0322580645161</v>
      </c>
    </row>
    <row r="384" spans="1:19">
      <c r="A384" s="5">
        <v>383</v>
      </c>
      <c r="B384" s="5">
        <v>2511262963</v>
      </c>
      <c r="C384" s="5" t="s">
        <v>3016</v>
      </c>
      <c r="D384" s="5" t="s">
        <v>810</v>
      </c>
      <c r="E384" s="5" t="s">
        <v>1414</v>
      </c>
      <c r="F384" s="5" t="s">
        <v>457</v>
      </c>
      <c r="G384" s="5" t="s">
        <v>43</v>
      </c>
      <c r="H384" s="5" t="s">
        <v>3003</v>
      </c>
      <c r="I384" s="5">
        <v>202502070</v>
      </c>
      <c r="J384" s="5"/>
      <c r="K384" s="6">
        <v>45987</v>
      </c>
      <c r="L384" s="6">
        <v>45991</v>
      </c>
      <c r="M384" s="42" t="s">
        <v>53</v>
      </c>
      <c r="N384" s="42" t="s">
        <v>54</v>
      </c>
      <c r="O384" s="42" t="s">
        <v>41</v>
      </c>
      <c r="P384" s="30">
        <f t="shared" si="18"/>
        <v>4</v>
      </c>
      <c r="Q384" s="41">
        <v>2295.9677419354839</v>
      </c>
      <c r="R384" s="41">
        <v>12500</v>
      </c>
      <c r="S384" s="41">
        <f t="shared" si="16"/>
        <v>10204.032258064515</v>
      </c>
    </row>
    <row r="385" spans="1:19">
      <c r="A385" s="5">
        <v>384</v>
      </c>
      <c r="B385" s="5">
        <v>2511262968</v>
      </c>
      <c r="C385" s="5" t="s">
        <v>3017</v>
      </c>
      <c r="D385" s="5" t="s">
        <v>804</v>
      </c>
      <c r="E385" s="5" t="s">
        <v>2186</v>
      </c>
      <c r="F385" s="5" t="s">
        <v>457</v>
      </c>
      <c r="G385" s="5" t="s">
        <v>75</v>
      </c>
      <c r="H385" s="5" t="s">
        <v>3003</v>
      </c>
      <c r="I385" s="5">
        <v>202502071</v>
      </c>
      <c r="J385" s="5"/>
      <c r="K385" s="6">
        <v>45987</v>
      </c>
      <c r="L385" s="6">
        <v>45991</v>
      </c>
      <c r="M385" s="42" t="s">
        <v>53</v>
      </c>
      <c r="N385" s="42" t="s">
        <v>54</v>
      </c>
      <c r="O385" s="42" t="s">
        <v>41</v>
      </c>
      <c r="P385" s="30">
        <f t="shared" si="18"/>
        <v>4</v>
      </c>
      <c r="Q385" s="41">
        <v>2295.9677419354839</v>
      </c>
      <c r="R385" s="41">
        <v>4000</v>
      </c>
      <c r="S385" s="41">
        <f t="shared" si="16"/>
        <v>1704.0322580645161</v>
      </c>
    </row>
    <row r="386" spans="1:19">
      <c r="A386" s="5">
        <v>385</v>
      </c>
      <c r="B386" s="5">
        <v>2511262973</v>
      </c>
      <c r="C386" s="5" t="s">
        <v>3018</v>
      </c>
      <c r="D386" s="5" t="s">
        <v>1475</v>
      </c>
      <c r="E386" s="5" t="s">
        <v>1476</v>
      </c>
      <c r="F386" s="5" t="s">
        <v>362</v>
      </c>
      <c r="G386" s="5" t="s">
        <v>43</v>
      </c>
      <c r="H386" s="5" t="s">
        <v>3003</v>
      </c>
      <c r="I386" s="5">
        <v>202502072</v>
      </c>
      <c r="J386" s="5"/>
      <c r="K386" s="6">
        <v>45987</v>
      </c>
      <c r="L386" s="6">
        <v>45991</v>
      </c>
      <c r="M386" s="42" t="s">
        <v>53</v>
      </c>
      <c r="N386" s="42" t="s">
        <v>54</v>
      </c>
      <c r="O386" s="42" t="s">
        <v>41</v>
      </c>
      <c r="P386" s="30">
        <f t="shared" si="18"/>
        <v>4</v>
      </c>
      <c r="Q386" s="41">
        <v>2295.9677419354839</v>
      </c>
      <c r="R386" s="41">
        <v>4500</v>
      </c>
      <c r="S386" s="41">
        <f t="shared" ref="S386:S402" si="19">R386-Q386</f>
        <v>2204.0322580645161</v>
      </c>
    </row>
    <row r="387" spans="1:19">
      <c r="A387" s="5">
        <v>386</v>
      </c>
      <c r="B387" s="9">
        <v>2511262977</v>
      </c>
      <c r="C387" s="9" t="s">
        <v>3019</v>
      </c>
      <c r="D387" s="9" t="s">
        <v>405</v>
      </c>
      <c r="E387" s="9" t="s">
        <v>2016</v>
      </c>
      <c r="F387" s="9" t="s">
        <v>202</v>
      </c>
      <c r="G387" s="9" t="s">
        <v>52</v>
      </c>
      <c r="H387" s="9" t="s">
        <v>3003</v>
      </c>
      <c r="I387" s="9">
        <v>202502073</v>
      </c>
      <c r="J387" s="9"/>
      <c r="K387" s="10">
        <v>45987</v>
      </c>
      <c r="L387" s="10">
        <v>45991</v>
      </c>
      <c r="M387" s="9" t="s">
        <v>53</v>
      </c>
      <c r="N387" s="9" t="s">
        <v>94</v>
      </c>
      <c r="O387" s="54" t="s">
        <v>3020</v>
      </c>
      <c r="P387" s="32">
        <f t="shared" si="18"/>
        <v>4</v>
      </c>
      <c r="Q387" s="11">
        <v>2295.9677419354839</v>
      </c>
      <c r="R387" s="11">
        <v>6450</v>
      </c>
      <c r="S387" s="11">
        <f t="shared" si="19"/>
        <v>4154.0322580645161</v>
      </c>
    </row>
    <row r="388" spans="1:19">
      <c r="A388" s="5">
        <v>387</v>
      </c>
      <c r="B388" s="5">
        <v>2511262981</v>
      </c>
      <c r="C388" s="5" t="s">
        <v>3021</v>
      </c>
      <c r="D388" s="5" t="s">
        <v>405</v>
      </c>
      <c r="E388" s="5" t="s">
        <v>2016</v>
      </c>
      <c r="F388" s="5" t="s">
        <v>202</v>
      </c>
      <c r="G388" s="5" t="s">
        <v>52</v>
      </c>
      <c r="H388" s="5" t="s">
        <v>3003</v>
      </c>
      <c r="I388" s="5">
        <v>202502074</v>
      </c>
      <c r="J388" s="5"/>
      <c r="K388" s="6">
        <v>45987</v>
      </c>
      <c r="L388" s="6">
        <v>45991</v>
      </c>
      <c r="M388" s="42" t="s">
        <v>53</v>
      </c>
      <c r="N388" s="42" t="s">
        <v>54</v>
      </c>
      <c r="O388" s="42" t="s">
        <v>41</v>
      </c>
      <c r="P388" s="30">
        <f t="shared" si="18"/>
        <v>4</v>
      </c>
      <c r="Q388" s="41">
        <v>2295.9677419354839</v>
      </c>
      <c r="R388" s="41">
        <v>6450</v>
      </c>
      <c r="S388" s="41">
        <f t="shared" si="19"/>
        <v>4154.0322580645161</v>
      </c>
    </row>
    <row r="389" spans="1:19">
      <c r="A389" s="5">
        <v>388</v>
      </c>
      <c r="B389" s="5">
        <v>2511262985</v>
      </c>
      <c r="C389" s="5" t="s">
        <v>3022</v>
      </c>
      <c r="D389" s="5" t="s">
        <v>706</v>
      </c>
      <c r="E389" s="5" t="s">
        <v>1944</v>
      </c>
      <c r="F389" s="5" t="s">
        <v>79</v>
      </c>
      <c r="G389" s="5" t="s">
        <v>52</v>
      </c>
      <c r="H389" s="5" t="s">
        <v>3003</v>
      </c>
      <c r="I389" s="5">
        <v>202502075</v>
      </c>
      <c r="J389" s="5"/>
      <c r="K389" s="6">
        <v>45987</v>
      </c>
      <c r="L389" s="6">
        <v>45991</v>
      </c>
      <c r="M389" s="42" t="s">
        <v>53</v>
      </c>
      <c r="N389" s="42" t="s">
        <v>54</v>
      </c>
      <c r="O389" s="42" t="s">
        <v>41</v>
      </c>
      <c r="P389" s="30">
        <f t="shared" si="18"/>
        <v>4</v>
      </c>
      <c r="Q389" s="41">
        <v>2295.9677419354839</v>
      </c>
      <c r="R389" s="41">
        <v>6000</v>
      </c>
      <c r="S389" s="41">
        <f t="shared" si="19"/>
        <v>3704.0322580645161</v>
      </c>
    </row>
    <row r="390" spans="1:19">
      <c r="A390" s="5">
        <v>389</v>
      </c>
      <c r="B390" s="5">
        <v>2511262988</v>
      </c>
      <c r="C390" s="5" t="s">
        <v>3023</v>
      </c>
      <c r="D390" s="5" t="s">
        <v>528</v>
      </c>
      <c r="E390" s="5" t="s">
        <v>1967</v>
      </c>
      <c r="F390" s="5" t="s">
        <v>202</v>
      </c>
      <c r="G390" s="5" t="s">
        <v>52</v>
      </c>
      <c r="H390" s="5" t="s">
        <v>3003</v>
      </c>
      <c r="I390" s="5">
        <v>202502076</v>
      </c>
      <c r="J390" s="5"/>
      <c r="K390" s="6">
        <v>45987</v>
      </c>
      <c r="L390" s="6">
        <v>45991</v>
      </c>
      <c r="M390" s="42" t="s">
        <v>53</v>
      </c>
      <c r="N390" s="42" t="s">
        <v>54</v>
      </c>
      <c r="O390" s="42" t="s">
        <v>41</v>
      </c>
      <c r="P390" s="30">
        <f t="shared" si="18"/>
        <v>4</v>
      </c>
      <c r="Q390" s="41">
        <v>2295.9677419354839</v>
      </c>
      <c r="R390" s="41">
        <v>7500</v>
      </c>
      <c r="S390" s="41">
        <f t="shared" si="19"/>
        <v>5204.0322580645161</v>
      </c>
    </row>
    <row r="391" spans="1:19">
      <c r="A391" s="5">
        <v>390</v>
      </c>
      <c r="B391" s="5">
        <v>2511262994</v>
      </c>
      <c r="C391" s="5" t="s">
        <v>3024</v>
      </c>
      <c r="D391" s="5" t="s">
        <v>599</v>
      </c>
      <c r="E391" s="5" t="s">
        <v>1070</v>
      </c>
      <c r="F391" s="5" t="s">
        <v>169</v>
      </c>
      <c r="G391" s="5" t="s">
        <v>75</v>
      </c>
      <c r="H391" s="5" t="s">
        <v>3003</v>
      </c>
      <c r="I391" s="5">
        <v>202502077</v>
      </c>
      <c r="J391" s="5"/>
      <c r="K391" s="6">
        <v>45987</v>
      </c>
      <c r="L391" s="6">
        <v>45991</v>
      </c>
      <c r="M391" s="42" t="s">
        <v>53</v>
      </c>
      <c r="N391" s="42" t="s">
        <v>54</v>
      </c>
      <c r="O391" s="42" t="s">
        <v>41</v>
      </c>
      <c r="P391" s="30">
        <f t="shared" si="18"/>
        <v>4</v>
      </c>
      <c r="Q391" s="41">
        <v>2295.9677419354839</v>
      </c>
      <c r="R391" s="41">
        <v>5000</v>
      </c>
      <c r="S391" s="41">
        <f t="shared" si="19"/>
        <v>2704.0322580645161</v>
      </c>
    </row>
    <row r="392" spans="1:19">
      <c r="A392" s="5">
        <v>391</v>
      </c>
      <c r="B392" s="5">
        <v>2511262998</v>
      </c>
      <c r="C392" s="5" t="s">
        <v>3025</v>
      </c>
      <c r="D392" s="5" t="s">
        <v>77</v>
      </c>
      <c r="E392" s="5" t="s">
        <v>78</v>
      </c>
      <c r="F392" s="5" t="s">
        <v>79</v>
      </c>
      <c r="G392" s="5" t="s">
        <v>52</v>
      </c>
      <c r="H392" s="5" t="s">
        <v>3003</v>
      </c>
      <c r="I392" s="5">
        <v>202502078</v>
      </c>
      <c r="J392" s="5"/>
      <c r="K392" s="6">
        <v>45987</v>
      </c>
      <c r="L392" s="6">
        <v>45991</v>
      </c>
      <c r="M392" s="42" t="s">
        <v>53</v>
      </c>
      <c r="N392" s="42" t="s">
        <v>54</v>
      </c>
      <c r="O392" s="42" t="s">
        <v>41</v>
      </c>
      <c r="P392" s="30">
        <f t="shared" si="18"/>
        <v>4</v>
      </c>
      <c r="Q392" s="41">
        <v>2295.9677419354839</v>
      </c>
      <c r="R392" s="41">
        <v>5500</v>
      </c>
      <c r="S392" s="41">
        <f t="shared" si="19"/>
        <v>3204.0322580645161</v>
      </c>
    </row>
    <row r="393" spans="1:19">
      <c r="A393" s="5">
        <v>392</v>
      </c>
      <c r="B393" s="5">
        <v>2511263002</v>
      </c>
      <c r="C393" s="5" t="s">
        <v>3026</v>
      </c>
      <c r="D393" s="5" t="s">
        <v>564</v>
      </c>
      <c r="E393" s="5" t="s">
        <v>1827</v>
      </c>
      <c r="F393" s="5" t="s">
        <v>71</v>
      </c>
      <c r="G393" s="5" t="s">
        <v>75</v>
      </c>
      <c r="H393" s="5" t="s">
        <v>3003</v>
      </c>
      <c r="I393" s="5">
        <v>202502079</v>
      </c>
      <c r="J393" s="5"/>
      <c r="K393" s="6">
        <v>45987</v>
      </c>
      <c r="L393" s="6">
        <v>45991</v>
      </c>
      <c r="M393" s="42" t="s">
        <v>53</v>
      </c>
      <c r="N393" s="42" t="s">
        <v>54</v>
      </c>
      <c r="O393" s="42" t="s">
        <v>41</v>
      </c>
      <c r="P393" s="30">
        <f t="shared" si="18"/>
        <v>4</v>
      </c>
      <c r="Q393" s="41">
        <v>2295.9677419354839</v>
      </c>
      <c r="R393" s="41">
        <v>6500</v>
      </c>
      <c r="S393" s="41">
        <f t="shared" si="19"/>
        <v>4204.0322580645161</v>
      </c>
    </row>
    <row r="394" spans="1:19">
      <c r="A394" s="5">
        <v>393</v>
      </c>
      <c r="B394" s="5">
        <v>2511263006</v>
      </c>
      <c r="C394" s="5" t="s">
        <v>3027</v>
      </c>
      <c r="D394" s="5" t="s">
        <v>564</v>
      </c>
      <c r="E394" s="5" t="s">
        <v>589</v>
      </c>
      <c r="F394" s="5" t="s">
        <v>71</v>
      </c>
      <c r="G394" s="5" t="s">
        <v>75</v>
      </c>
      <c r="H394" s="5" t="s">
        <v>3003</v>
      </c>
      <c r="I394" s="5">
        <v>202502080</v>
      </c>
      <c r="J394" s="5"/>
      <c r="K394" s="6">
        <v>45987</v>
      </c>
      <c r="L394" s="6">
        <v>45991</v>
      </c>
      <c r="M394" s="42" t="s">
        <v>53</v>
      </c>
      <c r="N394" s="42" t="s">
        <v>54</v>
      </c>
      <c r="O394" s="42" t="s">
        <v>41</v>
      </c>
      <c r="P394" s="30">
        <f t="shared" si="18"/>
        <v>4</v>
      </c>
      <c r="Q394" s="41">
        <v>2295.9677419354839</v>
      </c>
      <c r="R394" s="41">
        <v>6500</v>
      </c>
      <c r="S394" s="41">
        <f t="shared" si="19"/>
        <v>4204.0322580645161</v>
      </c>
    </row>
    <row r="395" spans="1:19">
      <c r="A395" s="5">
        <v>394</v>
      </c>
      <c r="B395" s="5">
        <v>2511273011</v>
      </c>
      <c r="C395" s="5" t="s">
        <v>3028</v>
      </c>
      <c r="D395" s="5" t="s">
        <v>810</v>
      </c>
      <c r="E395" s="5" t="s">
        <v>3029</v>
      </c>
      <c r="F395" s="5" t="s">
        <v>457</v>
      </c>
      <c r="G395" s="5" t="s">
        <v>52</v>
      </c>
      <c r="H395" s="5" t="s">
        <v>3003</v>
      </c>
      <c r="I395" s="5">
        <v>202502081</v>
      </c>
      <c r="J395" s="5"/>
      <c r="K395" s="6">
        <v>45988</v>
      </c>
      <c r="L395" s="6">
        <v>45991</v>
      </c>
      <c r="M395" s="42" t="s">
        <v>53</v>
      </c>
      <c r="N395" s="42" t="s">
        <v>54</v>
      </c>
      <c r="O395" s="42" t="s">
        <v>41</v>
      </c>
      <c r="P395" s="30">
        <f t="shared" si="18"/>
        <v>3</v>
      </c>
      <c r="Q395" s="41">
        <v>2295.9677419354839</v>
      </c>
      <c r="R395" s="41">
        <v>5200</v>
      </c>
      <c r="S395" s="41">
        <f t="shared" si="19"/>
        <v>2904.0322580645161</v>
      </c>
    </row>
    <row r="396" spans="1:19">
      <c r="A396" s="5">
        <v>395</v>
      </c>
      <c r="B396" s="5">
        <v>2511273014</v>
      </c>
      <c r="C396" s="5" t="s">
        <v>3030</v>
      </c>
      <c r="D396" s="5" t="s">
        <v>64</v>
      </c>
      <c r="E396" s="5" t="s">
        <v>1498</v>
      </c>
      <c r="F396" s="5" t="s">
        <v>66</v>
      </c>
      <c r="G396" s="5" t="s">
        <v>52</v>
      </c>
      <c r="H396" s="5" t="s">
        <v>3003</v>
      </c>
      <c r="I396" s="5">
        <v>202502082</v>
      </c>
      <c r="J396" s="5"/>
      <c r="K396" s="6">
        <v>45988</v>
      </c>
      <c r="L396" s="6">
        <v>45991</v>
      </c>
      <c r="M396" s="42" t="s">
        <v>53</v>
      </c>
      <c r="N396" s="42" t="s">
        <v>54</v>
      </c>
      <c r="O396" s="42" t="s">
        <v>41</v>
      </c>
      <c r="P396" s="30">
        <f t="shared" si="18"/>
        <v>3</v>
      </c>
      <c r="Q396" s="41">
        <v>2295.9677419354839</v>
      </c>
      <c r="R396" s="41">
        <v>5500</v>
      </c>
      <c r="S396" s="41">
        <f t="shared" si="19"/>
        <v>3204.0322580645161</v>
      </c>
    </row>
    <row r="397" spans="1:19">
      <c r="A397" s="5">
        <v>396</v>
      </c>
      <c r="B397" s="5">
        <v>2511273017</v>
      </c>
      <c r="C397" s="5" t="s">
        <v>3031</v>
      </c>
      <c r="D397" s="5" t="s">
        <v>1475</v>
      </c>
      <c r="E397" s="5" t="s">
        <v>1476</v>
      </c>
      <c r="F397" s="5" t="s">
        <v>362</v>
      </c>
      <c r="G397" s="5" t="s">
        <v>52</v>
      </c>
      <c r="H397" s="5" t="s">
        <v>3003</v>
      </c>
      <c r="I397" s="5">
        <v>202502083</v>
      </c>
      <c r="J397" s="5"/>
      <c r="K397" s="6">
        <v>45988</v>
      </c>
      <c r="L397" s="6">
        <v>45991</v>
      </c>
      <c r="M397" s="42" t="s">
        <v>53</v>
      </c>
      <c r="N397" s="42" t="s">
        <v>54</v>
      </c>
      <c r="O397" s="42" t="s">
        <v>41</v>
      </c>
      <c r="P397" s="30">
        <f t="shared" si="18"/>
        <v>3</v>
      </c>
      <c r="Q397" s="41">
        <v>2295.9677419354839</v>
      </c>
      <c r="R397" s="41">
        <v>5500</v>
      </c>
      <c r="S397" s="41">
        <f t="shared" si="19"/>
        <v>3204.0322580645161</v>
      </c>
    </row>
    <row r="398" spans="1:19">
      <c r="A398" s="5">
        <v>397</v>
      </c>
      <c r="B398" s="5">
        <v>2511273021</v>
      </c>
      <c r="C398" s="5" t="s">
        <v>3032</v>
      </c>
      <c r="D398" s="5" t="s">
        <v>309</v>
      </c>
      <c r="E398" s="5" t="s">
        <v>1597</v>
      </c>
      <c r="F398" s="5" t="s">
        <v>51</v>
      </c>
      <c r="G398" s="5" t="s">
        <v>52</v>
      </c>
      <c r="H398" s="5" t="s">
        <v>3003</v>
      </c>
      <c r="I398" s="5">
        <v>202502084</v>
      </c>
      <c r="J398" s="5"/>
      <c r="K398" s="6">
        <v>45988</v>
      </c>
      <c r="L398" s="6">
        <v>45991</v>
      </c>
      <c r="M398" s="42" t="s">
        <v>53</v>
      </c>
      <c r="N398" s="42" t="s">
        <v>54</v>
      </c>
      <c r="O398" s="42" t="s">
        <v>41</v>
      </c>
      <c r="P398" s="30">
        <f t="shared" si="18"/>
        <v>3</v>
      </c>
      <c r="Q398" s="41">
        <v>2295.9677419354839</v>
      </c>
      <c r="R398" s="41">
        <v>5500</v>
      </c>
      <c r="S398" s="41">
        <f t="shared" si="19"/>
        <v>3204.0322580645161</v>
      </c>
    </row>
    <row r="399" spans="1:19">
      <c r="A399" s="5">
        <v>398</v>
      </c>
      <c r="B399" s="5">
        <v>2511273025</v>
      </c>
      <c r="C399" s="5" t="s">
        <v>3033</v>
      </c>
      <c r="D399" s="5" t="s">
        <v>309</v>
      </c>
      <c r="E399" s="5" t="s">
        <v>1597</v>
      </c>
      <c r="F399" s="5" t="s">
        <v>51</v>
      </c>
      <c r="G399" s="5" t="s">
        <v>52</v>
      </c>
      <c r="H399" s="5" t="s">
        <v>3003</v>
      </c>
      <c r="I399" s="5">
        <v>202502085</v>
      </c>
      <c r="J399" s="5"/>
      <c r="K399" s="6">
        <v>45988</v>
      </c>
      <c r="L399" s="6">
        <v>45991</v>
      </c>
      <c r="M399" s="42" t="s">
        <v>53</v>
      </c>
      <c r="N399" s="42" t="s">
        <v>54</v>
      </c>
      <c r="O399" s="42" t="s">
        <v>41</v>
      </c>
      <c r="P399" s="30">
        <f t="shared" si="18"/>
        <v>3</v>
      </c>
      <c r="Q399" s="41">
        <v>2295.9677419354839</v>
      </c>
      <c r="R399" s="41">
        <v>5500</v>
      </c>
      <c r="S399" s="41">
        <f t="shared" si="19"/>
        <v>3204.0322580645161</v>
      </c>
    </row>
    <row r="400" spans="1:19">
      <c r="A400" s="5">
        <v>399</v>
      </c>
      <c r="B400" s="5">
        <v>2511273040</v>
      </c>
      <c r="C400" s="5" t="s">
        <v>3034</v>
      </c>
      <c r="D400" s="5" t="s">
        <v>564</v>
      </c>
      <c r="E400" s="5" t="s">
        <v>771</v>
      </c>
      <c r="F400" s="5" t="s">
        <v>71</v>
      </c>
      <c r="G400" s="5" t="s">
        <v>75</v>
      </c>
      <c r="H400" s="5" t="s">
        <v>3003</v>
      </c>
      <c r="I400" s="5">
        <v>202502086</v>
      </c>
      <c r="J400" s="5"/>
      <c r="K400" s="6">
        <v>45988</v>
      </c>
      <c r="L400" s="6">
        <v>45991</v>
      </c>
      <c r="M400" s="42" t="s">
        <v>53</v>
      </c>
      <c r="N400" s="42" t="s">
        <v>54</v>
      </c>
      <c r="O400" s="42" t="s">
        <v>41</v>
      </c>
      <c r="P400" s="30">
        <f t="shared" si="18"/>
        <v>3</v>
      </c>
      <c r="Q400" s="41">
        <v>2295.9677419354839</v>
      </c>
      <c r="R400" s="41">
        <v>6500</v>
      </c>
      <c r="S400" s="41">
        <f t="shared" si="19"/>
        <v>4204.0322580645161</v>
      </c>
    </row>
    <row r="401" spans="1:19">
      <c r="A401" s="5">
        <v>400</v>
      </c>
      <c r="B401" s="5" t="s">
        <v>1239</v>
      </c>
      <c r="C401" s="5"/>
      <c r="D401" s="5"/>
      <c r="E401" s="5"/>
      <c r="F401" s="5"/>
      <c r="G401" s="5" t="s">
        <v>52</v>
      </c>
      <c r="H401" s="5"/>
      <c r="I401" s="5"/>
      <c r="J401" s="5"/>
      <c r="K401" s="5"/>
      <c r="L401" s="5"/>
      <c r="M401" s="5"/>
      <c r="N401" s="5"/>
      <c r="O401" s="5"/>
      <c r="P401" s="5"/>
      <c r="Q401" s="8">
        <v>2295.9677419354839</v>
      </c>
      <c r="R401" s="41">
        <v>0</v>
      </c>
      <c r="S401" s="41">
        <f t="shared" si="19"/>
        <v>-2295.9677419354839</v>
      </c>
    </row>
    <row r="402" spans="1:19">
      <c r="A402" s="5">
        <v>401</v>
      </c>
      <c r="B402" s="5" t="s">
        <v>1240</v>
      </c>
      <c r="C402" s="5"/>
      <c r="D402" s="5"/>
      <c r="E402" s="5"/>
      <c r="F402" s="5"/>
      <c r="G402" s="5" t="s">
        <v>52</v>
      </c>
      <c r="H402" s="5"/>
      <c r="I402" s="5"/>
      <c r="J402" s="5"/>
      <c r="K402" s="5"/>
      <c r="L402" s="5"/>
      <c r="M402" s="5"/>
      <c r="N402" s="5"/>
      <c r="O402" s="5"/>
      <c r="P402" s="5"/>
      <c r="Q402" s="8">
        <v>2295.9677419354839</v>
      </c>
      <c r="R402" s="41">
        <v>0</v>
      </c>
      <c r="S402" s="41">
        <f t="shared" si="19"/>
        <v>-2295.9677419354839</v>
      </c>
    </row>
    <row r="405" spans="1:19">
      <c r="C405" s="5" t="s">
        <v>19</v>
      </c>
      <c r="D405" s="37">
        <f>AVERAGE(P:P)</f>
        <v>4.682666666666667</v>
      </c>
    </row>
    <row r="406" spans="1:19">
      <c r="C406" s="5" t="s">
        <v>12</v>
      </c>
      <c r="D406" s="5">
        <f>COUNTIF(N:N,"Repeat")</f>
        <v>48</v>
      </c>
      <c r="E406" s="38">
        <f>D406/414</f>
        <v>0.11594202898550725</v>
      </c>
    </row>
    <row r="407" spans="1:19">
      <c r="C407" s="5" t="s">
        <v>13</v>
      </c>
      <c r="D407" s="5">
        <f>COUNTIF(N:N,"Resampling")</f>
        <v>25</v>
      </c>
      <c r="E407" s="38">
        <f>D407/414</f>
        <v>6.0386473429951688E-2</v>
      </c>
    </row>
    <row r="408" spans="1:19">
      <c r="C408" s="5" t="s">
        <v>15</v>
      </c>
      <c r="D408" s="5">
        <f>COUNTIF(N:N,"Refund")</f>
        <v>4</v>
      </c>
      <c r="E408" s="38">
        <f>D408/414</f>
        <v>9.6618357487922701E-3</v>
      </c>
    </row>
    <row r="409" spans="1:19">
      <c r="C409" s="5" t="s">
        <v>14</v>
      </c>
      <c r="D409" s="5">
        <f>COUNTIF(N:N,"High risk")</f>
        <v>6</v>
      </c>
      <c r="E409" s="38">
        <f>D409/414</f>
        <v>1.4492753623188406E-2</v>
      </c>
    </row>
    <row r="410" spans="1:19">
      <c r="C410" s="5" t="s">
        <v>11</v>
      </c>
      <c r="D410" s="8">
        <f>SUM(Q:Q)</f>
        <v>1055043.1818181863</v>
      </c>
    </row>
    <row r="411" spans="1:19">
      <c r="C411" s="5" t="s">
        <v>10</v>
      </c>
      <c r="D411" s="8">
        <f>AVERAGE(Q:Q)</f>
        <v>2631.0303785989681</v>
      </c>
    </row>
    <row r="412" spans="1:19">
      <c r="C412" s="5" t="s">
        <v>16</v>
      </c>
      <c r="D412" s="8">
        <f>SUM(R:R)</f>
        <v>2062100</v>
      </c>
    </row>
    <row r="413" spans="1:19">
      <c r="C413" s="5" t="s">
        <v>17</v>
      </c>
      <c r="D413" s="8">
        <f>D412-D410</f>
        <v>1007056.8181818137</v>
      </c>
    </row>
  </sheetData>
  <dataValidations count="1">
    <dataValidation type="list" allowBlank="1" showInputMessage="1" showErrorMessage="1" sqref="G1:G31 G34:G64 G67:G97 G100:G127 G130:G159 G162:G188 G191:G219 G222:G243 G246:G272 G275:G304 G307:G338 G341:G369 G372:G400" xr:uid="{2860077D-04B8-9C4F-84AC-8138DC39EA0B}">
      <formula1>"Basic,Standard,Advanced,Twin"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สรุป</vt:lpstr>
      <vt:lpstr>May2025</vt:lpstr>
      <vt:lpstr>June2025</vt:lpstr>
      <vt:lpstr>July2025</vt:lpstr>
      <vt:lpstr>Aug2025</vt:lpstr>
      <vt:lpstr>Sep2025</vt:lpstr>
      <vt:lpstr>Oct2025</vt:lpstr>
      <vt:lpstr>Nov2025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พจนธร พรหมบุญ</dc:creator>
  <cp:lastModifiedBy>พจนธร พรหมบุญ</cp:lastModifiedBy>
  <dcterms:created xsi:type="dcterms:W3CDTF">2025-10-14T03:49:09Z</dcterms:created>
  <dcterms:modified xsi:type="dcterms:W3CDTF">2025-12-15T09:31:11Z</dcterms:modified>
</cp:coreProperties>
</file>